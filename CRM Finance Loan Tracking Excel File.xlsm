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fakhr\Desktop\"/>
    </mc:Choice>
  </mc:AlternateContent>
  <xr:revisionPtr revIDLastSave="0" documentId="8_{29EDEA6A-D60E-4B57-921D-CDC455C9992D}" xr6:coauthVersionLast="47" xr6:coauthVersionMax="47" xr10:uidLastSave="{00000000-0000-0000-0000-000000000000}"/>
  <bookViews>
    <workbookView xWindow="-120" yWindow="-120" windowWidth="20730" windowHeight="11160" firstSheet="2" activeTab="5" xr2:uid="{00000000-000D-0000-FFFF-FFFF00000000}"/>
  </bookViews>
  <sheets>
    <sheet name="CLIENT LIST" sheetId="2" r:id="rId1"/>
    <sheet name="loan distribution" sheetId="13" r:id="rId2"/>
    <sheet name="repaidvsDebt" sheetId="11" r:id="rId3"/>
    <sheet name="work sheet" sheetId="8" r:id="rId4"/>
    <sheet name="feedback" sheetId="15" r:id="rId5"/>
    <sheet name="Dashboard" sheetId="14" r:id="rId6"/>
    <sheet name="LogSheet" sheetId="3" r:id="rId7"/>
    <sheet name="CountSpecific" sheetId="6" r:id="rId8"/>
  </sheets>
  <definedNames>
    <definedName name="_xlnm._FilterDatabase" localSheetId="0" hidden="1">'CLIENT LIST'!$A$1:$P$1001</definedName>
    <definedName name="_xlnm._FilterDatabase" localSheetId="3" hidden="1">'work sheet'!$G$1:$G$1001</definedName>
    <definedName name="_xlcn.WorksheetConnection_worksheetAT1" hidden="1">'work sheet'!$A:$T</definedName>
    <definedName name="Slicer_Client">#N/A</definedName>
    <definedName name="Slicer_Loan_Amount">#N/A</definedName>
  </definedNames>
  <calcPr calcId="191029"/>
  <pivotCaches>
    <pivotCache cacheId="154" r:id="rId9"/>
    <pivotCache cacheId="165" r:id="rId10"/>
    <pivotCache cacheId="247" r:id="rId11"/>
  </pivotCaches>
  <extLst>
    <ext xmlns:x14="http://schemas.microsoft.com/office/spreadsheetml/2009/9/main" uri="{876F7934-8845-4945-9796-88D515C7AA90}">
      <x14:pivotCaches>
        <pivotCache cacheId="166"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work sheet!$A:$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6" l="1"/>
  <c r="D9" i="6"/>
  <c r="D12" i="6"/>
  <c r="F5" i="6"/>
  <c r="D7" i="6"/>
  <c r="D3" i="6"/>
  <c r="F12" i="6"/>
  <c r="F8" i="6"/>
  <c r="F4" i="6"/>
  <c r="F3" i="6"/>
  <c r="D5" i="6"/>
  <c r="F13" i="6"/>
  <c r="F11" i="6"/>
  <c r="D13" i="6"/>
  <c r="D10" i="6"/>
  <c r="F9" i="6"/>
  <c r="D4" i="6"/>
  <c r="F10" i="6"/>
  <c r="D11" i="6"/>
  <c r="D6" i="6"/>
  <c r="F6" i="6"/>
  <c r="F7" i="6"/>
  <c r="B13" i="6"/>
  <c r="B9" i="6"/>
  <c r="B6" i="6"/>
  <c r="B2" i="6"/>
  <c r="B10" i="6"/>
  <c r="F2" i="6"/>
  <c r="B3" i="6"/>
  <c r="D2" i="6"/>
  <c r="B4" i="6"/>
  <c r="B11" i="6"/>
  <c r="B8" i="6"/>
  <c r="B5" i="6"/>
  <c r="B7" i="6"/>
  <c r="B12" i="6"/>
  <c r="C2" i="6" l="1"/>
  <c r="E2" i="6" s="1"/>
  <c r="C6" i="6"/>
  <c r="E6" i="6" s="1"/>
  <c r="C11" i="6"/>
  <c r="E11" i="6" s="1"/>
  <c r="C4" i="6"/>
  <c r="E4" i="6" s="1"/>
  <c r="C10" i="6"/>
  <c r="E10" i="6" s="1"/>
  <c r="C13" i="6"/>
  <c r="E13" i="6" s="1"/>
  <c r="C5" i="6"/>
  <c r="E5" i="6" s="1"/>
  <c r="C3" i="6"/>
  <c r="E3" i="6" s="1"/>
  <c r="C7" i="6"/>
  <c r="E7" i="6" s="1"/>
  <c r="C12" i="6"/>
  <c r="E12" i="6" s="1"/>
  <c r="C9" i="6"/>
  <c r="E9" i="6" s="1"/>
  <c r="C8" i="6"/>
  <c r="E8" i="6" s="1"/>
  <c r="N12" i="2" l="1"/>
  <c r="P50" i="2"/>
  <c r="O63" i="2"/>
  <c r="N76" i="2"/>
  <c r="N21" i="2"/>
  <c r="P59" i="2"/>
  <c r="O72" i="2"/>
  <c r="O17" i="2"/>
  <c r="N30" i="2"/>
  <c r="P68" i="2"/>
  <c r="N67" i="2"/>
  <c r="P89" i="2"/>
  <c r="O102" i="2"/>
  <c r="N115" i="2"/>
  <c r="P110" i="2"/>
  <c r="O30" i="2"/>
  <c r="O80" i="2"/>
  <c r="N93" i="2"/>
  <c r="N15" i="2"/>
  <c r="P162" i="2"/>
  <c r="O175" i="2"/>
  <c r="P96" i="2"/>
  <c r="O132" i="2"/>
  <c r="N145" i="2"/>
  <c r="O97" i="2"/>
  <c r="O145" i="2"/>
  <c r="P213" i="2"/>
  <c r="O226" i="2"/>
  <c r="N239" i="2"/>
  <c r="O121" i="2"/>
  <c r="P177" i="2"/>
  <c r="O191" i="2"/>
  <c r="N204" i="2"/>
  <c r="P242" i="2"/>
  <c r="P160" i="2"/>
  <c r="P195" i="2"/>
  <c r="O208" i="2"/>
  <c r="N221" i="2"/>
  <c r="P259" i="2"/>
  <c r="O272" i="2"/>
  <c r="O138" i="2"/>
  <c r="N210" i="2"/>
  <c r="O283" i="2"/>
  <c r="N296" i="2"/>
  <c r="P334" i="2"/>
  <c r="O347" i="2"/>
  <c r="N360" i="2"/>
  <c r="O178" i="2"/>
  <c r="N230" i="2"/>
  <c r="P256" i="2"/>
  <c r="P273" i="2"/>
  <c r="O288" i="2"/>
  <c r="N301" i="2"/>
  <c r="N234" i="2"/>
  <c r="N259" i="2"/>
  <c r="O317" i="2"/>
  <c r="P383" i="2"/>
  <c r="O396" i="2"/>
  <c r="N409" i="2"/>
  <c r="O298" i="2"/>
  <c r="N343" i="2"/>
  <c r="O360" i="2"/>
  <c r="N374" i="2"/>
  <c r="P412" i="2"/>
  <c r="O425" i="2"/>
  <c r="P308" i="2"/>
  <c r="O366" i="2"/>
  <c r="N379" i="2"/>
  <c r="P417" i="2"/>
  <c r="O430" i="2"/>
  <c r="P321" i="2"/>
  <c r="P460" i="2"/>
  <c r="O473" i="2"/>
  <c r="N486" i="2"/>
  <c r="P524" i="2"/>
  <c r="O537" i="2"/>
  <c r="N550" i="2"/>
  <c r="O310" i="2"/>
  <c r="N380" i="2"/>
  <c r="O431" i="2"/>
  <c r="O446" i="2"/>
  <c r="N459" i="2"/>
  <c r="P497" i="2"/>
  <c r="O510" i="2"/>
  <c r="N523" i="2"/>
  <c r="P561" i="2"/>
  <c r="O574" i="2"/>
  <c r="N587" i="2"/>
  <c r="P625" i="2"/>
  <c r="O638" i="2"/>
  <c r="N651" i="2"/>
  <c r="P22" i="2"/>
  <c r="O35" i="2"/>
  <c r="N48" i="2"/>
  <c r="P31" i="2"/>
  <c r="O44" i="2"/>
  <c r="N57" i="2"/>
  <c r="P40" i="2"/>
  <c r="O53" i="2"/>
  <c r="N66" i="2"/>
  <c r="P57" i="2"/>
  <c r="N87" i="2"/>
  <c r="P125" i="2"/>
  <c r="N39" i="2"/>
  <c r="P82" i="2"/>
  <c r="O95" i="2"/>
  <c r="N108" i="2"/>
  <c r="P103" i="2"/>
  <c r="O116" i="2"/>
  <c r="N129" i="2"/>
  <c r="O105" i="2"/>
  <c r="P134" i="2"/>
  <c r="O147" i="2"/>
  <c r="N160" i="2"/>
  <c r="P128" i="2"/>
  <c r="P155" i="2"/>
  <c r="O168" i="2"/>
  <c r="P140" i="2"/>
  <c r="N166" i="2"/>
  <c r="P185" i="2"/>
  <c r="O198" i="2"/>
  <c r="N211" i="2"/>
  <c r="P104" i="2"/>
  <c r="N147" i="2"/>
  <c r="P214" i="2"/>
  <c r="O227" i="2"/>
  <c r="N240" i="2"/>
  <c r="O180" i="2"/>
  <c r="N193" i="2"/>
  <c r="P231" i="2"/>
  <c r="O244" i="2"/>
  <c r="N257" i="2"/>
  <c r="P200" i="2"/>
  <c r="P246" i="2"/>
  <c r="P306" i="2"/>
  <c r="O319" i="2"/>
  <c r="N332" i="2"/>
  <c r="N159" i="2"/>
  <c r="P220" i="2"/>
  <c r="O253" i="2"/>
  <c r="O270" i="2"/>
  <c r="P311" i="2"/>
  <c r="O324" i="2"/>
  <c r="N167" i="2"/>
  <c r="P224" i="2"/>
  <c r="P254" i="2"/>
  <c r="O246" i="2"/>
  <c r="P312" i="2"/>
  <c r="P335" i="2"/>
  <c r="P352" i="2"/>
  <c r="O368" i="2"/>
  <c r="N381" i="2"/>
  <c r="P419" i="2"/>
  <c r="O432" i="2"/>
  <c r="O263" i="2"/>
  <c r="P293" i="2"/>
  <c r="N319" i="2"/>
  <c r="N357" i="2"/>
  <c r="P384" i="2"/>
  <c r="O397" i="2"/>
  <c r="N410" i="2"/>
  <c r="P180" i="2"/>
  <c r="O329" i="2"/>
  <c r="P389" i="2"/>
  <c r="O402" i="2"/>
  <c r="N415" i="2"/>
  <c r="O302" i="2"/>
  <c r="N376" i="2"/>
  <c r="O427" i="2"/>
  <c r="O445" i="2"/>
  <c r="N458" i="2"/>
  <c r="P496" i="2"/>
  <c r="O509" i="2"/>
  <c r="N522" i="2"/>
  <c r="P560" i="2"/>
  <c r="O573" i="2"/>
  <c r="N291" i="2"/>
  <c r="P370" i="2"/>
  <c r="P469" i="2"/>
  <c r="O482" i="2"/>
  <c r="N495" i="2"/>
  <c r="P533" i="2"/>
  <c r="O546" i="2"/>
  <c r="N559" i="2"/>
  <c r="P597" i="2"/>
  <c r="O610" i="2"/>
  <c r="N623" i="2"/>
  <c r="P661" i="2"/>
  <c r="P249" i="2"/>
  <c r="O407" i="2"/>
  <c r="N453" i="2"/>
  <c r="O504" i="2"/>
  <c r="P555" i="2"/>
  <c r="N581" i="2"/>
  <c r="N598" i="2"/>
  <c r="O615" i="2"/>
  <c r="O632" i="2"/>
  <c r="O649" i="2"/>
  <c r="P666" i="2"/>
  <c r="P706" i="2"/>
  <c r="P305" i="2"/>
  <c r="P458" i="2"/>
  <c r="N484" i="2"/>
  <c r="O535" i="2"/>
  <c r="P584" i="2"/>
  <c r="P683" i="2"/>
  <c r="O696" i="2"/>
  <c r="N709" i="2"/>
  <c r="P747" i="2"/>
  <c r="O760" i="2"/>
  <c r="N773" i="2"/>
  <c r="N449" i="2"/>
  <c r="O500" i="2"/>
  <c r="P551" i="2"/>
  <c r="P595" i="2"/>
  <c r="N798" i="2"/>
  <c r="P836" i="2"/>
  <c r="O849" i="2"/>
  <c r="N862" i="2"/>
  <c r="P900" i="2"/>
  <c r="O444" i="2"/>
  <c r="N512" i="2"/>
  <c r="P626" i="2"/>
  <c r="P671" i="2"/>
  <c r="O706" i="2"/>
  <c r="N732" i="2"/>
  <c r="O23" i="2"/>
  <c r="N36" i="2"/>
  <c r="P74" i="2"/>
  <c r="P19" i="2"/>
  <c r="O32" i="2"/>
  <c r="N45" i="2"/>
  <c r="P28" i="2"/>
  <c r="O41" i="2"/>
  <c r="N54" i="2"/>
  <c r="P113" i="2"/>
  <c r="O126" i="2"/>
  <c r="O42" i="2"/>
  <c r="O83" i="2"/>
  <c r="N96" i="2"/>
  <c r="N75" i="2"/>
  <c r="P91" i="2"/>
  <c r="O104" i="2"/>
  <c r="N117" i="2"/>
  <c r="P108" i="2"/>
  <c r="O135" i="2"/>
  <c r="N148" i="2"/>
  <c r="N90" i="2"/>
  <c r="N130" i="2"/>
  <c r="P143" i="2"/>
  <c r="O156" i="2"/>
  <c r="N169" i="2"/>
  <c r="P84" i="2"/>
  <c r="N142" i="2"/>
  <c r="O186" i="2"/>
  <c r="N199" i="2"/>
  <c r="P237" i="2"/>
  <c r="O174" i="2"/>
  <c r="P202" i="2"/>
  <c r="O215" i="2"/>
  <c r="N228" i="2"/>
  <c r="O157" i="2"/>
  <c r="N181" i="2"/>
  <c r="P219" i="2"/>
  <c r="O232" i="2"/>
  <c r="N245" i="2"/>
  <c r="P294" i="2"/>
  <c r="O307" i="2"/>
  <c r="N320" i="2"/>
  <c r="P358" i="2"/>
  <c r="P165" i="2"/>
  <c r="O254" i="2"/>
  <c r="O271" i="2"/>
  <c r="P299" i="2"/>
  <c r="O312" i="2"/>
  <c r="N325" i="2"/>
  <c r="P173" i="2"/>
  <c r="P250" i="2"/>
  <c r="P288" i="2"/>
  <c r="N314" i="2"/>
  <c r="P336" i="2"/>
  <c r="P353" i="2"/>
  <c r="N369" i="2"/>
  <c r="P407" i="2"/>
  <c r="O420" i="2"/>
  <c r="N433" i="2"/>
  <c r="P265" i="2"/>
  <c r="N295" i="2"/>
  <c r="N341" i="2"/>
  <c r="N358" i="2"/>
  <c r="P372" i="2"/>
  <c r="O385" i="2"/>
  <c r="N398" i="2"/>
  <c r="O193" i="2"/>
  <c r="N279" i="2"/>
  <c r="O305" i="2"/>
  <c r="P377" i="2"/>
  <c r="O390" i="2"/>
  <c r="N403" i="2"/>
  <c r="O379" i="2"/>
  <c r="P430" i="2"/>
  <c r="N446" i="2"/>
  <c r="P484" i="2"/>
  <c r="O497" i="2"/>
  <c r="N510" i="2"/>
  <c r="P548" i="2"/>
  <c r="O561" i="2"/>
  <c r="N574" i="2"/>
  <c r="P297" i="2"/>
  <c r="P457" i="2"/>
  <c r="O470" i="2"/>
  <c r="N483" i="2"/>
  <c r="P521" i="2"/>
  <c r="O534" i="2"/>
  <c r="N547" i="2"/>
  <c r="P585" i="2"/>
  <c r="O598" i="2"/>
  <c r="N611" i="2"/>
  <c r="P649" i="2"/>
  <c r="O662" i="2"/>
  <c r="O480" i="2"/>
  <c r="P531" i="2"/>
  <c r="N557" i="2"/>
  <c r="N582" i="2"/>
  <c r="O599" i="2"/>
  <c r="O616" i="2"/>
  <c r="O633" i="2"/>
  <c r="P650" i="2"/>
  <c r="P667" i="2"/>
  <c r="O27" i="2"/>
  <c r="P78" i="2"/>
  <c r="O45" i="2"/>
  <c r="O130" i="2"/>
  <c r="O108" i="2"/>
  <c r="O139" i="2"/>
  <c r="N106" i="2"/>
  <c r="N173" i="2"/>
  <c r="O190" i="2"/>
  <c r="P241" i="2"/>
  <c r="N249" i="2"/>
  <c r="P298" i="2"/>
  <c r="O316" i="2"/>
  <c r="N276" i="2"/>
  <c r="P363" i="2"/>
  <c r="O313" i="2"/>
  <c r="P381" i="2"/>
  <c r="N450" i="2"/>
  <c r="O501" i="2"/>
  <c r="P552" i="2"/>
  <c r="O474" i="2"/>
  <c r="P525" i="2"/>
  <c r="O666" i="2"/>
  <c r="N437" i="2"/>
  <c r="O488" i="2"/>
  <c r="P539" i="2"/>
  <c r="P587" i="2"/>
  <c r="N704" i="2"/>
  <c r="N444" i="2"/>
  <c r="O479" i="2"/>
  <c r="P546" i="2"/>
  <c r="O581" i="2"/>
  <c r="N626" i="2"/>
  <c r="N672" i="2"/>
  <c r="N689" i="2"/>
  <c r="P723" i="2"/>
  <c r="O740" i="2"/>
  <c r="P378" i="2"/>
  <c r="P610" i="2"/>
  <c r="O657" i="2"/>
  <c r="N724" i="2"/>
  <c r="N770" i="2"/>
  <c r="P808" i="2"/>
  <c r="O825" i="2"/>
  <c r="N842" i="2"/>
  <c r="P876" i="2"/>
  <c r="O893" i="2"/>
  <c r="O423" i="2"/>
  <c r="N521" i="2"/>
  <c r="O710" i="2"/>
  <c r="O763" i="2"/>
  <c r="O786" i="2"/>
  <c r="O803" i="2"/>
  <c r="O820" i="2"/>
  <c r="P837" i="2"/>
  <c r="P854" i="2"/>
  <c r="P871" i="2"/>
  <c r="P905" i="2"/>
  <c r="O918" i="2"/>
  <c r="N931" i="2"/>
  <c r="P969" i="2"/>
  <c r="O982" i="2"/>
  <c r="N995" i="2"/>
  <c r="P479" i="2"/>
  <c r="O604" i="2"/>
  <c r="N892" i="2"/>
  <c r="N920" i="2"/>
  <c r="P970" i="2"/>
  <c r="N996" i="2"/>
  <c r="N616" i="2"/>
  <c r="N750" i="2"/>
  <c r="N792" i="2"/>
  <c r="O826" i="2"/>
  <c r="O860" i="2"/>
  <c r="N441" i="2"/>
  <c r="P672" i="2"/>
  <c r="N731" i="2"/>
  <c r="N813" i="2"/>
  <c r="O846" i="2"/>
  <c r="O880" i="2"/>
  <c r="O939" i="2"/>
  <c r="P990" i="2"/>
  <c r="N480" i="2"/>
  <c r="P607" i="2"/>
  <c r="O15" i="2"/>
  <c r="N28" i="2"/>
  <c r="P66" i="2"/>
  <c r="O79" i="2"/>
  <c r="O24" i="2"/>
  <c r="N37" i="2"/>
  <c r="P75" i="2"/>
  <c r="P20" i="2"/>
  <c r="O33" i="2"/>
  <c r="N46" i="2"/>
  <c r="P105" i="2"/>
  <c r="O118" i="2"/>
  <c r="N131" i="2"/>
  <c r="P61" i="2"/>
  <c r="N88" i="2"/>
  <c r="N43" i="2"/>
  <c r="P83" i="2"/>
  <c r="O96" i="2"/>
  <c r="N109" i="2"/>
  <c r="O66" i="2"/>
  <c r="O123" i="2"/>
  <c r="N140" i="2"/>
  <c r="P178" i="2"/>
  <c r="O109" i="2"/>
  <c r="P135" i="2"/>
  <c r="O148" i="2"/>
  <c r="N161" i="2"/>
  <c r="O177" i="2"/>
  <c r="N191" i="2"/>
  <c r="P229" i="2"/>
  <c r="O242" i="2"/>
  <c r="O158" i="2"/>
  <c r="P194" i="2"/>
  <c r="O207" i="2"/>
  <c r="N220" i="2"/>
  <c r="O81" i="2"/>
  <c r="O141" i="2"/>
  <c r="P211" i="2"/>
  <c r="O224" i="2"/>
  <c r="N237" i="2"/>
  <c r="P275" i="2"/>
  <c r="N254" i="2"/>
  <c r="N271" i="2"/>
  <c r="P286" i="2"/>
  <c r="O299" i="2"/>
  <c r="N312" i="2"/>
  <c r="P350" i="2"/>
  <c r="O363" i="2"/>
  <c r="P291" i="2"/>
  <c r="O304" i="2"/>
  <c r="N317" i="2"/>
  <c r="N262" i="2"/>
  <c r="P269" i="2"/>
  <c r="N298" i="2"/>
  <c r="P399" i="2"/>
  <c r="O412" i="2"/>
  <c r="N425" i="2"/>
  <c r="N190" i="2"/>
  <c r="O278" i="2"/>
  <c r="O330" i="2"/>
  <c r="P347" i="2"/>
  <c r="P364" i="2"/>
  <c r="O377" i="2"/>
  <c r="N390" i="2"/>
  <c r="P428" i="2"/>
  <c r="O289" i="2"/>
  <c r="N337" i="2"/>
  <c r="N354" i="2"/>
  <c r="P369" i="2"/>
  <c r="O382" i="2"/>
  <c r="N395" i="2"/>
  <c r="P433" i="2"/>
  <c r="P341" i="2"/>
  <c r="P398" i="2"/>
  <c r="N438" i="2"/>
  <c r="P476" i="2"/>
  <c r="O489" i="2"/>
  <c r="N502" i="2"/>
  <c r="P540" i="2"/>
  <c r="O553" i="2"/>
  <c r="N566" i="2"/>
  <c r="N334" i="2"/>
  <c r="P449" i="2"/>
  <c r="O462" i="2"/>
  <c r="N475" i="2"/>
  <c r="P513" i="2"/>
  <c r="O526" i="2"/>
  <c r="N539" i="2"/>
  <c r="P577" i="2"/>
  <c r="O590" i="2"/>
  <c r="N603" i="2"/>
  <c r="P641" i="2"/>
  <c r="P38" i="2"/>
  <c r="O51" i="2"/>
  <c r="N64" i="2"/>
  <c r="P47" i="2"/>
  <c r="O60" i="2"/>
  <c r="N73" i="2"/>
  <c r="N18" i="2"/>
  <c r="P56" i="2"/>
  <c r="O69" i="2"/>
  <c r="N19" i="2"/>
  <c r="O70" i="2"/>
  <c r="O90" i="2"/>
  <c r="N103" i="2"/>
  <c r="P98" i="2"/>
  <c r="O111" i="2"/>
  <c r="P33" i="2"/>
  <c r="N81" i="2"/>
  <c r="P119" i="2"/>
  <c r="N118" i="2"/>
  <c r="P150" i="2"/>
  <c r="O163" i="2"/>
  <c r="N176" i="2"/>
  <c r="N133" i="2"/>
  <c r="P171" i="2"/>
  <c r="P172" i="2"/>
  <c r="P201" i="2"/>
  <c r="O214" i="2"/>
  <c r="N227" i="2"/>
  <c r="P124" i="2"/>
  <c r="P153" i="2"/>
  <c r="N179" i="2"/>
  <c r="N192" i="2"/>
  <c r="P230" i="2"/>
  <c r="O243" i="2"/>
  <c r="P136" i="2"/>
  <c r="N162" i="2"/>
  <c r="P183" i="2"/>
  <c r="O196" i="2"/>
  <c r="N209" i="2"/>
  <c r="P247" i="2"/>
  <c r="O260" i="2"/>
  <c r="N273" i="2"/>
  <c r="O213" i="2"/>
  <c r="N284" i="2"/>
  <c r="P322" i="2"/>
  <c r="O335" i="2"/>
  <c r="N348" i="2"/>
  <c r="N182" i="2"/>
  <c r="O233" i="2"/>
  <c r="P257" i="2"/>
  <c r="P274" i="2"/>
  <c r="N289" i="2"/>
  <c r="P327" i="2"/>
  <c r="N186" i="2"/>
  <c r="O237" i="2"/>
  <c r="N263" i="2"/>
  <c r="O293" i="2"/>
  <c r="P371" i="2"/>
  <c r="O384" i="2"/>
  <c r="N397" i="2"/>
  <c r="N114" i="2"/>
  <c r="P325" i="2"/>
  <c r="O344" i="2"/>
  <c r="O361" i="2"/>
  <c r="P400" i="2"/>
  <c r="O413" i="2"/>
  <c r="N426" i="2"/>
  <c r="P284" i="2"/>
  <c r="N310" i="2"/>
  <c r="N367" i="2"/>
  <c r="P405" i="2"/>
  <c r="O418" i="2"/>
  <c r="N431" i="2"/>
  <c r="P448" i="2"/>
  <c r="O461" i="2"/>
  <c r="N474" i="2"/>
  <c r="P512" i="2"/>
  <c r="O525" i="2"/>
  <c r="N538" i="2"/>
  <c r="P576" i="2"/>
  <c r="O383" i="2"/>
  <c r="N434" i="2"/>
  <c r="N447" i="2"/>
  <c r="P485" i="2"/>
  <c r="O498" i="2"/>
  <c r="N511" i="2"/>
  <c r="P549" i="2"/>
  <c r="O562" i="2"/>
  <c r="N575" i="2"/>
  <c r="P613" i="2"/>
  <c r="O626" i="2"/>
  <c r="N639" i="2"/>
  <c r="P313" i="2"/>
  <c r="P459" i="2"/>
  <c r="N485" i="2"/>
  <c r="O536" i="2"/>
  <c r="O585" i="2"/>
  <c r="P602" i="2"/>
  <c r="P619" i="2"/>
  <c r="P636" i="2"/>
  <c r="N684" i="2"/>
  <c r="O439" i="2"/>
  <c r="P490" i="2"/>
  <c r="N516" i="2"/>
  <c r="O567" i="2"/>
  <c r="N640" i="2"/>
  <c r="N657" i="2"/>
  <c r="P699" i="2"/>
  <c r="O712" i="2"/>
  <c r="N725" i="2"/>
  <c r="P763" i="2"/>
  <c r="O776" i="2"/>
  <c r="N513" i="2"/>
  <c r="O564" i="2"/>
  <c r="N604" i="2"/>
  <c r="N638" i="2"/>
  <c r="O672" i="2"/>
  <c r="N698" i="2"/>
  <c r="N738" i="2"/>
  <c r="N755" i="2"/>
  <c r="N772" i="2"/>
  <c r="P788" i="2"/>
  <c r="O801" i="2"/>
  <c r="N814" i="2"/>
  <c r="P852" i="2"/>
  <c r="O865" i="2"/>
  <c r="N878" i="2"/>
  <c r="O592" i="2"/>
  <c r="O637" i="2"/>
  <c r="P26" i="2"/>
  <c r="O39" i="2"/>
  <c r="N52" i="2"/>
  <c r="P35" i="2"/>
  <c r="O48" i="2"/>
  <c r="N61" i="2"/>
  <c r="P44" i="2"/>
  <c r="O57" i="2"/>
  <c r="N70" i="2"/>
  <c r="O22" i="2"/>
  <c r="P73" i="2"/>
  <c r="N91" i="2"/>
  <c r="P129" i="2"/>
  <c r="N55" i="2"/>
  <c r="P86" i="2"/>
  <c r="O99" i="2"/>
  <c r="N112" i="2"/>
  <c r="P107" i="2"/>
  <c r="O120" i="2"/>
  <c r="N120" i="2"/>
  <c r="P138" i="2"/>
  <c r="O151" i="2"/>
  <c r="N164" i="2"/>
  <c r="P159" i="2"/>
  <c r="O172" i="2"/>
  <c r="N110" i="2"/>
  <c r="P148" i="2"/>
  <c r="N174" i="2"/>
  <c r="P189" i="2"/>
  <c r="O202" i="2"/>
  <c r="N215" i="2"/>
  <c r="N155" i="2"/>
  <c r="P18" i="2"/>
  <c r="O31" i="2"/>
  <c r="N44" i="2"/>
  <c r="P27" i="2"/>
  <c r="O40" i="2"/>
  <c r="N53" i="2"/>
  <c r="P36" i="2"/>
  <c r="O49" i="2"/>
  <c r="N62" i="2"/>
  <c r="P41" i="2"/>
  <c r="N83" i="2"/>
  <c r="P121" i="2"/>
  <c r="N23" i="2"/>
  <c r="O74" i="2"/>
  <c r="O91" i="2"/>
  <c r="N104" i="2"/>
  <c r="P99" i="2"/>
  <c r="O112" i="2"/>
  <c r="N125" i="2"/>
  <c r="O89" i="2"/>
  <c r="O143" i="2"/>
  <c r="N156" i="2"/>
  <c r="P120" i="2"/>
  <c r="P151" i="2"/>
  <c r="O164" i="2"/>
  <c r="N177" i="2"/>
  <c r="P132" i="2"/>
  <c r="N158" i="2"/>
  <c r="P181" i="2"/>
  <c r="O194" i="2"/>
  <c r="N207" i="2"/>
  <c r="O50" i="2"/>
  <c r="N139" i="2"/>
  <c r="P210" i="2"/>
  <c r="O223" i="2"/>
  <c r="N236" i="2"/>
  <c r="O173" i="2"/>
  <c r="N189" i="2"/>
  <c r="P227" i="2"/>
  <c r="O240" i="2"/>
  <c r="N253" i="2"/>
  <c r="P184" i="2"/>
  <c r="O258" i="2"/>
  <c r="O275" i="2"/>
  <c r="P302" i="2"/>
  <c r="O315" i="2"/>
  <c r="N328" i="2"/>
  <c r="P204" i="2"/>
  <c r="P307" i="2"/>
  <c r="O320" i="2"/>
  <c r="N135" i="2"/>
  <c r="P208" i="2"/>
  <c r="O249" i="2"/>
  <c r="N278" i="2"/>
  <c r="P304" i="2"/>
  <c r="N330" i="2"/>
  <c r="N347" i="2"/>
  <c r="O364" i="2"/>
  <c r="N377" i="2"/>
  <c r="P415" i="2"/>
  <c r="O428" i="2"/>
  <c r="O241" i="2"/>
  <c r="P285" i="2"/>
  <c r="N311" i="2"/>
  <c r="P380" i="2"/>
  <c r="O393" i="2"/>
  <c r="N406" i="2"/>
  <c r="O266" i="2"/>
  <c r="O321" i="2"/>
  <c r="O341" i="2"/>
  <c r="O358" i="2"/>
  <c r="P385" i="2"/>
  <c r="O398" i="2"/>
  <c r="N411" i="2"/>
  <c r="P266" i="2"/>
  <c r="O411" i="2"/>
  <c r="O441" i="2"/>
  <c r="N454" i="2"/>
  <c r="P492" i="2"/>
  <c r="O505" i="2"/>
  <c r="N518" i="2"/>
  <c r="P556" i="2"/>
  <c r="O569" i="2"/>
  <c r="N351" i="2"/>
  <c r="P465" i="2"/>
  <c r="O478" i="2"/>
  <c r="N491" i="2"/>
  <c r="P529" i="2"/>
  <c r="O542" i="2"/>
  <c r="N555" i="2"/>
  <c r="P593" i="2"/>
  <c r="O606" i="2"/>
  <c r="N619" i="2"/>
  <c r="N16" i="2"/>
  <c r="P54" i="2"/>
  <c r="O67" i="2"/>
  <c r="O12" i="2"/>
  <c r="N25" i="2"/>
  <c r="P63" i="2"/>
  <c r="O76" i="2"/>
  <c r="O21" i="2"/>
  <c r="N34" i="2"/>
  <c r="P72" i="2"/>
  <c r="P93" i="2"/>
  <c r="O106" i="2"/>
  <c r="N119" i="2"/>
  <c r="P13" i="2"/>
  <c r="P114" i="2"/>
  <c r="O46" i="2"/>
  <c r="O84" i="2"/>
  <c r="N97" i="2"/>
  <c r="N79" i="2"/>
  <c r="P166" i="2"/>
  <c r="O179" i="2"/>
  <c r="P112" i="2"/>
  <c r="O136" i="2"/>
  <c r="N149" i="2"/>
  <c r="N124" i="2"/>
  <c r="O153" i="2"/>
  <c r="P217" i="2"/>
  <c r="O230" i="2"/>
  <c r="N243" i="2"/>
  <c r="O134" i="2"/>
  <c r="P182" i="2"/>
  <c r="O195" i="2"/>
  <c r="N208" i="2"/>
  <c r="P168" i="2"/>
  <c r="P199" i="2"/>
  <c r="O212" i="2"/>
  <c r="N225" i="2"/>
  <c r="P263" i="2"/>
  <c r="O276" i="2"/>
  <c r="O170" i="2"/>
  <c r="N226" i="2"/>
  <c r="N255" i="2"/>
  <c r="N272" i="2"/>
  <c r="O287" i="2"/>
  <c r="N300" i="2"/>
  <c r="P338" i="2"/>
  <c r="O351" i="2"/>
  <c r="N364" i="2"/>
  <c r="O292" i="2"/>
  <c r="N305" i="2"/>
  <c r="N82" i="2"/>
  <c r="N246" i="2"/>
  <c r="P88" i="2"/>
  <c r="O325" i="2"/>
  <c r="N361" i="2"/>
  <c r="P387" i="2"/>
  <c r="O400" i="2"/>
  <c r="N413" i="2"/>
  <c r="P280" i="2"/>
  <c r="O306" i="2"/>
  <c r="P331" i="2"/>
  <c r="P348" i="2"/>
  <c r="O365" i="2"/>
  <c r="N378" i="2"/>
  <c r="P416" i="2"/>
  <c r="O429" i="2"/>
  <c r="P316" i="2"/>
  <c r="N338" i="2"/>
  <c r="N355" i="2"/>
  <c r="O370" i="2"/>
  <c r="N383" i="2"/>
  <c r="P421" i="2"/>
  <c r="O162" i="2"/>
  <c r="P464" i="2"/>
  <c r="O477" i="2"/>
  <c r="N490" i="2"/>
  <c r="P528" i="2"/>
  <c r="O541" i="2"/>
  <c r="N554" i="2"/>
  <c r="O338" i="2"/>
  <c r="N396" i="2"/>
  <c r="P437" i="2"/>
  <c r="O450" i="2"/>
  <c r="N463" i="2"/>
  <c r="P501" i="2"/>
  <c r="O514" i="2"/>
  <c r="N527" i="2"/>
  <c r="P565" i="2"/>
  <c r="O578" i="2"/>
  <c r="N591" i="2"/>
  <c r="P629" i="2"/>
  <c r="O642" i="2"/>
  <c r="N655" i="2"/>
  <c r="O353" i="2"/>
  <c r="O440" i="2"/>
  <c r="P491" i="2"/>
  <c r="N517" i="2"/>
  <c r="O568" i="2"/>
  <c r="P674" i="2"/>
  <c r="O687" i="2"/>
  <c r="N700" i="2"/>
  <c r="O471" i="2"/>
  <c r="P522" i="2"/>
  <c r="N548" i="2"/>
  <c r="N593" i="2"/>
  <c r="N610" i="2"/>
  <c r="O627" i="2"/>
  <c r="O644" i="2"/>
  <c r="O661" i="2"/>
  <c r="N677" i="2"/>
  <c r="P715" i="2"/>
  <c r="O728" i="2"/>
  <c r="N741" i="2"/>
  <c r="P779" i="2"/>
  <c r="O391" i="2"/>
  <c r="N577" i="2"/>
  <c r="P612" i="2"/>
  <c r="P704" i="2"/>
  <c r="O725" i="2"/>
  <c r="O742" i="2"/>
  <c r="O759" i="2"/>
  <c r="P776" i="2"/>
  <c r="P804" i="2"/>
  <c r="O817" i="2"/>
  <c r="N830" i="2"/>
  <c r="P868" i="2"/>
  <c r="O881" i="2"/>
  <c r="N894" i="2"/>
  <c r="P478" i="2"/>
  <c r="O603" i="2"/>
  <c r="N649" i="2"/>
  <c r="O689" i="2"/>
  <c r="P42" i="2"/>
  <c r="O55" i="2"/>
  <c r="N68" i="2"/>
  <c r="N13" i="2"/>
  <c r="P51" i="2"/>
  <c r="O64" i="2"/>
  <c r="N77" i="2"/>
  <c r="N22" i="2"/>
  <c r="P60" i="2"/>
  <c r="O73" i="2"/>
  <c r="N35" i="2"/>
  <c r="P81" i="2"/>
  <c r="O94" i="2"/>
  <c r="N107" i="2"/>
  <c r="P102" i="2"/>
  <c r="O115" i="2"/>
  <c r="P49" i="2"/>
  <c r="N85" i="2"/>
  <c r="P123" i="2"/>
  <c r="P126" i="2"/>
  <c r="P154" i="2"/>
  <c r="O167" i="2"/>
  <c r="O18" i="2"/>
  <c r="N137" i="2"/>
  <c r="P175" i="2"/>
  <c r="O127" i="2"/>
  <c r="P205" i="2"/>
  <c r="O218" i="2"/>
  <c r="N231" i="2"/>
  <c r="P161" i="2"/>
  <c r="O183" i="2"/>
  <c r="N196" i="2"/>
  <c r="P234" i="2"/>
  <c r="N94" i="2"/>
  <c r="P144" i="2"/>
  <c r="N170" i="2"/>
  <c r="P187" i="2"/>
  <c r="O200" i="2"/>
  <c r="N213" i="2"/>
  <c r="P251" i="2"/>
  <c r="O264" i="2"/>
  <c r="N277" i="2"/>
  <c r="O229" i="2"/>
  <c r="N256" i="2"/>
  <c r="O273" i="2"/>
  <c r="N288" i="2"/>
  <c r="P326" i="2"/>
  <c r="O339" i="2"/>
  <c r="N352" i="2"/>
  <c r="N63" i="2"/>
  <c r="N198" i="2"/>
  <c r="N293" i="2"/>
  <c r="N202" i="2"/>
  <c r="N247" i="2"/>
  <c r="N143" i="2"/>
  <c r="O301" i="2"/>
  <c r="N345" i="2"/>
  <c r="N362" i="2"/>
  <c r="P375" i="2"/>
  <c r="O388" i="2"/>
  <c r="N401" i="2"/>
  <c r="O282" i="2"/>
  <c r="P332" i="2"/>
  <c r="P349" i="2"/>
  <c r="N366" i="2"/>
  <c r="P404" i="2"/>
  <c r="O417" i="2"/>
  <c r="N430" i="2"/>
  <c r="O261" i="2"/>
  <c r="P292" i="2"/>
  <c r="N318" i="2"/>
  <c r="N339" i="2"/>
  <c r="O356" i="2"/>
  <c r="N371" i="2"/>
  <c r="P409" i="2"/>
  <c r="O422" i="2"/>
  <c r="N222" i="2"/>
  <c r="N350" i="2"/>
  <c r="P452" i="2"/>
  <c r="O465" i="2"/>
  <c r="N478" i="2"/>
  <c r="P516" i="2"/>
  <c r="O529" i="2"/>
  <c r="N542" i="2"/>
  <c r="P580" i="2"/>
  <c r="O399" i="2"/>
  <c r="O438" i="2"/>
  <c r="N451" i="2"/>
  <c r="P489" i="2"/>
  <c r="O502" i="2"/>
  <c r="N515" i="2"/>
  <c r="P553" i="2"/>
  <c r="O566" i="2"/>
  <c r="N579" i="2"/>
  <c r="P617" i="2"/>
  <c r="O630" i="2"/>
  <c r="N643" i="2"/>
  <c r="P467" i="2"/>
  <c r="N493" i="2"/>
  <c r="O544" i="2"/>
  <c r="O675" i="2"/>
  <c r="N688" i="2"/>
  <c r="O36" i="2"/>
  <c r="O87" i="2"/>
  <c r="P53" i="2"/>
  <c r="P147" i="2"/>
  <c r="N150" i="2"/>
  <c r="O219" i="2"/>
  <c r="O165" i="2"/>
  <c r="P223" i="2"/>
  <c r="N270" i="2"/>
  <c r="N324" i="2"/>
  <c r="P188" i="2"/>
  <c r="P192" i="2"/>
  <c r="P296" i="2"/>
  <c r="N373" i="2"/>
  <c r="O424" i="2"/>
  <c r="O389" i="2"/>
  <c r="P248" i="2"/>
  <c r="N353" i="2"/>
  <c r="N407" i="2"/>
  <c r="O395" i="2"/>
  <c r="N578" i="2"/>
  <c r="N551" i="2"/>
  <c r="O602" i="2"/>
  <c r="P653" i="2"/>
  <c r="O336" i="2"/>
  <c r="N565" i="2"/>
  <c r="P604" i="2"/>
  <c r="O695" i="2"/>
  <c r="N712" i="2"/>
  <c r="O495" i="2"/>
  <c r="P530" i="2"/>
  <c r="N564" i="2"/>
  <c r="N592" i="2"/>
  <c r="P615" i="2"/>
  <c r="O660" i="2"/>
  <c r="N681" i="2"/>
  <c r="O732" i="2"/>
  <c r="N749" i="2"/>
  <c r="P783" i="2"/>
  <c r="P455" i="2"/>
  <c r="N589" i="2"/>
  <c r="O677" i="2"/>
  <c r="P712" i="2"/>
  <c r="O758" i="2"/>
  <c r="P816" i="2"/>
  <c r="N834" i="2"/>
  <c r="O885" i="2"/>
  <c r="N902" i="2"/>
  <c r="N568" i="2"/>
  <c r="N632" i="2"/>
  <c r="N687" i="2"/>
  <c r="N752" i="2"/>
  <c r="N863" i="2"/>
  <c r="N880" i="2"/>
  <c r="N897" i="2"/>
  <c r="P937" i="2"/>
  <c r="O950" i="2"/>
  <c r="N963" i="2"/>
  <c r="P1001" i="2"/>
  <c r="O547" i="2"/>
  <c r="O721" i="2"/>
  <c r="P766" i="2"/>
  <c r="N875" i="2"/>
  <c r="O907" i="2"/>
  <c r="O983" i="2"/>
  <c r="N432" i="2"/>
  <c r="N727" i="2"/>
  <c r="O771" i="2"/>
  <c r="N809" i="2"/>
  <c r="O843" i="2"/>
  <c r="O876" i="2"/>
  <c r="O624" i="2"/>
  <c r="N796" i="2"/>
  <c r="N829" i="2"/>
  <c r="O863" i="2"/>
  <c r="P897" i="2"/>
  <c r="N952" i="2"/>
  <c r="P340" i="2"/>
  <c r="P34" i="2"/>
  <c r="O47" i="2"/>
  <c r="N60" i="2"/>
  <c r="P43" i="2"/>
  <c r="O56" i="2"/>
  <c r="N69" i="2"/>
  <c r="N14" i="2"/>
  <c r="P52" i="2"/>
  <c r="O65" i="2"/>
  <c r="N78" i="2"/>
  <c r="O54" i="2"/>
  <c r="O86" i="2"/>
  <c r="N99" i="2"/>
  <c r="P94" i="2"/>
  <c r="O107" i="2"/>
  <c r="P17" i="2"/>
  <c r="P115" i="2"/>
  <c r="O128" i="2"/>
  <c r="N102" i="2"/>
  <c r="P146" i="2"/>
  <c r="O159" i="2"/>
  <c r="N172" i="2"/>
  <c r="P167" i="2"/>
  <c r="N47" i="2"/>
  <c r="P164" i="2"/>
  <c r="P197" i="2"/>
  <c r="O210" i="2"/>
  <c r="N223" i="2"/>
  <c r="N98" i="2"/>
  <c r="P145" i="2"/>
  <c r="N171" i="2"/>
  <c r="N188" i="2"/>
  <c r="P226" i="2"/>
  <c r="O239" i="2"/>
  <c r="N154" i="2"/>
  <c r="P179" i="2"/>
  <c r="O192" i="2"/>
  <c r="N205" i="2"/>
  <c r="P243" i="2"/>
  <c r="O256" i="2"/>
  <c r="N269" i="2"/>
  <c r="P37" i="2"/>
  <c r="O197" i="2"/>
  <c r="P245" i="2"/>
  <c r="P262" i="2"/>
  <c r="P318" i="2"/>
  <c r="O331" i="2"/>
  <c r="N344" i="2"/>
  <c r="O217" i="2"/>
  <c r="N252" i="2"/>
  <c r="O269" i="2"/>
  <c r="N285" i="2"/>
  <c r="P323" i="2"/>
  <c r="O221" i="2"/>
  <c r="P253" i="2"/>
  <c r="N238" i="2"/>
  <c r="O285" i="2"/>
  <c r="O334" i="2"/>
  <c r="P351" i="2"/>
  <c r="P367" i="2"/>
  <c r="O380" i="2"/>
  <c r="N393" i="2"/>
  <c r="P431" i="2"/>
  <c r="N260" i="2"/>
  <c r="P317" i="2"/>
  <c r="P396" i="2"/>
  <c r="O409" i="2"/>
  <c r="N422" i="2"/>
  <c r="N302" i="2"/>
  <c r="P345" i="2"/>
  <c r="P401" i="2"/>
  <c r="O414" i="2"/>
  <c r="N427" i="2"/>
  <c r="N424" i="2"/>
  <c r="P444" i="2"/>
  <c r="O457" i="2"/>
  <c r="N470" i="2"/>
  <c r="P508" i="2"/>
  <c r="O521" i="2"/>
  <c r="N534" i="2"/>
  <c r="P572" i="2"/>
  <c r="O367" i="2"/>
  <c r="P418" i="2"/>
  <c r="N443" i="2"/>
  <c r="P481" i="2"/>
  <c r="O494" i="2"/>
  <c r="N507" i="2"/>
  <c r="P545" i="2"/>
  <c r="O558" i="2"/>
  <c r="N571" i="2"/>
  <c r="P609" i="2"/>
  <c r="O622" i="2"/>
  <c r="N635" i="2"/>
  <c r="O19" i="2"/>
  <c r="N32" i="2"/>
  <c r="P70" i="2"/>
  <c r="P15" i="2"/>
  <c r="O28" i="2"/>
  <c r="N41" i="2"/>
  <c r="P79" i="2"/>
  <c r="P24" i="2"/>
  <c r="O37" i="2"/>
  <c r="N50" i="2"/>
  <c r="P109" i="2"/>
  <c r="O122" i="2"/>
  <c r="O26" i="2"/>
  <c r="P77" i="2"/>
  <c r="N92" i="2"/>
  <c r="N59" i="2"/>
  <c r="P87" i="2"/>
  <c r="O100" i="2"/>
  <c r="N113" i="2"/>
  <c r="P92" i="2"/>
  <c r="O131" i="2"/>
  <c r="N144" i="2"/>
  <c r="N122" i="2"/>
  <c r="P139" i="2"/>
  <c r="O152" i="2"/>
  <c r="N165" i="2"/>
  <c r="N134" i="2"/>
  <c r="O182" i="2"/>
  <c r="N195" i="2"/>
  <c r="P233" i="2"/>
  <c r="O166" i="2"/>
  <c r="P198" i="2"/>
  <c r="O211" i="2"/>
  <c r="N224" i="2"/>
  <c r="O113" i="2"/>
  <c r="O149" i="2"/>
  <c r="P215" i="2"/>
  <c r="O228" i="2"/>
  <c r="N241" i="2"/>
  <c r="P279" i="2"/>
  <c r="O259" i="2"/>
  <c r="P276" i="2"/>
  <c r="P290" i="2"/>
  <c r="O303" i="2"/>
  <c r="N316" i="2"/>
  <c r="P354" i="2"/>
  <c r="P133" i="2"/>
  <c r="N266" i="2"/>
  <c r="P295" i="2"/>
  <c r="O308" i="2"/>
  <c r="N321" i="2"/>
  <c r="P141" i="2"/>
  <c r="O250" i="2"/>
  <c r="N280" i="2"/>
  <c r="N306" i="2"/>
  <c r="N331" i="2"/>
  <c r="O348" i="2"/>
  <c r="N365" i="2"/>
  <c r="P403" i="2"/>
  <c r="O416" i="2"/>
  <c r="N429" i="2"/>
  <c r="O247" i="2"/>
  <c r="N287" i="2"/>
  <c r="P368" i="2"/>
  <c r="O381" i="2"/>
  <c r="N394" i="2"/>
  <c r="P432" i="2"/>
  <c r="P268" i="2"/>
  <c r="O297" i="2"/>
  <c r="O342" i="2"/>
  <c r="P359" i="2"/>
  <c r="P373" i="2"/>
  <c r="O386" i="2"/>
  <c r="N399" i="2"/>
  <c r="N275" i="2"/>
  <c r="P414" i="2"/>
  <c r="N442" i="2"/>
  <c r="P480" i="2"/>
  <c r="O493" i="2"/>
  <c r="N506" i="2"/>
  <c r="P544" i="2"/>
  <c r="O557" i="2"/>
  <c r="N570" i="2"/>
  <c r="N258" i="2"/>
  <c r="P355" i="2"/>
  <c r="P453" i="2"/>
  <c r="O466" i="2"/>
  <c r="N479" i="2"/>
  <c r="P517" i="2"/>
  <c r="O530" i="2"/>
  <c r="N543" i="2"/>
  <c r="P581" i="2"/>
  <c r="O594" i="2"/>
  <c r="N607" i="2"/>
  <c r="P645" i="2"/>
  <c r="O658" i="2"/>
  <c r="N671" i="2"/>
  <c r="O472" i="2"/>
  <c r="P523" i="2"/>
  <c r="N549" i="2"/>
  <c r="N628" i="2"/>
  <c r="N645" i="2"/>
  <c r="N662" i="2"/>
  <c r="P690" i="2"/>
  <c r="O703" i="2"/>
  <c r="P196" i="2"/>
  <c r="O403" i="2"/>
  <c r="N452" i="2"/>
  <c r="O503" i="2"/>
  <c r="P554" i="2"/>
  <c r="N580" i="2"/>
  <c r="O597" i="2"/>
  <c r="P614" i="2"/>
  <c r="P631" i="2"/>
  <c r="P648" i="2"/>
  <c r="O680" i="2"/>
  <c r="N693" i="2"/>
  <c r="P731" i="2"/>
  <c r="O744" i="2"/>
  <c r="N757" i="2"/>
  <c r="O436" i="2"/>
  <c r="P487" i="2"/>
  <c r="N621" i="2"/>
  <c r="O655" i="2"/>
  <c r="O685" i="2"/>
  <c r="P729" i="2"/>
  <c r="P746" i="2"/>
  <c r="P820" i="2"/>
  <c r="O833" i="2"/>
  <c r="N846" i="2"/>
  <c r="P884" i="2"/>
  <c r="O897" i="2"/>
  <c r="P406" i="2"/>
  <c r="P495" i="2"/>
  <c r="O563" i="2"/>
  <c r="P660" i="2"/>
  <c r="P697" i="2"/>
  <c r="P726" i="2"/>
  <c r="N20" i="2"/>
  <c r="P58" i="2"/>
  <c r="O71" i="2"/>
  <c r="O16" i="2"/>
  <c r="N29" i="2"/>
  <c r="P67" i="2"/>
  <c r="P12" i="2"/>
  <c r="O25" i="2"/>
  <c r="N38" i="2"/>
  <c r="P76" i="2"/>
  <c r="P97" i="2"/>
  <c r="O110" i="2"/>
  <c r="N123" i="2"/>
  <c r="P29" i="2"/>
  <c r="N80" i="2"/>
  <c r="P118" i="2"/>
  <c r="O62" i="2"/>
  <c r="O88" i="2"/>
  <c r="N101" i="2"/>
  <c r="N132" i="2"/>
  <c r="P170" i="2"/>
  <c r="P69" i="2"/>
  <c r="O140" i="2"/>
  <c r="N153" i="2"/>
  <c r="O161" i="2"/>
  <c r="N183" i="2"/>
  <c r="P221" i="2"/>
  <c r="O234" i="2"/>
  <c r="O85" i="2"/>
  <c r="O142" i="2"/>
  <c r="P186" i="2"/>
  <c r="O199" i="2"/>
  <c r="N212" i="2"/>
  <c r="O119" i="2"/>
  <c r="P176" i="2"/>
  <c r="P203" i="2"/>
  <c r="O216" i="2"/>
  <c r="N229" i="2"/>
  <c r="P267" i="2"/>
  <c r="O280" i="2"/>
  <c r="N242" i="2"/>
  <c r="P260" i="2"/>
  <c r="P277" i="2"/>
  <c r="N180" i="2"/>
  <c r="O231" i="2"/>
  <c r="O184" i="2"/>
  <c r="P235" i="2"/>
  <c r="N151" i="2"/>
  <c r="P310" i="2"/>
  <c r="N336" i="2"/>
  <c r="P236" i="2"/>
  <c r="O328" i="2"/>
  <c r="P240" i="2"/>
  <c r="O265" i="2"/>
  <c r="P320" i="2"/>
  <c r="N385" i="2"/>
  <c r="P149" i="2"/>
  <c r="P301" i="2"/>
  <c r="O345" i="2"/>
  <c r="O401" i="2"/>
  <c r="N286" i="2"/>
  <c r="P393" i="2"/>
  <c r="N419" i="2"/>
  <c r="N333" i="2"/>
  <c r="P436" i="2"/>
  <c r="N462" i="2"/>
  <c r="O513" i="2"/>
  <c r="P564" i="2"/>
  <c r="N323" i="2"/>
  <c r="N435" i="2"/>
  <c r="O486" i="2"/>
  <c r="P537" i="2"/>
  <c r="N563" i="2"/>
  <c r="O614" i="2"/>
  <c r="P665" i="2"/>
  <c r="P435" i="2"/>
  <c r="P586" i="2"/>
  <c r="P620" i="2"/>
  <c r="P23" i="2"/>
  <c r="N58" i="2"/>
  <c r="O58" i="2"/>
  <c r="N121" i="2"/>
  <c r="N203" i="2"/>
  <c r="P206" i="2"/>
  <c r="P362" i="2"/>
  <c r="N329" i="2"/>
  <c r="N303" i="2"/>
  <c r="O394" i="2"/>
  <c r="O565" i="2"/>
  <c r="N487" i="2"/>
  <c r="P589" i="2"/>
  <c r="N501" i="2"/>
  <c r="N596" i="2"/>
  <c r="O664" i="2"/>
  <c r="N708" i="2"/>
  <c r="P632" i="2"/>
  <c r="O676" i="2"/>
  <c r="N745" i="2"/>
  <c r="O623" i="2"/>
  <c r="O829" i="2"/>
  <c r="N898" i="2"/>
  <c r="P542" i="2"/>
  <c r="P676" i="2"/>
  <c r="O746" i="2"/>
  <c r="P790" i="2"/>
  <c r="P921" i="2"/>
  <c r="N947" i="2"/>
  <c r="O998" i="2"/>
  <c r="O755" i="2"/>
  <c r="O832" i="2"/>
  <c r="P899" i="2"/>
  <c r="O951" i="2"/>
  <c r="O639" i="2"/>
  <c r="O475" i="2"/>
  <c r="P689" i="2"/>
  <c r="P787" i="2"/>
  <c r="O919" i="2"/>
  <c r="O971" i="2"/>
  <c r="N675" i="2"/>
  <c r="O734" i="2"/>
  <c r="O781" i="2"/>
  <c r="P438" i="2"/>
  <c r="O668" i="2"/>
  <c r="N925" i="2"/>
  <c r="O976" i="2"/>
  <c r="O890" i="2"/>
  <c r="N945" i="2"/>
  <c r="P734" i="2"/>
  <c r="O937" i="2"/>
  <c r="N990" i="2"/>
  <c r="N743" i="2"/>
  <c r="O822" i="2"/>
  <c r="N885" i="2"/>
  <c r="O941" i="2"/>
  <c r="P992" i="2"/>
  <c r="N699" i="2"/>
  <c r="O932" i="2"/>
  <c r="P983" i="2"/>
  <c r="P794" i="2"/>
  <c r="N9" i="2"/>
  <c r="O43" i="2"/>
  <c r="O61" i="2"/>
  <c r="N95" i="2"/>
  <c r="N71" i="2"/>
  <c r="O124" i="2"/>
  <c r="O155" i="2"/>
  <c r="P130" i="2"/>
  <c r="O206" i="2"/>
  <c r="P137" i="2"/>
  <c r="N146" i="2"/>
  <c r="N265" i="2"/>
  <c r="O257" i="2"/>
  <c r="P314" i="2"/>
  <c r="O101" i="2"/>
  <c r="N126" i="2"/>
  <c r="N363" i="2"/>
  <c r="P309" i="2"/>
  <c r="O340" i="2"/>
  <c r="P397" i="2"/>
  <c r="O354" i="2"/>
  <c r="N466" i="2"/>
  <c r="O517" i="2"/>
  <c r="P568" i="2"/>
  <c r="N439" i="2"/>
  <c r="O490" i="2"/>
  <c r="P541" i="2"/>
  <c r="P451" i="2"/>
  <c r="N597" i="2"/>
  <c r="O631" i="2"/>
  <c r="O665" i="2"/>
  <c r="N692" i="2"/>
  <c r="N384" i="2"/>
  <c r="O455" i="2"/>
  <c r="N524" i="2"/>
  <c r="O611" i="2"/>
  <c r="N656" i="2"/>
  <c r="P711" i="2"/>
  <c r="N729" i="2"/>
  <c r="O780" i="2"/>
  <c r="O580" i="2"/>
  <c r="O625" i="2"/>
  <c r="N670" i="2"/>
  <c r="N706" i="2"/>
  <c r="N754" i="2"/>
  <c r="P777" i="2"/>
  <c r="P796" i="2"/>
  <c r="O813" i="2"/>
  <c r="P864" i="2"/>
  <c r="N882" i="2"/>
  <c r="N457" i="2"/>
  <c r="P550" i="2"/>
  <c r="O620" i="2"/>
  <c r="O678" i="2"/>
  <c r="O722" i="2"/>
  <c r="P770" i="2"/>
  <c r="P791" i="2"/>
  <c r="P909" i="2"/>
  <c r="O922" i="2"/>
  <c r="N935" i="2"/>
  <c r="P973" i="2"/>
  <c r="O986" i="2"/>
  <c r="N999" i="2"/>
  <c r="N711" i="2"/>
  <c r="N758" i="2"/>
  <c r="O799" i="2"/>
  <c r="P834" i="2"/>
  <c r="N928" i="2"/>
  <c r="P978" i="2"/>
  <c r="N544" i="2"/>
  <c r="P718" i="2"/>
  <c r="N871" i="2"/>
  <c r="O483" i="2"/>
  <c r="O607" i="2"/>
  <c r="N694" i="2"/>
  <c r="O745" i="2"/>
  <c r="N891" i="2"/>
  <c r="O947" i="2"/>
  <c r="O999" i="2"/>
  <c r="O523" i="2"/>
  <c r="O636" i="2"/>
  <c r="P713" i="2"/>
  <c r="O761" i="2"/>
  <c r="O588" i="2"/>
  <c r="N736" i="2"/>
  <c r="P939" i="2"/>
  <c r="N965" i="2"/>
  <c r="O651" i="2"/>
  <c r="O840" i="2"/>
  <c r="N921" i="2"/>
  <c r="O972" i="2"/>
  <c r="N620" i="2"/>
  <c r="N820" i="2"/>
  <c r="P494" i="2"/>
  <c r="O697" i="2"/>
  <c r="O792" i="2"/>
  <c r="O904" i="2"/>
  <c r="N930" i="2"/>
  <c r="O981" i="2"/>
  <c r="O908" i="2"/>
  <c r="P959" i="2"/>
  <c r="N520" i="2"/>
  <c r="N803" i="2"/>
  <c r="N910" i="2"/>
  <c r="N136" i="2"/>
  <c r="O238" i="2"/>
  <c r="O295" i="2"/>
  <c r="O255" i="2"/>
  <c r="P395" i="2"/>
  <c r="N359" i="2"/>
  <c r="P429" i="2"/>
  <c r="N498" i="2"/>
  <c r="O522" i="2"/>
  <c r="P426" i="2"/>
  <c r="P618" i="2"/>
  <c r="O683" i="2"/>
  <c r="O318" i="2"/>
  <c r="N476" i="2"/>
  <c r="P647" i="2"/>
  <c r="O688" i="2"/>
  <c r="O756" i="2"/>
  <c r="N653" i="2"/>
  <c r="N723" i="2"/>
  <c r="O841" i="2"/>
  <c r="O387" i="2"/>
  <c r="P708" i="2"/>
  <c r="N762" i="2"/>
  <c r="O802" i="2"/>
  <c r="O836" i="2"/>
  <c r="P870" i="2"/>
  <c r="O930" i="2"/>
  <c r="P981" i="2"/>
  <c r="P470" i="2"/>
  <c r="N683" i="2"/>
  <c r="P786" i="2"/>
  <c r="P918" i="2"/>
  <c r="O694" i="2"/>
  <c r="O858" i="2"/>
  <c r="P534" i="2"/>
  <c r="P802" i="2"/>
  <c r="P930" i="2"/>
  <c r="N602" i="2"/>
  <c r="N823" i="2"/>
  <c r="O770" i="2"/>
  <c r="P895" i="2"/>
  <c r="N949" i="2"/>
  <c r="O1000" i="2"/>
  <c r="P991" i="2"/>
  <c r="O871" i="2"/>
  <c r="O985" i="2"/>
  <c r="P737" i="2"/>
  <c r="N883" i="2"/>
  <c r="N853" i="2"/>
  <c r="O980" i="2"/>
  <c r="P858" i="2"/>
  <c r="N966" i="2"/>
  <c r="O969" i="2"/>
  <c r="O10" i="2"/>
  <c r="P46" i="2"/>
  <c r="O13" i="2"/>
  <c r="P64" i="2"/>
  <c r="O98" i="2"/>
  <c r="P65" i="2"/>
  <c r="P127" i="2"/>
  <c r="P158" i="2"/>
  <c r="N141" i="2"/>
  <c r="O137" i="2"/>
  <c r="P209" i="2"/>
  <c r="P152" i="2"/>
  <c r="N217" i="2"/>
  <c r="O268" i="2"/>
  <c r="P261" i="2"/>
  <c r="O146" i="2"/>
  <c r="O284" i="2"/>
  <c r="O154" i="2"/>
  <c r="O129" i="2"/>
  <c r="P344" i="2"/>
  <c r="O469" i="2"/>
  <c r="P520" i="2"/>
  <c r="O442" i="2"/>
  <c r="P493" i="2"/>
  <c r="N647" i="2"/>
  <c r="O456" i="2"/>
  <c r="P507" i="2"/>
  <c r="O600" i="2"/>
  <c r="P634" i="2"/>
  <c r="P668" i="2"/>
  <c r="P710" i="2"/>
  <c r="P390" i="2"/>
  <c r="N492" i="2"/>
  <c r="O559" i="2"/>
  <c r="O612" i="2"/>
  <c r="N658" i="2"/>
  <c r="P695" i="2"/>
  <c r="N713" i="2"/>
  <c r="O764" i="2"/>
  <c r="N781" i="2"/>
  <c r="O516" i="2"/>
  <c r="N674" i="2"/>
  <c r="N756" i="2"/>
  <c r="P778" i="2"/>
  <c r="O797" i="2"/>
  <c r="N866" i="2"/>
  <c r="P954" i="2"/>
  <c r="P765" i="2"/>
  <c r="N873" i="2"/>
  <c r="N859" i="2"/>
  <c r="O992" i="2"/>
  <c r="P975" i="2"/>
  <c r="P705" i="2"/>
  <c r="O913" i="2"/>
  <c r="O133" i="2"/>
  <c r="O408" i="2"/>
  <c r="N428" i="2"/>
  <c r="N608" i="2"/>
  <c r="N761" i="2"/>
  <c r="O845" i="2"/>
  <c r="N718" i="2"/>
  <c r="P933" i="2"/>
  <c r="O702" i="2"/>
  <c r="N751" i="2"/>
  <c r="N917" i="2"/>
  <c r="N528" i="2"/>
  <c r="P594" i="2"/>
  <c r="P890" i="2"/>
  <c r="O34" i="2"/>
  <c r="N197" i="2"/>
  <c r="O248" i="2"/>
  <c r="P216" i="2"/>
  <c r="O291" i="2"/>
  <c r="P342" i="2"/>
  <c r="N250" i="2"/>
  <c r="P283" i="2"/>
  <c r="N309" i="2"/>
  <c r="O251" i="2"/>
  <c r="N282" i="2"/>
  <c r="O332" i="2"/>
  <c r="P391" i="2"/>
  <c r="N417" i="2"/>
  <c r="O314" i="2"/>
  <c r="N382" i="2"/>
  <c r="O433" i="2"/>
  <c r="P343" i="2"/>
  <c r="O374" i="2"/>
  <c r="P425" i="2"/>
  <c r="P366" i="2"/>
  <c r="P468" i="2"/>
  <c r="N494" i="2"/>
  <c r="O545" i="2"/>
  <c r="P441" i="2"/>
  <c r="N467" i="2"/>
  <c r="O518" i="2"/>
  <c r="P569" i="2"/>
  <c r="N595" i="2"/>
  <c r="O646" i="2"/>
  <c r="O448" i="2"/>
  <c r="P499" i="2"/>
  <c r="N629" i="2"/>
  <c r="O663" i="2"/>
  <c r="P14" i="2"/>
  <c r="N49" i="2"/>
  <c r="P25" i="2"/>
  <c r="N100" i="2"/>
  <c r="O160" i="2"/>
  <c r="N232" i="2"/>
  <c r="O236" i="2"/>
  <c r="O346" i="2"/>
  <c r="P488" i="2"/>
  <c r="P329" i="2"/>
  <c r="N615" i="2"/>
  <c r="P394" i="2"/>
  <c r="N613" i="2"/>
  <c r="O679" i="2"/>
  <c r="O262" i="2"/>
  <c r="P538" i="2"/>
  <c r="P598" i="2"/>
  <c r="O643" i="2"/>
  <c r="N685" i="2"/>
  <c r="P719" i="2"/>
  <c r="N753" i="2"/>
  <c r="P281" i="2"/>
  <c r="P644" i="2"/>
  <c r="N838" i="2"/>
  <c r="P872" i="2"/>
  <c r="O294" i="2"/>
  <c r="N586" i="2"/>
  <c r="N799" i="2"/>
  <c r="N833" i="2"/>
  <c r="O867" i="2"/>
  <c r="P901" i="2"/>
  <c r="P953" i="2"/>
  <c r="N979" i="2"/>
  <c r="O669" i="2"/>
  <c r="N778" i="2"/>
  <c r="P849" i="2"/>
  <c r="N964" i="2"/>
  <c r="O467" i="2"/>
  <c r="P681" i="2"/>
  <c r="P782" i="2"/>
  <c r="P543" i="2"/>
  <c r="N932" i="2"/>
  <c r="N984" i="2"/>
  <c r="N585" i="2"/>
  <c r="P692" i="2"/>
  <c r="N791" i="2"/>
  <c r="N825" i="2"/>
  <c r="O859" i="2"/>
  <c r="O507" i="2"/>
  <c r="P795" i="2"/>
  <c r="P931" i="2"/>
  <c r="N957" i="2"/>
  <c r="O515" i="2"/>
  <c r="N780" i="2"/>
  <c r="N950" i="2"/>
  <c r="N648" i="2"/>
  <c r="N766" i="2"/>
  <c r="O839" i="2"/>
  <c r="N922" i="2"/>
  <c r="O973" i="2"/>
  <c r="O750" i="2"/>
  <c r="N888" i="2"/>
  <c r="P943" i="2"/>
  <c r="O996" i="2"/>
  <c r="O921" i="2"/>
  <c r="N56" i="2"/>
  <c r="P39" i="2"/>
  <c r="N74" i="2"/>
  <c r="P90" i="2"/>
  <c r="N86" i="2"/>
  <c r="N168" i="2"/>
  <c r="P156" i="2"/>
  <c r="N219" i="2"/>
  <c r="N163" i="2"/>
  <c r="P222" i="2"/>
  <c r="O274" i="2"/>
  <c r="O327" i="2"/>
  <c r="O201" i="2"/>
  <c r="O205" i="2"/>
  <c r="O376" i="2"/>
  <c r="P427" i="2"/>
  <c r="P333" i="2"/>
  <c r="P392" i="2"/>
  <c r="N264" i="2"/>
  <c r="O357" i="2"/>
  <c r="O410" i="2"/>
  <c r="N408" i="2"/>
  <c r="N530" i="2"/>
  <c r="N503" i="2"/>
  <c r="O554" i="2"/>
  <c r="P605" i="2"/>
  <c r="O654" i="2"/>
  <c r="O464" i="2"/>
  <c r="P515" i="2"/>
  <c r="N696" i="2"/>
  <c r="N416" i="2"/>
  <c r="O463" i="2"/>
  <c r="P498" i="2"/>
  <c r="N532" i="2"/>
  <c r="N594" i="2"/>
  <c r="P616" i="2"/>
  <c r="P662" i="2"/>
  <c r="O716" i="2"/>
  <c r="N733" i="2"/>
  <c r="P767" i="2"/>
  <c r="O784" i="2"/>
  <c r="N529" i="2"/>
  <c r="O591" i="2"/>
  <c r="N636" i="2"/>
  <c r="P680" i="2"/>
  <c r="N714" i="2"/>
  <c r="P760" i="2"/>
  <c r="P800" i="2"/>
  <c r="N818" i="2"/>
  <c r="O869" i="2"/>
  <c r="N886" i="2"/>
  <c r="O572" i="2"/>
  <c r="N691" i="2"/>
  <c r="O729" i="2"/>
  <c r="P753" i="2"/>
  <c r="N776" i="2"/>
  <c r="N847" i="2"/>
  <c r="N864" i="2"/>
  <c r="N881" i="2"/>
  <c r="O898" i="2"/>
  <c r="P925" i="2"/>
  <c r="O938" i="2"/>
  <c r="N951" i="2"/>
  <c r="P989" i="2"/>
  <c r="P264" i="2"/>
  <c r="O556" i="2"/>
  <c r="P655" i="2"/>
  <c r="P769" i="2"/>
  <c r="N843" i="2"/>
  <c r="N877" i="2"/>
  <c r="P934" i="2"/>
  <c r="O959" i="2"/>
  <c r="P574" i="2"/>
  <c r="O667" i="2"/>
  <c r="N730" i="2"/>
  <c r="N774" i="2"/>
  <c r="O811" i="2"/>
  <c r="P845" i="2"/>
  <c r="P878" i="2"/>
  <c r="O798" i="2"/>
  <c r="O831" i="2"/>
  <c r="P865" i="2"/>
  <c r="O927" i="2"/>
  <c r="O979" i="2"/>
  <c r="O810" i="2"/>
  <c r="O844" i="2"/>
  <c r="P879" i="2"/>
  <c r="N634" i="2"/>
  <c r="O891" i="2"/>
  <c r="O920" i="2"/>
  <c r="P971" i="2"/>
  <c r="N997" i="2"/>
  <c r="P874" i="2"/>
  <c r="N985" i="2"/>
  <c r="O854" i="2"/>
  <c r="N926" i="2"/>
  <c r="P980" i="2"/>
  <c r="N726" i="2"/>
  <c r="P809" i="2"/>
  <c r="P936" i="2"/>
  <c r="N962" i="2"/>
  <c r="P639" i="2"/>
  <c r="N836" i="2"/>
  <c r="P841" i="2"/>
  <c r="P924" i="2"/>
  <c r="P972" i="2"/>
  <c r="N4" i="2"/>
  <c r="P16" i="2"/>
  <c r="P101" i="2"/>
  <c r="O78" i="2"/>
  <c r="O150" i="2"/>
  <c r="P271" i="2"/>
  <c r="P287" i="2"/>
  <c r="N290" i="2"/>
  <c r="N421" i="2"/>
  <c r="N386" i="2"/>
  <c r="P382" i="2"/>
  <c r="P445" i="2"/>
  <c r="O650" i="2"/>
  <c r="O560" i="2"/>
  <c r="P635" i="2"/>
  <c r="P694" i="2"/>
  <c r="P562" i="2"/>
  <c r="O613" i="2"/>
  <c r="O659" i="2"/>
  <c r="N697" i="2"/>
  <c r="N765" i="2"/>
  <c r="O452" i="2"/>
  <c r="N850" i="2"/>
  <c r="P773" i="2"/>
  <c r="N879" i="2"/>
  <c r="N911" i="2"/>
  <c r="O962" i="2"/>
  <c r="O539" i="2"/>
  <c r="O718" i="2"/>
  <c r="P803" i="2"/>
  <c r="O931" i="2"/>
  <c r="P724" i="2"/>
  <c r="N807" i="2"/>
  <c r="O875" i="2"/>
  <c r="P818" i="2"/>
  <c r="N944" i="2"/>
  <c r="N767" i="2"/>
  <c r="N840" i="2"/>
  <c r="P558" i="2"/>
  <c r="O808" i="2"/>
  <c r="O605" i="2"/>
  <c r="P908" i="2"/>
  <c r="O460" i="2"/>
  <c r="N783" i="2"/>
  <c r="N900" i="2"/>
  <c r="P952" i="2"/>
  <c r="N464" i="2"/>
  <c r="O451" i="2"/>
  <c r="O903" i="2"/>
  <c r="O993" i="2"/>
  <c r="N7" i="2"/>
  <c r="N867" i="2"/>
  <c r="P9" i="2"/>
  <c r="O59" i="2"/>
  <c r="N26" i="2"/>
  <c r="O77" i="2"/>
  <c r="N111" i="2"/>
  <c r="N89" i="2"/>
  <c r="O171" i="2"/>
  <c r="O222" i="2"/>
  <c r="P169" i="2"/>
  <c r="N178" i="2"/>
  <c r="N281" i="2"/>
  <c r="P278" i="2"/>
  <c r="P330" i="2"/>
  <c r="N214" i="2"/>
  <c r="N297" i="2"/>
  <c r="N218" i="2"/>
  <c r="O309" i="2"/>
  <c r="P379" i="2"/>
  <c r="P361" i="2"/>
  <c r="P413" i="2"/>
  <c r="N482" i="2"/>
  <c r="O533" i="2"/>
  <c r="O277" i="2"/>
  <c r="N455" i="2"/>
  <c r="O506" i="2"/>
  <c r="P557" i="2"/>
  <c r="N469" i="2"/>
  <c r="O520" i="2"/>
  <c r="P571" i="2"/>
  <c r="N676" i="2"/>
  <c r="P714" i="2"/>
  <c r="P422" i="2"/>
  <c r="P466" i="2"/>
  <c r="N500" i="2"/>
  <c r="O595" i="2"/>
  <c r="N641" i="2"/>
  <c r="P663" i="2"/>
  <c r="O700" i="2"/>
  <c r="N717" i="2"/>
  <c r="P751" i="2"/>
  <c r="O768" i="2"/>
  <c r="N785" i="2"/>
  <c r="N465" i="2"/>
  <c r="O532" i="2"/>
  <c r="O593" i="2"/>
  <c r="O640" i="2"/>
  <c r="N682" i="2"/>
  <c r="N739" i="2"/>
  <c r="P761" i="2"/>
  <c r="N802" i="2"/>
  <c r="O853" i="2"/>
  <c r="N870" i="2"/>
  <c r="P904" i="2"/>
  <c r="P486" i="2"/>
  <c r="N576" i="2"/>
  <c r="P640" i="2"/>
  <c r="P693" i="2"/>
  <c r="N831" i="2"/>
  <c r="N848" i="2"/>
  <c r="N865" i="2"/>
  <c r="O882" i="2"/>
  <c r="O899" i="2"/>
  <c r="P913" i="2"/>
  <c r="O926" i="2"/>
  <c r="N939" i="2"/>
  <c r="P977" i="2"/>
  <c r="O990" i="2"/>
  <c r="P410" i="2"/>
  <c r="P772" i="2"/>
  <c r="N845" i="2"/>
  <c r="O879" i="2"/>
  <c r="P910" i="2"/>
  <c r="N936" i="2"/>
  <c r="P986" i="2"/>
  <c r="O673" i="2"/>
  <c r="P813" i="2"/>
  <c r="P847" i="2"/>
  <c r="N299" i="2"/>
  <c r="P526" i="2"/>
  <c r="O635" i="2"/>
  <c r="O713" i="2"/>
  <c r="O800" i="2"/>
  <c r="P833" i="2"/>
  <c r="P867" i="2"/>
  <c r="O955" i="2"/>
  <c r="O812" i="2"/>
  <c r="P846" i="2"/>
  <c r="O286" i="2"/>
  <c r="P764" i="2"/>
  <c r="O838" i="2"/>
  <c r="P893" i="2"/>
  <c r="P947" i="2"/>
  <c r="N973" i="2"/>
  <c r="O733" i="2"/>
  <c r="N937" i="2"/>
  <c r="O988" i="2"/>
  <c r="N710" i="2"/>
  <c r="O929" i="2"/>
  <c r="O579" i="2"/>
  <c r="P912" i="2"/>
  <c r="N938" i="2"/>
  <c r="O989" i="2"/>
  <c r="N977" i="2"/>
  <c r="N665" i="2"/>
  <c r="P8" i="2"/>
  <c r="P62" i="2"/>
  <c r="O29" i="2"/>
  <c r="O114" i="2"/>
  <c r="O92" i="2"/>
  <c r="P174" i="2"/>
  <c r="O169" i="2"/>
  <c r="O300" i="2"/>
  <c r="P365" i="2"/>
  <c r="P536" i="2"/>
  <c r="O458" i="2"/>
  <c r="P657" i="2"/>
  <c r="N573" i="2"/>
  <c r="N644" i="2"/>
  <c r="P698" i="2"/>
  <c r="O434" i="2"/>
  <c r="P570" i="2"/>
  <c r="P664" i="2"/>
  <c r="N701" i="2"/>
  <c r="P735" i="2"/>
  <c r="N769" i="2"/>
  <c r="O468" i="2"/>
  <c r="N740" i="2"/>
  <c r="N786" i="2"/>
  <c r="N854" i="2"/>
  <c r="P888" i="2"/>
  <c r="O491" i="2"/>
  <c r="P643" i="2"/>
  <c r="P733" i="2"/>
  <c r="N779" i="2"/>
  <c r="N815" i="2"/>
  <c r="N849" i="2"/>
  <c r="O883" i="2"/>
  <c r="O914" i="2"/>
  <c r="P965" i="2"/>
  <c r="N991" i="2"/>
  <c r="N812" i="2"/>
  <c r="P881" i="2"/>
  <c r="N988" i="2"/>
  <c r="N588" i="2"/>
  <c r="P815" i="2"/>
  <c r="N664" i="2"/>
  <c r="N844" i="2"/>
  <c r="O911" i="2"/>
  <c r="O963" i="2"/>
  <c r="P670" i="2"/>
  <c r="O778" i="2"/>
  <c r="N695" i="2"/>
  <c r="P859" i="2"/>
  <c r="N981" i="2"/>
  <c r="N789" i="2"/>
  <c r="N637" i="2"/>
  <c r="N835" i="2"/>
  <c r="P920" i="2"/>
  <c r="P740" i="2"/>
  <c r="N942" i="2"/>
  <c r="P7" i="2"/>
  <c r="N8" i="2"/>
  <c r="P932" i="2"/>
  <c r="P1000" i="2"/>
  <c r="O144" i="2"/>
  <c r="O220" i="2"/>
  <c r="O322" i="2"/>
  <c r="P472" i="2"/>
  <c r="N509" i="2"/>
  <c r="O527" i="2"/>
  <c r="P679" i="2"/>
  <c r="O901" i="2"/>
  <c r="N896" i="2"/>
  <c r="N975" i="2"/>
  <c r="P768" i="2"/>
  <c r="P685" i="2"/>
  <c r="N720" i="2"/>
  <c r="O936" i="2"/>
  <c r="P967" i="2"/>
  <c r="O961" i="2"/>
  <c r="P784" i="2"/>
  <c r="O945" i="2"/>
  <c r="P21" i="2"/>
  <c r="N200" i="2"/>
  <c r="O204" i="2"/>
  <c r="O350" i="2"/>
  <c r="N370" i="2"/>
  <c r="N326" i="2"/>
  <c r="P456" i="2"/>
  <c r="P669" i="2"/>
  <c r="O629" i="2"/>
  <c r="O708" i="2"/>
  <c r="P759" i="2"/>
  <c r="O727" i="2"/>
  <c r="O793" i="2"/>
  <c r="N669" i="2"/>
  <c r="O766" i="2"/>
  <c r="P822" i="2"/>
  <c r="N907" i="2"/>
  <c r="O958" i="2"/>
  <c r="O862" i="2"/>
  <c r="N948" i="2"/>
  <c r="P998" i="2"/>
  <c r="N707" i="2"/>
  <c r="P830" i="2"/>
  <c r="O816" i="2"/>
  <c r="N916" i="2"/>
  <c r="P829" i="2"/>
  <c r="N804" i="2"/>
  <c r="O960" i="2"/>
  <c r="O964" i="2"/>
  <c r="O905" i="2"/>
  <c r="O443" i="2"/>
  <c r="O925" i="2"/>
  <c r="P774" i="2"/>
  <c r="O1001" i="2"/>
  <c r="O715" i="2"/>
  <c r="O596" i="2"/>
  <c r="O684" i="2"/>
  <c r="O209" i="2"/>
  <c r="P642" i="2"/>
  <c r="O245" i="2"/>
  <c r="O866" i="2"/>
  <c r="N775" i="2"/>
  <c r="N912" i="2"/>
  <c r="P677" i="2"/>
  <c r="N569" i="2"/>
  <c r="N811" i="2"/>
  <c r="N903" i="2"/>
  <c r="N946" i="2"/>
  <c r="O555" i="2"/>
  <c r="O749" i="2"/>
  <c r="O910" i="2"/>
  <c r="O974" i="2"/>
  <c r="P638" i="2"/>
  <c r="N650" i="2"/>
  <c r="N839" i="2"/>
  <c r="N748" i="2"/>
  <c r="N893" i="2"/>
  <c r="O717" i="2"/>
  <c r="N872" i="2"/>
  <c r="N941" i="2"/>
  <c r="P810" i="2"/>
  <c r="P811" i="2"/>
  <c r="P5" i="2"/>
  <c r="N24" i="2"/>
  <c r="P272" i="2"/>
  <c r="N315" i="2"/>
  <c r="P637" i="2"/>
  <c r="O692" i="2"/>
  <c r="P728" i="2"/>
  <c r="N959" i="2"/>
  <c r="N795" i="2"/>
  <c r="P798" i="2"/>
  <c r="N827" i="2"/>
  <c r="P950" i="2"/>
  <c r="P831" i="2"/>
  <c r="O968" i="2"/>
  <c r="P927" i="2"/>
  <c r="O916" i="2"/>
  <c r="P916" i="2"/>
  <c r="P10" i="2"/>
  <c r="N138" i="2"/>
  <c r="N261" i="2"/>
  <c r="O323" i="2"/>
  <c r="O185" i="2"/>
  <c r="P258" i="2"/>
  <c r="P315" i="2"/>
  <c r="O189" i="2"/>
  <c r="O372" i="2"/>
  <c r="P423" i="2"/>
  <c r="N274" i="2"/>
  <c r="N327" i="2"/>
  <c r="O362" i="2"/>
  <c r="P388" i="2"/>
  <c r="N414" i="2"/>
  <c r="N244" i="2"/>
  <c r="O406" i="2"/>
  <c r="N392" i="2"/>
  <c r="O449" i="2"/>
  <c r="P500" i="2"/>
  <c r="N526" i="2"/>
  <c r="O577" i="2"/>
  <c r="P386" i="2"/>
  <c r="P473" i="2"/>
  <c r="N499" i="2"/>
  <c r="O550" i="2"/>
  <c r="P601" i="2"/>
  <c r="N627" i="2"/>
  <c r="O326" i="2"/>
  <c r="N461" i="2"/>
  <c r="O512" i="2"/>
  <c r="P563" i="2"/>
  <c r="P603" i="2"/>
  <c r="N40" i="2"/>
  <c r="N152" i="2"/>
  <c r="P116" i="2"/>
  <c r="O311" i="2"/>
  <c r="O267" i="2"/>
  <c r="P411" i="2"/>
  <c r="P376" i="2"/>
  <c r="O337" i="2"/>
  <c r="N514" i="2"/>
  <c r="O538" i="2"/>
  <c r="O552" i="2"/>
  <c r="N630" i="2"/>
  <c r="O691" i="2"/>
  <c r="O371" i="2"/>
  <c r="O487" i="2"/>
  <c r="N556" i="2"/>
  <c r="N609" i="2"/>
  <c r="P727" i="2"/>
  <c r="P439" i="2"/>
  <c r="N668" i="2"/>
  <c r="P730" i="2"/>
  <c r="O775" i="2"/>
  <c r="P812" i="2"/>
  <c r="P880" i="2"/>
  <c r="O719" i="2"/>
  <c r="O769" i="2"/>
  <c r="P807" i="2"/>
  <c r="O934" i="2"/>
  <c r="P985" i="2"/>
  <c r="N797" i="2"/>
  <c r="P866" i="2"/>
  <c r="P926" i="2"/>
  <c r="N536" i="2"/>
  <c r="N601" i="2"/>
  <c r="P742" i="2"/>
  <c r="P709" i="2"/>
  <c r="P799" i="2"/>
  <c r="P575" i="2"/>
  <c r="O730" i="2"/>
  <c r="O912" i="2"/>
  <c r="P963" i="2"/>
  <c r="N989" i="2"/>
  <c r="P628" i="2"/>
  <c r="P964" i="2"/>
  <c r="N788" i="2"/>
  <c r="O856" i="2"/>
  <c r="O902" i="2"/>
  <c r="P928" i="2"/>
  <c r="N954" i="2"/>
  <c r="P793" i="2"/>
  <c r="N905" i="2"/>
  <c r="O956" i="2"/>
  <c r="P502" i="2"/>
  <c r="N982" i="2"/>
  <c r="O52" i="2"/>
  <c r="O38" i="2"/>
  <c r="O103" i="2"/>
  <c r="N128" i="2"/>
  <c r="N31" i="2"/>
  <c r="P163" i="2"/>
  <c r="N184" i="2"/>
  <c r="O235" i="2"/>
  <c r="O188" i="2"/>
  <c r="P239" i="2"/>
  <c r="O181" i="2"/>
  <c r="N340" i="2"/>
  <c r="N248" i="2"/>
  <c r="P328" i="2"/>
  <c r="N389" i="2"/>
  <c r="P228" i="2"/>
  <c r="O405" i="2"/>
  <c r="N294" i="2"/>
  <c r="N423" i="2"/>
  <c r="P440" i="2"/>
  <c r="N567" i="2"/>
  <c r="O618" i="2"/>
  <c r="N477" i="2"/>
  <c r="O528" i="2"/>
  <c r="P579" i="2"/>
  <c r="N614" i="2"/>
  <c r="O648" i="2"/>
  <c r="N680" i="2"/>
  <c r="O279" i="2"/>
  <c r="P506" i="2"/>
  <c r="N540" i="2"/>
  <c r="O575" i="2"/>
  <c r="P599" i="2"/>
  <c r="O645" i="2"/>
  <c r="P703" i="2"/>
  <c r="O720" i="2"/>
  <c r="N737" i="2"/>
  <c r="P771" i="2"/>
  <c r="N307" i="2"/>
  <c r="N545" i="2"/>
  <c r="P688" i="2"/>
  <c r="O743" i="2"/>
  <c r="O805" i="2"/>
  <c r="N822" i="2"/>
  <c r="P856" i="2"/>
  <c r="O873" i="2"/>
  <c r="N890" i="2"/>
  <c r="O352" i="2"/>
  <c r="N504" i="2"/>
  <c r="O589" i="2"/>
  <c r="N652" i="2"/>
  <c r="N702" i="2"/>
  <c r="P736" i="2"/>
  <c r="N759" i="2"/>
  <c r="N782" i="2"/>
  <c r="N800" i="2"/>
  <c r="N817" i="2"/>
  <c r="O834" i="2"/>
  <c r="O851" i="2"/>
  <c r="O868" i="2"/>
  <c r="P885" i="2"/>
  <c r="P902" i="2"/>
  <c r="P941" i="2"/>
  <c r="O954" i="2"/>
  <c r="N967" i="2"/>
  <c r="O587" i="2"/>
  <c r="O735" i="2"/>
  <c r="P817" i="2"/>
  <c r="P851" i="2"/>
  <c r="O915" i="2"/>
  <c r="N940" i="2"/>
  <c r="O991" i="2"/>
  <c r="O476" i="2"/>
  <c r="N686" i="2"/>
  <c r="P785" i="2"/>
  <c r="P374" i="2"/>
  <c r="N552" i="2"/>
  <c r="O652" i="2"/>
  <c r="P722" i="2"/>
  <c r="N768" i="2"/>
  <c r="N908" i="2"/>
  <c r="N960" i="2"/>
  <c r="P454" i="2"/>
  <c r="P590" i="2"/>
  <c r="O737" i="2"/>
  <c r="N784" i="2"/>
  <c r="N456" i="2"/>
  <c r="N678" i="2"/>
  <c r="P781" i="2"/>
  <c r="N851" i="2"/>
  <c r="O952" i="2"/>
  <c r="O419" i="2"/>
  <c r="O767" i="2"/>
  <c r="P894" i="2"/>
  <c r="O948" i="2"/>
  <c r="N746" i="2"/>
  <c r="N884" i="2"/>
  <c r="P940" i="2"/>
  <c r="P826" i="2"/>
  <c r="O887" i="2"/>
  <c r="O917" i="2"/>
  <c r="P968" i="2"/>
  <c r="N994" i="2"/>
  <c r="N716" i="2"/>
  <c r="O870" i="2"/>
  <c r="P935" i="2"/>
  <c r="P717" i="2"/>
  <c r="P875" i="2"/>
  <c r="N5" i="2"/>
  <c r="O2" i="2"/>
  <c r="O9" i="2"/>
  <c r="O75" i="2"/>
  <c r="N42" i="2"/>
  <c r="N127" i="2"/>
  <c r="N105" i="2"/>
  <c r="O93" i="2"/>
  <c r="N187" i="2"/>
  <c r="P190" i="2"/>
  <c r="P346" i="2"/>
  <c r="N313" i="2"/>
  <c r="P337" i="2"/>
  <c r="O378" i="2"/>
  <c r="O549" i="2"/>
  <c r="N471" i="2"/>
  <c r="P573" i="2"/>
  <c r="P483" i="2"/>
  <c r="O584" i="2"/>
  <c r="P652" i="2"/>
  <c r="P702" i="2"/>
  <c r="P442" i="2"/>
  <c r="O511" i="2"/>
  <c r="P578" i="2"/>
  <c r="N625" i="2"/>
  <c r="N705" i="2"/>
  <c r="P739" i="2"/>
  <c r="O484" i="2"/>
  <c r="O608" i="2"/>
  <c r="O693" i="2"/>
  <c r="P745" i="2"/>
  <c r="N790" i="2"/>
  <c r="P824" i="2"/>
  <c r="N858" i="2"/>
  <c r="P892" i="2"/>
  <c r="O739" i="2"/>
  <c r="O819" i="2"/>
  <c r="P853" i="2"/>
  <c r="P887" i="2"/>
  <c r="P917" i="2"/>
  <c r="N943" i="2"/>
  <c r="O994" i="2"/>
  <c r="O943" i="2"/>
  <c r="P994" i="2"/>
  <c r="N747" i="2"/>
  <c r="N824" i="2"/>
  <c r="N335" i="2"/>
  <c r="O641" i="2"/>
  <c r="O762" i="2"/>
  <c r="P835" i="2"/>
  <c r="N472" i="2"/>
  <c r="N857" i="2"/>
  <c r="P656" i="2"/>
  <c r="P842" i="2"/>
  <c r="P923" i="2"/>
  <c r="O940" i="2"/>
  <c r="O723" i="2"/>
  <c r="N934" i="2"/>
  <c r="P591" i="2"/>
  <c r="N914" i="2"/>
  <c r="O965" i="2"/>
  <c r="O682" i="2"/>
  <c r="N929" i="2"/>
  <c r="P684" i="2"/>
  <c r="O7" i="2"/>
  <c r="N72" i="2"/>
  <c r="P55" i="2"/>
  <c r="N51" i="2"/>
  <c r="P106" i="2"/>
  <c r="P80" i="2"/>
  <c r="N235" i="2"/>
  <c r="O187" i="2"/>
  <c r="P238" i="2"/>
  <c r="P191" i="2"/>
  <c r="N194" i="2"/>
  <c r="N292" i="2"/>
  <c r="O343" i="2"/>
  <c r="N251" i="2"/>
  <c r="P252" i="2"/>
  <c r="O333" i="2"/>
  <c r="O392" i="2"/>
  <c r="P408" i="2"/>
  <c r="P300" i="2"/>
  <c r="N375" i="2"/>
  <c r="O426" i="2"/>
  <c r="N546" i="2"/>
  <c r="N519" i="2"/>
  <c r="O570" i="2"/>
  <c r="P621" i="2"/>
  <c r="N663" i="2"/>
  <c r="N420" i="2"/>
  <c r="N533" i="2"/>
  <c r="O583" i="2"/>
  <c r="O617" i="2"/>
  <c r="P651" i="2"/>
  <c r="P682" i="2"/>
  <c r="P474" i="2"/>
  <c r="N508" i="2"/>
  <c r="O543" i="2"/>
  <c r="P600" i="2"/>
  <c r="N624" i="2"/>
  <c r="P646" i="2"/>
  <c r="P687" i="2"/>
  <c r="O704" i="2"/>
  <c r="N721" i="2"/>
  <c r="P755" i="2"/>
  <c r="O772" i="2"/>
  <c r="N349" i="2"/>
  <c r="N481" i="2"/>
  <c r="O548" i="2"/>
  <c r="N606" i="2"/>
  <c r="N690" i="2"/>
  <c r="N722" i="2"/>
  <c r="P744" i="2"/>
  <c r="O789" i="2"/>
  <c r="N806" i="2"/>
  <c r="P840" i="2"/>
  <c r="O857" i="2"/>
  <c r="N874" i="2"/>
  <c r="N372" i="2"/>
  <c r="O508" i="2"/>
  <c r="P654" i="2"/>
  <c r="O783" i="2"/>
  <c r="N801" i="2"/>
  <c r="O818" i="2"/>
  <c r="O835" i="2"/>
  <c r="O852" i="2"/>
  <c r="P869" i="2"/>
  <c r="P886" i="2"/>
  <c r="P903" i="2"/>
  <c r="P929" i="2"/>
  <c r="O942" i="2"/>
  <c r="N955" i="2"/>
  <c r="P993" i="2"/>
  <c r="P462" i="2"/>
  <c r="P592" i="2"/>
  <c r="N679" i="2"/>
  <c r="O738" i="2"/>
  <c r="P819" i="2"/>
  <c r="O967" i="2"/>
  <c r="N605" i="2"/>
  <c r="O690" i="2"/>
  <c r="N744" i="2"/>
  <c r="N856" i="2"/>
  <c r="N560" i="2"/>
  <c r="P658" i="2"/>
  <c r="P725" i="2"/>
  <c r="N876" i="2"/>
  <c r="O935" i="2"/>
  <c r="O987" i="2"/>
  <c r="P463" i="2"/>
  <c r="P596" i="2"/>
  <c r="P741" i="2"/>
  <c r="N855" i="2"/>
  <c r="N473" i="2"/>
  <c r="O686" i="2"/>
  <c r="N787" i="2"/>
  <c r="O855" i="2"/>
  <c r="O928" i="2"/>
  <c r="P979" i="2"/>
  <c r="P447" i="2"/>
  <c r="P951" i="2"/>
  <c r="N1001" i="2"/>
  <c r="P757" i="2"/>
  <c r="O888" i="2"/>
  <c r="P754" i="2"/>
  <c r="P889" i="2"/>
  <c r="P944" i="2"/>
  <c r="N970" i="2"/>
  <c r="P988" i="2"/>
  <c r="O4" i="2"/>
  <c r="O20" i="2"/>
  <c r="P45" i="2"/>
  <c r="P131" i="2"/>
  <c r="O203" i="2"/>
  <c r="P207" i="2"/>
  <c r="O359" i="2"/>
  <c r="P424" i="2"/>
  <c r="N391" i="2"/>
  <c r="N562" i="2"/>
  <c r="O586" i="2"/>
  <c r="O670" i="2"/>
  <c r="O496" i="2"/>
  <c r="N661" i="2"/>
  <c r="O707" i="2"/>
  <c r="P450" i="2"/>
  <c r="O519" i="2"/>
  <c r="P630" i="2"/>
  <c r="P675" i="2"/>
  <c r="P743" i="2"/>
  <c r="P503" i="2"/>
  <c r="O701" i="2"/>
  <c r="N794" i="2"/>
  <c r="P828" i="2"/>
  <c r="P896" i="2"/>
  <c r="O674" i="2"/>
  <c r="P789" i="2"/>
  <c r="P823" i="2"/>
  <c r="O946" i="2"/>
  <c r="P997" i="2"/>
  <c r="O621" i="2"/>
  <c r="P752" i="2"/>
  <c r="O830" i="2"/>
  <c r="P898" i="2"/>
  <c r="N1000" i="2"/>
  <c r="N633" i="2"/>
  <c r="P758" i="2"/>
  <c r="P700" i="2"/>
  <c r="N861" i="2"/>
  <c r="N924" i="2"/>
  <c r="O705" i="2"/>
  <c r="P797" i="2"/>
  <c r="O747" i="2"/>
  <c r="N887" i="2"/>
  <c r="P857" i="2"/>
  <c r="N837" i="2"/>
  <c r="N974" i="2"/>
  <c r="O714" i="2"/>
  <c r="N869" i="2"/>
  <c r="O933" i="2"/>
  <c r="P984" i="2"/>
  <c r="N819" i="2"/>
  <c r="O824" i="2"/>
  <c r="O3" i="2"/>
  <c r="P701" i="2"/>
  <c r="N958" i="2"/>
  <c r="N10" i="2"/>
  <c r="N84" i="2"/>
  <c r="N206" i="2"/>
  <c r="N599" i="2"/>
  <c r="O601" i="2"/>
  <c r="O711" i="2"/>
  <c r="O748" i="2"/>
  <c r="P519" i="2"/>
  <c r="O757" i="2"/>
  <c r="P832" i="2"/>
  <c r="P559" i="2"/>
  <c r="P949" i="2"/>
  <c r="O656" i="2"/>
  <c r="O785" i="2"/>
  <c r="N976" i="2"/>
  <c r="O540" i="2"/>
  <c r="O874" i="2"/>
  <c r="P987" i="2"/>
  <c r="O807" i="2"/>
  <c r="N978" i="2"/>
  <c r="N953" i="2"/>
  <c r="P3" i="2"/>
  <c r="O8" i="2"/>
  <c r="N17" i="2"/>
  <c r="P85" i="2"/>
  <c r="O14" i="2"/>
  <c r="O125" i="2"/>
  <c r="P122" i="2"/>
  <c r="P244" i="2"/>
  <c r="N356" i="2"/>
  <c r="O225" i="2"/>
  <c r="N405" i="2"/>
  <c r="O421" i="2"/>
  <c r="N583" i="2"/>
  <c r="P443" i="2"/>
  <c r="N660" i="2"/>
  <c r="P482" i="2"/>
  <c r="O551" i="2"/>
  <c r="P691" i="2"/>
  <c r="N777" i="2"/>
  <c r="N497" i="2"/>
  <c r="O773" i="2"/>
  <c r="N810" i="2"/>
  <c r="O861" i="2"/>
  <c r="N440" i="2"/>
  <c r="O609" i="2"/>
  <c r="O788" i="2"/>
  <c r="P839" i="2"/>
  <c r="N971" i="2"/>
  <c r="N496" i="2"/>
  <c r="O698" i="2"/>
  <c r="N828" i="2"/>
  <c r="O896" i="2"/>
  <c r="P518" i="2"/>
  <c r="O754" i="2"/>
  <c r="N590" i="2"/>
  <c r="O782" i="2"/>
  <c r="P850" i="2"/>
  <c r="P942" i="2"/>
  <c r="O619" i="2"/>
  <c r="O795" i="2"/>
  <c r="P863" i="2"/>
  <c r="O872" i="2"/>
  <c r="P911" i="2"/>
  <c r="N537" i="2"/>
  <c r="P956" i="2"/>
  <c r="O777" i="2"/>
  <c r="P976" i="2"/>
  <c r="N368" i="2"/>
  <c r="N2" i="2"/>
  <c r="P225" i="2"/>
  <c r="N233" i="2"/>
  <c r="N342" i="2"/>
  <c r="O375" i="2"/>
  <c r="N468" i="2"/>
  <c r="N642" i="2"/>
  <c r="O752" i="2"/>
  <c r="P535" i="2"/>
  <c r="P762" i="2"/>
  <c r="N832" i="2"/>
  <c r="O900" i="2"/>
  <c r="O978" i="2"/>
  <c r="O847" i="2"/>
  <c r="O459" i="2"/>
  <c r="N728" i="2"/>
  <c r="P982" i="2"/>
  <c r="O731" i="2"/>
  <c r="O791" i="2"/>
  <c r="P955" i="2"/>
  <c r="P434" i="2"/>
  <c r="N760" i="2"/>
  <c r="O997" i="2"/>
  <c r="N993" i="2"/>
  <c r="P6" i="2"/>
  <c r="P996" i="2"/>
  <c r="P627" i="2"/>
  <c r="P623" i="2"/>
  <c r="N895" i="2"/>
  <c r="N923" i="2"/>
  <c r="P961" i="2"/>
  <c r="N715" i="2"/>
  <c r="N980" i="2"/>
  <c r="N553" i="2"/>
  <c r="P922" i="2"/>
  <c r="O531" i="2"/>
  <c r="N821" i="2"/>
  <c r="P915" i="2"/>
  <c r="P673" i="2"/>
  <c r="N918" i="2"/>
  <c r="O957" i="2"/>
  <c r="P566" i="2"/>
  <c r="O571" i="2"/>
  <c r="P2" i="2"/>
  <c r="P11" i="2"/>
  <c r="N27" i="2"/>
  <c r="N308" i="2"/>
  <c r="O373" i="2"/>
  <c r="N535" i="2"/>
  <c r="N445" i="2"/>
  <c r="O774" i="2"/>
  <c r="N448" i="2"/>
  <c r="P806" i="2"/>
  <c r="O864" i="2"/>
  <c r="O975" i="2"/>
  <c r="O895" i="2"/>
  <c r="O995" i="2"/>
  <c r="P611" i="2"/>
  <c r="N654" i="2"/>
  <c r="O6" i="2"/>
  <c r="P218" i="2"/>
  <c r="N304" i="2"/>
  <c r="O355" i="2"/>
  <c r="N267" i="2"/>
  <c r="O296" i="2"/>
  <c r="P212" i="2"/>
  <c r="O349" i="2"/>
  <c r="O404" i="2"/>
  <c r="O369" i="2"/>
  <c r="P420" i="2"/>
  <c r="P270" i="2"/>
  <c r="P324" i="2"/>
  <c r="P360" i="2"/>
  <c r="N387" i="2"/>
  <c r="N283" i="2"/>
  <c r="O481" i="2"/>
  <c r="P532" i="2"/>
  <c r="N558" i="2"/>
  <c r="N412" i="2"/>
  <c r="O454" i="2"/>
  <c r="P505" i="2"/>
  <c r="N531" i="2"/>
  <c r="O582" i="2"/>
  <c r="P633" i="2"/>
  <c r="N659" i="2"/>
  <c r="N388" i="2"/>
  <c r="N525" i="2"/>
  <c r="O576" i="2"/>
  <c r="N612" i="2"/>
  <c r="N646" i="2"/>
  <c r="P678" i="2"/>
  <c r="P32" i="2"/>
  <c r="P117" i="2"/>
  <c r="P95" i="2"/>
  <c r="N185" i="2"/>
  <c r="P157" i="2"/>
  <c r="P303" i="2"/>
  <c r="N322" i="2"/>
  <c r="N175" i="2"/>
  <c r="N402" i="2"/>
  <c r="O437" i="2"/>
  <c r="P461" i="2"/>
  <c r="P475" i="2"/>
  <c r="O647" i="2"/>
  <c r="O699" i="2"/>
  <c r="N436" i="2"/>
  <c r="N572" i="2"/>
  <c r="O736" i="2"/>
  <c r="P471" i="2"/>
  <c r="O741" i="2"/>
  <c r="O821" i="2"/>
  <c r="O889" i="2"/>
  <c r="O499" i="2"/>
  <c r="N735" i="2"/>
  <c r="P780" i="2"/>
  <c r="N816" i="2"/>
  <c r="O850" i="2"/>
  <c r="O884" i="2"/>
  <c r="N915" i="2"/>
  <c r="O966" i="2"/>
  <c r="P732" i="2"/>
  <c r="O814" i="2"/>
  <c r="P883" i="2"/>
  <c r="P938" i="2"/>
  <c r="P738" i="2"/>
  <c r="P357" i="2"/>
  <c r="O765" i="2"/>
  <c r="P906" i="2"/>
  <c r="P958" i="2"/>
  <c r="P446" i="2"/>
  <c r="O653" i="2"/>
  <c r="N808" i="2"/>
  <c r="O842" i="2"/>
  <c r="P877" i="2"/>
  <c r="P622" i="2"/>
  <c r="O753" i="2"/>
  <c r="N889" i="2"/>
  <c r="O944" i="2"/>
  <c r="P995" i="2"/>
  <c r="O977" i="2"/>
  <c r="P720" i="2"/>
  <c r="N805" i="2"/>
  <c r="P873" i="2"/>
  <c r="O909" i="2"/>
  <c r="P960" i="2"/>
  <c r="N986" i="2"/>
  <c r="N617" i="2"/>
  <c r="P827" i="2"/>
  <c r="P919" i="2"/>
  <c r="N969" i="2"/>
  <c r="P608" i="2"/>
  <c r="O11" i="2"/>
  <c r="P30" i="2"/>
  <c r="N65" i="2"/>
  <c r="P48" i="2"/>
  <c r="O82" i="2"/>
  <c r="N116" i="2"/>
  <c r="P111" i="2"/>
  <c r="P142" i="2"/>
  <c r="O176" i="2"/>
  <c r="P193" i="2"/>
  <c r="P100" i="2"/>
  <c r="N201" i="2"/>
  <c r="O252" i="2"/>
  <c r="P232" i="2"/>
  <c r="P319" i="2"/>
  <c r="N346" i="2"/>
  <c r="N418" i="2"/>
  <c r="O453" i="2"/>
  <c r="P504" i="2"/>
  <c r="P402" i="2"/>
  <c r="P477" i="2"/>
  <c r="N631" i="2"/>
  <c r="N667" i="2"/>
  <c r="N541" i="2"/>
  <c r="P588" i="2"/>
  <c r="P686" i="2"/>
  <c r="P339" i="2"/>
  <c r="O447" i="2"/>
  <c r="P514" i="2"/>
  <c r="P582" i="2"/>
  <c r="O628" i="2"/>
  <c r="N673" i="2"/>
  <c r="P707" i="2"/>
  <c r="O724" i="2"/>
  <c r="P775" i="2"/>
  <c r="N404" i="2"/>
  <c r="N561" i="2"/>
  <c r="P659" i="2"/>
  <c r="P696" i="2"/>
  <c r="O726" i="2"/>
  <c r="N771" i="2"/>
  <c r="P792" i="2"/>
  <c r="O809" i="2"/>
  <c r="N826" i="2"/>
  <c r="P860" i="2"/>
  <c r="O877" i="2"/>
  <c r="O435" i="2"/>
  <c r="P606" i="2"/>
  <c r="N666" i="2"/>
  <c r="N742" i="2"/>
  <c r="O787" i="2"/>
  <c r="O804" i="2"/>
  <c r="P821" i="2"/>
  <c r="P838" i="2"/>
  <c r="P855" i="2"/>
  <c r="O906" i="2"/>
  <c r="N919" i="2"/>
  <c r="P957" i="2"/>
  <c r="O970" i="2"/>
  <c r="N983" i="2"/>
  <c r="N488" i="2"/>
  <c r="N860" i="2"/>
  <c r="O894" i="2"/>
  <c r="P946" i="2"/>
  <c r="N972" i="2"/>
  <c r="P510" i="2"/>
  <c r="N622" i="2"/>
  <c r="N703" i="2"/>
  <c r="O794" i="2"/>
  <c r="O828" i="2"/>
  <c r="P862" i="2"/>
  <c r="N584" i="2"/>
  <c r="N734" i="2"/>
  <c r="O779" i="2"/>
  <c r="O815" i="2"/>
  <c r="O848" i="2"/>
  <c r="P882" i="2"/>
  <c r="P914" i="2"/>
  <c r="P966" i="2"/>
  <c r="N992" i="2"/>
  <c r="N489" i="2"/>
  <c r="P748" i="2"/>
  <c r="N793" i="2"/>
  <c r="O827" i="2"/>
  <c r="P861" i="2"/>
  <c r="O524" i="2"/>
  <c r="N868" i="2"/>
  <c r="P907" i="2"/>
  <c r="N933" i="2"/>
  <c r="O984" i="2"/>
  <c r="O806" i="2"/>
  <c r="N961" i="2"/>
  <c r="O790" i="2"/>
  <c r="N901" i="2"/>
  <c r="O953" i="2"/>
  <c r="N400" i="2"/>
  <c r="P843" i="2"/>
  <c r="O949" i="2"/>
  <c r="O892" i="2"/>
  <c r="P999" i="2"/>
  <c r="N763" i="2"/>
  <c r="P948" i="2"/>
  <c r="N998" i="2"/>
  <c r="N3" i="2"/>
  <c r="O5" i="2"/>
  <c r="P4" i="2"/>
  <c r="N33" i="2"/>
  <c r="N216" i="2"/>
  <c r="N460" i="2"/>
  <c r="O709" i="2"/>
  <c r="P750" i="2"/>
  <c r="N956" i="2"/>
  <c r="N841" i="2"/>
  <c r="O823" i="2"/>
  <c r="N852" i="2"/>
  <c r="O68" i="2"/>
  <c r="P255" i="2"/>
  <c r="N268" i="2"/>
  <c r="O290" i="2"/>
  <c r="P289" i="2"/>
  <c r="O415" i="2"/>
  <c r="O634" i="2"/>
  <c r="P356" i="2"/>
  <c r="P583" i="2"/>
  <c r="P567" i="2"/>
  <c r="P844" i="2"/>
  <c r="P716" i="2"/>
  <c r="P805" i="2"/>
  <c r="P945" i="2"/>
  <c r="P749" i="2"/>
  <c r="O923" i="2"/>
  <c r="O796" i="2"/>
  <c r="O681" i="2"/>
  <c r="N968" i="2"/>
  <c r="O751" i="2"/>
  <c r="N719" i="2"/>
  <c r="N909" i="2"/>
  <c r="O671" i="2"/>
  <c r="N899" i="2"/>
  <c r="N6" i="2"/>
  <c r="N157" i="2"/>
  <c r="P282" i="2"/>
  <c r="O281" i="2"/>
  <c r="O485" i="2"/>
  <c r="P509" i="2"/>
  <c r="O837" i="2"/>
  <c r="P756" i="2"/>
  <c r="N927" i="2"/>
  <c r="P962" i="2"/>
  <c r="O878" i="2"/>
  <c r="P814" i="2"/>
  <c r="N904" i="2"/>
  <c r="P891" i="2"/>
  <c r="O886" i="2"/>
  <c r="P848" i="2"/>
  <c r="N987" i="2"/>
  <c r="P801" i="2"/>
  <c r="P721" i="2"/>
  <c r="O492" i="2"/>
  <c r="P974" i="2"/>
  <c r="N764" i="2"/>
  <c r="N600" i="2"/>
  <c r="O924" i="2"/>
  <c r="P511" i="2"/>
  <c r="N906" i="2"/>
  <c r="N913" i="2"/>
  <c r="P71" i="2"/>
  <c r="O117" i="2"/>
  <c r="P547" i="2"/>
  <c r="N505" i="2"/>
  <c r="P527" i="2"/>
  <c r="N618" i="2"/>
  <c r="P624" i="2"/>
  <c r="P825" i="2"/>
  <c r="N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3518EF-1E45-4820-B0F7-866C18FC39A3}"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B0D5B2A-5E0A-46A4-9633-DCBFD8CB1E64}" name="WorksheetConnection_work sheet!$A:$T" type="102" refreshedVersion="7" minRefreshableVersion="5">
    <extLst>
      <ext xmlns:x15="http://schemas.microsoft.com/office/spreadsheetml/2010/11/main" uri="{DE250136-89BD-433C-8126-D09CA5730AF9}">
        <x15:connection id="Range" autoDelete="1">
          <x15:rangePr sourceName="_xlcn.WorksheetConnection_worksheetAT1"/>
        </x15:connection>
      </ext>
    </extLst>
  </connection>
</connections>
</file>

<file path=xl/sharedStrings.xml><?xml version="1.0" encoding="utf-8"?>
<sst xmlns="http://schemas.openxmlformats.org/spreadsheetml/2006/main" count="8109" uniqueCount="1062">
  <si>
    <t>Client</t>
  </si>
  <si>
    <t>Loan Account No.</t>
  </si>
  <si>
    <t>Product</t>
  </si>
  <si>
    <t>Loan Amount</t>
  </si>
  <si>
    <t>Disbursed Date</t>
  </si>
  <si>
    <t>Repaid</t>
  </si>
  <si>
    <t>Maturity</t>
  </si>
  <si>
    <t>Client Account No.</t>
  </si>
  <si>
    <t>Phone Number</t>
  </si>
  <si>
    <t>#</t>
  </si>
  <si>
    <t>Note</t>
  </si>
  <si>
    <t>Timestamp</t>
  </si>
  <si>
    <t>3rd Latest Note</t>
  </si>
  <si>
    <t>2nd Latest Note</t>
  </si>
  <si>
    <t>1st Latest Note</t>
  </si>
  <si>
    <t>N</t>
  </si>
  <si>
    <t>Count</t>
  </si>
  <si>
    <t>ClientNoteNum</t>
  </si>
  <si>
    <t>Tadeo Blair</t>
  </si>
  <si>
    <t>Frances Walters</t>
  </si>
  <si>
    <t>Colson Gallegos</t>
  </si>
  <si>
    <t>Ari Bernard</t>
  </si>
  <si>
    <t>Jair Reilly</t>
  </si>
  <si>
    <t>Tori Ryan</t>
  </si>
  <si>
    <t>Timothy Vu</t>
  </si>
  <si>
    <t>Kimora Jones</t>
  </si>
  <si>
    <t>William Figueroa</t>
  </si>
  <si>
    <t>Lilith Doyle</t>
  </si>
  <si>
    <t>Kashton Santos</t>
  </si>
  <si>
    <t>Alana Sharp</t>
  </si>
  <si>
    <t>Royce Macdonald</t>
  </si>
  <si>
    <t>Rosalia Hinton</t>
  </si>
  <si>
    <t>Frankie Zavala</t>
  </si>
  <si>
    <t>Liv Cisneros</t>
  </si>
  <si>
    <t>Alden Cooper</t>
  </si>
  <si>
    <t>Serenity Gonzalez</t>
  </si>
  <si>
    <t>Ethan Booker</t>
  </si>
  <si>
    <t>Nataly Flynn</t>
  </si>
  <si>
    <t>Kannon Franco</t>
  </si>
  <si>
    <t>Charleigh Medrano</t>
  </si>
  <si>
    <t>Arian Lester</t>
  </si>
  <si>
    <t>Averi Love</t>
  </si>
  <si>
    <t>Jeffrey Leach</t>
  </si>
  <si>
    <t>Martha McCoy</t>
  </si>
  <si>
    <t>Jett Franco</t>
  </si>
  <si>
    <t>Charleigh Watts</t>
  </si>
  <si>
    <t>Dakota Hail</t>
  </si>
  <si>
    <t>Lainey Owen</t>
  </si>
  <si>
    <t>Cannon Ramirez</t>
  </si>
  <si>
    <t>Grace Carey</t>
  </si>
  <si>
    <t>Watson Whitney</t>
  </si>
  <si>
    <t>Madalynn Prince</t>
  </si>
  <si>
    <t>Aron Deleon</t>
  </si>
  <si>
    <t>Gabrielle Logan</t>
  </si>
  <si>
    <t>Rocco Sellers</t>
  </si>
  <si>
    <t>Mercy Garner</t>
  </si>
  <si>
    <t>Sage Myers</t>
  </si>
  <si>
    <t>Lydia Walls</t>
  </si>
  <si>
    <t>Larry Crane</t>
  </si>
  <si>
    <t>Della Gross</t>
  </si>
  <si>
    <t>Quinn Allen</t>
  </si>
  <si>
    <t>Riley Hughes</t>
  </si>
  <si>
    <t>Everett Dalton</t>
  </si>
  <si>
    <t>Lilian Page</t>
  </si>
  <si>
    <t>Pablo Lucas</t>
  </si>
  <si>
    <t>Phoenix Bush</t>
  </si>
  <si>
    <t>Tyson Hobbs</t>
  </si>
  <si>
    <t>Lacey Blair</t>
  </si>
  <si>
    <t>Troy Simpson</t>
  </si>
  <si>
    <t>Anastasia Beltran</t>
  </si>
  <si>
    <t>Ricky Ross</t>
  </si>
  <si>
    <t>Peyton Christian</t>
  </si>
  <si>
    <t>Ledger Potts</t>
  </si>
  <si>
    <t>Ellison Saunders</t>
  </si>
  <si>
    <t>Kasen Shaffer</t>
  </si>
  <si>
    <t>Alanna Barker</t>
  </si>
  <si>
    <t>Kade Berger</t>
  </si>
  <si>
    <t>Laylah Trevino</t>
  </si>
  <si>
    <t>Jaime Hurst</t>
  </si>
  <si>
    <t>Adalee Webster</t>
  </si>
  <si>
    <t>Shawn Wilcox</t>
  </si>
  <si>
    <t>Ashlyn Bennett</t>
  </si>
  <si>
    <t>Leonardo Hodges</t>
  </si>
  <si>
    <t>Eve Carr</t>
  </si>
  <si>
    <t>Kash Conway</t>
  </si>
  <si>
    <t>Ryann Taylor</t>
  </si>
  <si>
    <t>Jackson Norris</t>
  </si>
  <si>
    <t>Arielle Welch</t>
  </si>
  <si>
    <t>Hendrix Mack</t>
  </si>
  <si>
    <t>Nadia Cain</t>
  </si>
  <si>
    <t>Benson Roy</t>
  </si>
  <si>
    <t>Savanna Bowen</t>
  </si>
  <si>
    <t>Trevor Hess</t>
  </si>
  <si>
    <t>Kaliyah Chase</t>
  </si>
  <si>
    <t>Otis Taylor</t>
  </si>
  <si>
    <t>Sofia Beltran</t>
  </si>
  <si>
    <t>Ricky Fletcher</t>
  </si>
  <si>
    <t>Anaya O’Connell</t>
  </si>
  <si>
    <t>Jovanni Perez</t>
  </si>
  <si>
    <t>Eleanor Joseph</t>
  </si>
  <si>
    <t>Kyle Stark</t>
  </si>
  <si>
    <t>Kamilah Richmond</t>
  </si>
  <si>
    <t>Mordechai Bridges</t>
  </si>
  <si>
    <t>Elora Hayes</t>
  </si>
  <si>
    <t>Legend Dodson</t>
  </si>
  <si>
    <t>Etta Wyatt</t>
  </si>
  <si>
    <t>Sam Dyer</t>
  </si>
  <si>
    <t>Estrella Stein</t>
  </si>
  <si>
    <t>Creed Brennan</t>
  </si>
  <si>
    <t>Elodie Hanson</t>
  </si>
  <si>
    <t>Khalil Moore</t>
  </si>
  <si>
    <t>Emily Kline</t>
  </si>
  <si>
    <t>Ramon Arnold</t>
  </si>
  <si>
    <t>Finley Esparza</t>
  </si>
  <si>
    <t>Carl Webb</t>
  </si>
  <si>
    <t>Ariella Knight</t>
  </si>
  <si>
    <t>Beckett Woodward</t>
  </si>
  <si>
    <t>Drew Ross</t>
  </si>
  <si>
    <t>Wesley Salinas</t>
  </si>
  <si>
    <t>Royalty Boyd</t>
  </si>
  <si>
    <t>Dean Andrade</t>
  </si>
  <si>
    <t>Emmy Charles</t>
  </si>
  <si>
    <t>Conrad Thomas</t>
  </si>
  <si>
    <t>Elizabeth Ortiz</t>
  </si>
  <si>
    <t>Landon Howell</t>
  </si>
  <si>
    <t>Mckenna Yoder</t>
  </si>
  <si>
    <t>Johan Estes</t>
  </si>
  <si>
    <t>Brittany Manning</t>
  </si>
  <si>
    <t>Seth Morton</t>
  </si>
  <si>
    <t>Mallory Sweeney</t>
  </si>
  <si>
    <t>Nixon Becker</t>
  </si>
  <si>
    <t>Laura Lara</t>
  </si>
  <si>
    <t>Caiden Pruitt</t>
  </si>
  <si>
    <t>Brylee Dunlap</t>
  </si>
  <si>
    <t>Aries Rangel</t>
  </si>
  <si>
    <t>Gloria Vance</t>
  </si>
  <si>
    <t>Casen Nichols</t>
  </si>
  <si>
    <t>Aliyah Singleton</t>
  </si>
  <si>
    <t>Landyn Lamb</t>
  </si>
  <si>
    <t>Amaia Alvarez</t>
  </si>
  <si>
    <t>Xavier Le</t>
  </si>
  <si>
    <t>Myla Felix</t>
  </si>
  <si>
    <t>Rodney Williamson</t>
  </si>
  <si>
    <t>Catherine Baker</t>
  </si>
  <si>
    <t>Ezra Hicks</t>
  </si>
  <si>
    <t>Alina Ingram</t>
  </si>
  <si>
    <t>Tripp Zhang</t>
  </si>
  <si>
    <t>Sarai Jefferson</t>
  </si>
  <si>
    <t>Raylan Dean</t>
  </si>
  <si>
    <t>Julianna Howell</t>
  </si>
  <si>
    <t>Bradley Becker</t>
  </si>
  <si>
    <t>Laura Tucker</t>
  </si>
  <si>
    <t>Ivan Kent</t>
  </si>
  <si>
    <t>Jazmine Ford</t>
  </si>
  <si>
    <t>Luis Gibbs</t>
  </si>
  <si>
    <t>Carter Baxter</t>
  </si>
  <si>
    <t>Tomas Mills</t>
  </si>
  <si>
    <t>June Rogers</t>
  </si>
  <si>
    <t>Colton Austin</t>
  </si>
  <si>
    <t>Alivia Truong</t>
  </si>
  <si>
    <t>Ayan Blair</t>
  </si>
  <si>
    <t>Frances Arias</t>
  </si>
  <si>
    <t>Alec Bennett</t>
  </si>
  <si>
    <t>Josephine White</t>
  </si>
  <si>
    <t>Aiden Rhodes</t>
  </si>
  <si>
    <t>Tatum Marsh</t>
  </si>
  <si>
    <t>Bo Shaw</t>
  </si>
  <si>
    <t>Emersyn Buckley</t>
  </si>
  <si>
    <t>Aryan Crosby</t>
  </si>
  <si>
    <t>Keily Paul</t>
  </si>
  <si>
    <t>Noel Hines</t>
  </si>
  <si>
    <t>Poppy Fuller</t>
  </si>
  <si>
    <t>Andre Dawson</t>
  </si>
  <si>
    <t>Veronica Nava</t>
  </si>
  <si>
    <t>Stefan Fuentes</t>
  </si>
  <si>
    <t>Madeleine Allen</t>
  </si>
  <si>
    <t>Carter Edwards</t>
  </si>
  <si>
    <t>Ivy Huffman</t>
  </si>
  <si>
    <t>Chris Golden</t>
  </si>
  <si>
    <t>Giuliana Stanton</t>
  </si>
  <si>
    <t>Zyair Haynes</t>
  </si>
  <si>
    <t>Lexi Huerta</t>
  </si>
  <si>
    <t>Douglas Burke</t>
  </si>
  <si>
    <t>Vera Coffey</t>
  </si>
  <si>
    <t>Kody Sosa</t>
  </si>
  <si>
    <t>Cassandra Hunter</t>
  </si>
  <si>
    <t>Archer Middleton</t>
  </si>
  <si>
    <t>Madalyn Lynn</t>
  </si>
  <si>
    <t>Zechariah Glass</t>
  </si>
  <si>
    <t>Clare Navarro</t>
  </si>
  <si>
    <t>Reid Estes</t>
  </si>
  <si>
    <t>Brittany Hunt</t>
  </si>
  <si>
    <t>Jesus Bond</t>
  </si>
  <si>
    <t>Alena Alexander</t>
  </si>
  <si>
    <t>Kingston Correa</t>
  </si>
  <si>
    <t>Valery Kim</t>
  </si>
  <si>
    <t>Roman Mathews</t>
  </si>
  <si>
    <t>Sloan Golden</t>
  </si>
  <si>
    <t>Amias Armstrong</t>
  </si>
  <si>
    <t>Presley Morrow</t>
  </si>
  <si>
    <t>Kyree Rowe</t>
  </si>
  <si>
    <t>Matilda Berg</t>
  </si>
  <si>
    <t>Cayson Frazier</t>
  </si>
  <si>
    <t>Octavia Daniel</t>
  </si>
  <si>
    <t>Grady Kirk</t>
  </si>
  <si>
    <t>Ellis Farmer</t>
  </si>
  <si>
    <t>Jamison Middleton</t>
  </si>
  <si>
    <t>Madalyn Francis</t>
  </si>
  <si>
    <t>Harvey Rivas</t>
  </si>
  <si>
    <t>Averie Kramer</t>
  </si>
  <si>
    <t>Kylan Ventura</t>
  </si>
  <si>
    <t>Zora Berry</t>
  </si>
  <si>
    <t>Adonis Owens</t>
  </si>
  <si>
    <t>Amaya Little</t>
  </si>
  <si>
    <t>Lennox Duarte</t>
  </si>
  <si>
    <t>Kynlee Stephens</t>
  </si>
  <si>
    <t>Messiah Greene</t>
  </si>
  <si>
    <t>Selena Palmer</t>
  </si>
  <si>
    <t>Theo Francis</t>
  </si>
  <si>
    <t>Daniella Morris</t>
  </si>
  <si>
    <t>Christian Daugherty</t>
  </si>
  <si>
    <t>Magdalena Nicholson</t>
  </si>
  <si>
    <t>Rodrigo Cline</t>
  </si>
  <si>
    <t>Lina Richmond</t>
  </si>
  <si>
    <t>Mordechai Valentine</t>
  </si>
  <si>
    <t>August Fry</t>
  </si>
  <si>
    <t>Jacoby Hayes</t>
  </si>
  <si>
    <t>Iris Vaughn</t>
  </si>
  <si>
    <t>Remy White</t>
  </si>
  <si>
    <t>Layla Branch</t>
  </si>
  <si>
    <t>Keenan Weaver</t>
  </si>
  <si>
    <t>Teagan Moon</t>
  </si>
  <si>
    <t>Nova Estrada</t>
  </si>
  <si>
    <t>Sawyer Parra</t>
  </si>
  <si>
    <t>Davion Graves</t>
  </si>
  <si>
    <t>Elle Cano</t>
  </si>
  <si>
    <t>Terry Hurley</t>
  </si>
  <si>
    <t>Rylan Combs</t>
  </si>
  <si>
    <t>Ahmad Mason</t>
  </si>
  <si>
    <t>Sienna Weber</t>
  </si>
  <si>
    <t>Crew Lin</t>
  </si>
  <si>
    <t>Makenna Shields</t>
  </si>
  <si>
    <t>Devon McCann</t>
  </si>
  <si>
    <t>Joyce Weaver</t>
  </si>
  <si>
    <t>Tucker Harding</t>
  </si>
  <si>
    <t>Aniya Jacobson</t>
  </si>
  <si>
    <t>Legacy Lynn</t>
  </si>
  <si>
    <t>Samira Santos</t>
  </si>
  <si>
    <t>Walker Bryan</t>
  </si>
  <si>
    <t>Meredith Weiss</t>
  </si>
  <si>
    <t>Koa Jackson</t>
  </si>
  <si>
    <t>Avery Suarez</t>
  </si>
  <si>
    <t>Soren Smith</t>
  </si>
  <si>
    <t>Olivia Peters</t>
  </si>
  <si>
    <t>Patrick Le</t>
  </si>
  <si>
    <t>Myla Macdonald</t>
  </si>
  <si>
    <t>Hugh Cantu</t>
  </si>
  <si>
    <t>Galilea Horne</t>
  </si>
  <si>
    <t>Zev Fletcher</t>
  </si>
  <si>
    <t>Anaya Gardner</t>
  </si>
  <si>
    <t>Alan Hammond</t>
  </si>
  <si>
    <t>Holly Gallagher</t>
  </si>
  <si>
    <t>Marcos Butler</t>
  </si>
  <si>
    <t>Athena McCullough</t>
  </si>
  <si>
    <t>Briar Truong</t>
  </si>
  <si>
    <t>Judith Le</t>
  </si>
  <si>
    <t>Damien Grant</t>
  </si>
  <si>
    <t>Alaina Lambert</t>
  </si>
  <si>
    <t>Mario Aguilar</t>
  </si>
  <si>
    <t>Josie Rosales</t>
  </si>
  <si>
    <t>Wilder Brown</t>
  </si>
  <si>
    <t>Charlotte Browning</t>
  </si>
  <si>
    <t>Rohan Rocha</t>
  </si>
  <si>
    <t>Emmie Potter</t>
  </si>
  <si>
    <t>Lucca Bass</t>
  </si>
  <si>
    <t>Zahra Walls</t>
  </si>
  <si>
    <t>Larry Black</t>
  </si>
  <si>
    <t>Molly Vazquez</t>
  </si>
  <si>
    <t>Jesse Boyer</t>
  </si>
  <si>
    <t>Chaya Gregory</t>
  </si>
  <si>
    <t>Travis Bernard</t>
  </si>
  <si>
    <t>Barbara Graves</t>
  </si>
  <si>
    <t>Cesar Nixon</t>
  </si>
  <si>
    <t>Deborah O’Connor</t>
  </si>
  <si>
    <t>Princeton Castro</t>
  </si>
  <si>
    <t>Eloise Savage</t>
  </si>
  <si>
    <t>Keaton Rangel</t>
  </si>
  <si>
    <t>Gloria McMillan</t>
  </si>
  <si>
    <t>Rocky Gilbert</t>
  </si>
  <si>
    <t>Jocelyn Vincent</t>
  </si>
  <si>
    <t>Aarav McIntosh</t>
  </si>
  <si>
    <t>Gwen Franklin</t>
  </si>
  <si>
    <t>Simon Barrett</t>
  </si>
  <si>
    <t>Kendall Saunders</t>
  </si>
  <si>
    <t>Kasen Zavala</t>
  </si>
  <si>
    <t>Liv Ryan</t>
  </si>
  <si>
    <t>Timothy Alvarez</t>
  </si>
  <si>
    <t>Leilani Pollard</t>
  </si>
  <si>
    <t>Jad Clark</t>
  </si>
  <si>
    <t>Chloe McCann</t>
  </si>
  <si>
    <t>Heath Russell</t>
  </si>
  <si>
    <t>Raelynn Fowler</t>
  </si>
  <si>
    <t>Kameron Ford</t>
  </si>
  <si>
    <t>Alexandra Price</t>
  </si>
  <si>
    <t>Brooks Harrison</t>
  </si>
  <si>
    <t>Jasmine Serrano</t>
  </si>
  <si>
    <t>Milan Andrade</t>
  </si>
  <si>
    <t>Emmy Dyer</t>
  </si>
  <si>
    <t>Atreus Quintana</t>
  </si>
  <si>
    <t>Kenia Berger</t>
  </si>
  <si>
    <t>Byron Watts</t>
  </si>
  <si>
    <t>Melissa Banks</t>
  </si>
  <si>
    <t>Martin May</t>
  </si>
  <si>
    <t>Adriana Salinas</t>
  </si>
  <si>
    <t>Edgar Russo</t>
  </si>
  <si>
    <t>Tinsley Medina</t>
  </si>
  <si>
    <t>George Brown</t>
  </si>
  <si>
    <t>Charlotte Cline</t>
  </si>
  <si>
    <t>Cullen Cooper</t>
  </si>
  <si>
    <t>Serenity Wu</t>
  </si>
  <si>
    <t>Kyson Choi</t>
  </si>
  <si>
    <t>Karla Whitaker</t>
  </si>
  <si>
    <t>Keith Francis</t>
  </si>
  <si>
    <t>Daniella Harrington</t>
  </si>
  <si>
    <t>Omari Monroe</t>
  </si>
  <si>
    <t>Carly Fleming</t>
  </si>
  <si>
    <t>Fernando Herring</t>
  </si>
  <si>
    <t>Denver Wolfe</t>
  </si>
  <si>
    <t>Donovan Bishop</t>
  </si>
  <si>
    <t>Brooklynn McGee</t>
  </si>
  <si>
    <t>Conner Quinn</t>
  </si>
  <si>
    <t>Heaven Terrell</t>
  </si>
  <si>
    <t>Jaxen Kent</t>
  </si>
  <si>
    <t>Jazmine Olsen</t>
  </si>
  <si>
    <t>Skyler Graham</t>
  </si>
  <si>
    <t>Alaia Lozano</t>
  </si>
  <si>
    <t>Boone Greene</t>
  </si>
  <si>
    <t>Selena Ramos</t>
  </si>
  <si>
    <t>Angel Hanson</t>
  </si>
  <si>
    <t>Mariana Lambert</t>
  </si>
  <si>
    <t>Mario Ayers</t>
  </si>
  <si>
    <t>Simone Collier</t>
  </si>
  <si>
    <t>Edison Browning</t>
  </si>
  <si>
    <t>Princess Parks</t>
  </si>
  <si>
    <t>Gianni Guerra</t>
  </si>
  <si>
    <t>Edith Magana</t>
  </si>
  <si>
    <t>Rey Boone</t>
  </si>
  <si>
    <t>Mariam Proctor</t>
  </si>
  <si>
    <t>Vance Espinosa</t>
  </si>
  <si>
    <t>Braylee Armstrong</t>
  </si>
  <si>
    <t>Grant Bryan</t>
  </si>
  <si>
    <t>Meredith Olson</t>
  </si>
  <si>
    <t>Malachi Lin</t>
  </si>
  <si>
    <t>Makenna Ochoa</t>
  </si>
  <si>
    <t>Winston McIntosh</t>
  </si>
  <si>
    <t>Gwen Best</t>
  </si>
  <si>
    <t>Harlem Gray</t>
  </si>
  <si>
    <t>Sarah Browning</t>
  </si>
  <si>
    <t>Rohan Dunn</t>
  </si>
  <si>
    <t>Olive Todd</t>
  </si>
  <si>
    <t>Baylor Stone</t>
  </si>
  <si>
    <t>Catalina McKay</t>
  </si>
  <si>
    <t>Joey Jaramillo</t>
  </si>
  <si>
    <t>Guadalupe Wiley</t>
  </si>
  <si>
    <t>Mathew Marquez</t>
  </si>
  <si>
    <t>Milani McIntosh</t>
  </si>
  <si>
    <t>Kristian Levy</t>
  </si>
  <si>
    <t>Flora Howe</t>
  </si>
  <si>
    <t>Alaric Henson</t>
  </si>
  <si>
    <t>Kinslee Blake</t>
  </si>
  <si>
    <t>Zyaire Powers</t>
  </si>
  <si>
    <t>Michelle Rush</t>
  </si>
  <si>
    <t>Kaiser Patton</t>
  </si>
  <si>
    <t>Lorelei Alexander</t>
  </si>
  <si>
    <t>Kingston Bryan</t>
  </si>
  <si>
    <t>Meredith Wheeler</t>
  </si>
  <si>
    <t>Kenneth Foley</t>
  </si>
  <si>
    <t>Zaylee Mora</t>
  </si>
  <si>
    <t>Arturo Herrera</t>
  </si>
  <si>
    <t>Ximena Ford</t>
  </si>
  <si>
    <t>Luis Nunez</t>
  </si>
  <si>
    <t>Mya Snow</t>
  </si>
  <si>
    <t>Houston Villarreal</t>
  </si>
  <si>
    <t>Jazlyn Hickman</t>
  </si>
  <si>
    <t>Jakobe Santiago</t>
  </si>
  <si>
    <t>Nyla Stuart</t>
  </si>
  <si>
    <t>Dion Padilla</t>
  </si>
  <si>
    <t>Maggie Bailey</t>
  </si>
  <si>
    <t>Axel Bauer</t>
  </si>
  <si>
    <t>Haley Costa</t>
  </si>
  <si>
    <t>Kenji Meyer</t>
  </si>
  <si>
    <t>Sara Correa</t>
  </si>
  <si>
    <t>Zakai Lynch</t>
  </si>
  <si>
    <t>Malia Graham</t>
  </si>
  <si>
    <t>Giovanni Stokes</t>
  </si>
  <si>
    <t>Miranda Sherman</t>
  </si>
  <si>
    <t>Adan Salazar</t>
  </si>
  <si>
    <t>Freya Schneider</t>
  </si>
  <si>
    <t>Raymond Hubbard</t>
  </si>
  <si>
    <t>Rosie Alfaro</t>
  </si>
  <si>
    <t>Xzavier Good</t>
  </si>
  <si>
    <t>Nathalia Hayden</t>
  </si>
  <si>
    <t>Leroy Arias</t>
  </si>
  <si>
    <t>Aleah Trujillo</t>
  </si>
  <si>
    <t>Apollo Ramos</t>
  </si>
  <si>
    <t>Alice Moore</t>
  </si>
  <si>
    <t>Levi Page</t>
  </si>
  <si>
    <t>Cataleya Whitney</t>
  </si>
  <si>
    <t>Jeffery Booker</t>
  </si>
  <si>
    <t>Nataly Copeland</t>
  </si>
  <si>
    <t>Axton Singh</t>
  </si>
  <si>
    <t>Vivienne Petersen</t>
  </si>
  <si>
    <t>Samson Wheeler</t>
  </si>
  <si>
    <t>Sydney Salgado</t>
  </si>
  <si>
    <t>Trace Stark</t>
  </si>
  <si>
    <t>Kamilah Padilla</t>
  </si>
  <si>
    <t>Jaden Lowe</t>
  </si>
  <si>
    <t>Amari Gross</t>
  </si>
  <si>
    <t>Quinn Spencer</t>
  </si>
  <si>
    <t>Alyssa Turner</t>
  </si>
  <si>
    <t>Joshua Villalobos</t>
  </si>
  <si>
    <t>Zoya Carter</t>
  </si>
  <si>
    <t>Maverick Mack</t>
  </si>
  <si>
    <t>Nadia Enriquez</t>
  </si>
  <si>
    <t>Elisha Faulkner</t>
  </si>
  <si>
    <t>Ansley Stuart</t>
  </si>
  <si>
    <t>Dion Case</t>
  </si>
  <si>
    <t>Cleo Coleman</t>
  </si>
  <si>
    <t>Micah Livingston</t>
  </si>
  <si>
    <t>Milena Lim</t>
  </si>
  <si>
    <t>Cal Hail</t>
  </si>
  <si>
    <t>Lainey Gutierrez</t>
  </si>
  <si>
    <t>Luca Vance</t>
  </si>
  <si>
    <t>Maxine Stark</t>
  </si>
  <si>
    <t>Kristopher Hull</t>
  </si>
  <si>
    <t>Andi Esquivel</t>
  </si>
  <si>
    <t>Bridger Maldonado</t>
  </si>
  <si>
    <t>Elaina Barrett</t>
  </si>
  <si>
    <t>Angelo Poole</t>
  </si>
  <si>
    <t>Bonnie Cummings</t>
  </si>
  <si>
    <t>Raiden Whitney</t>
  </si>
  <si>
    <t>Madalynn Hester</t>
  </si>
  <si>
    <t>Rene Rhodes</t>
  </si>
  <si>
    <t>Tatum Mullen</t>
  </si>
  <si>
    <t>Shepard Gomez</t>
  </si>
  <si>
    <t>Natalie Villarreal</t>
  </si>
  <si>
    <t>Nikolai Lloyd</t>
  </si>
  <si>
    <t>Emely Herman</t>
  </si>
  <si>
    <t>Juelz Dodson</t>
  </si>
  <si>
    <t>Etta Frederick</t>
  </si>
  <si>
    <t>Kase Lane</t>
  </si>
  <si>
    <t>Amy Parker</t>
  </si>
  <si>
    <t>Caleb Knapp</t>
  </si>
  <si>
    <t>Linda Brock</t>
  </si>
  <si>
    <t>Julio Whitney</t>
  </si>
  <si>
    <t>Madalynn Long</t>
  </si>
  <si>
    <t>Jace Pace</t>
  </si>
  <si>
    <t>Giana Ellis</t>
  </si>
  <si>
    <t>Cole Harris</t>
  </si>
  <si>
    <t>Penelope Santos</t>
  </si>
  <si>
    <t>Walker Valentine</t>
  </si>
  <si>
    <t>August Durham</t>
  </si>
  <si>
    <t>Kellen Roberts</t>
  </si>
  <si>
    <t>Paisley Baxter</t>
  </si>
  <si>
    <t>Tomas Ferguson</t>
  </si>
  <si>
    <t>Juliana Shah</t>
  </si>
  <si>
    <t>Zain Webb</t>
  </si>
  <si>
    <t>Ariella Armstrong</t>
  </si>
  <si>
    <t>Grant Faulkner</t>
  </si>
  <si>
    <t>Ansley Richardson</t>
  </si>
  <si>
    <t>Robert Trujillo</t>
  </si>
  <si>
    <t>Danielle Nava</t>
  </si>
  <si>
    <t>Stefan Huffman</t>
  </si>
  <si>
    <t>Hayley Chang</t>
  </si>
  <si>
    <t>Ari Barry</t>
  </si>
  <si>
    <t>Waverly Hanna</t>
  </si>
  <si>
    <t>Aydin Pope</t>
  </si>
  <si>
    <t>Aurelia Ashley</t>
  </si>
  <si>
    <t>Kylen Rodgers</t>
  </si>
  <si>
    <t>Selah Davenport</t>
  </si>
  <si>
    <t>Dariel Soto</t>
  </si>
  <si>
    <t>Brynlee Kent</t>
  </si>
  <si>
    <t>Mekhi Hickman</t>
  </si>
  <si>
    <t>Scarlette Barry</t>
  </si>
  <si>
    <t>Emery Robertson</t>
  </si>
  <si>
    <t>Harmony Welch</t>
  </si>
  <si>
    <t>Hendrix Gates</t>
  </si>
  <si>
    <t>Melina Wood</t>
  </si>
  <si>
    <t>Carson McClain</t>
  </si>
  <si>
    <t>Marleigh Knight</t>
  </si>
  <si>
    <t>Beckett Cain</t>
  </si>
  <si>
    <t>Kendra Richmond</t>
  </si>
  <si>
    <t>Mordechai Hammond</t>
  </si>
  <si>
    <t>Holly Potts</t>
  </si>
  <si>
    <t>Alfred Trejo</t>
  </si>
  <si>
    <t>Rosalyn Gates</t>
  </si>
  <si>
    <t>Ermias Gill</t>
  </si>
  <si>
    <t>Jordan Holt</t>
  </si>
  <si>
    <t>Niko Collier</t>
  </si>
  <si>
    <t>Ivory Bonilla</t>
  </si>
  <si>
    <t>Aden Ball</t>
  </si>
  <si>
    <t>Abby Hodges</t>
  </si>
  <si>
    <t>Alonzo Neal</t>
  </si>
  <si>
    <t>Talia Hail</t>
  </si>
  <si>
    <t>Hector Velez</t>
  </si>
  <si>
    <t>Megan Knight</t>
  </si>
  <si>
    <t>Beckett Carey</t>
  </si>
  <si>
    <t>Alora Jefferson</t>
  </si>
  <si>
    <t>Raylan Hanson</t>
  </si>
  <si>
    <t>Mariana Koch</t>
  </si>
  <si>
    <t>Salvador Bradshaw</t>
  </si>
  <si>
    <t>Berkley Gentry</t>
  </si>
  <si>
    <t>Magnus Patrick</t>
  </si>
  <si>
    <t>Lyra McIntosh</t>
  </si>
  <si>
    <t>Kristian Bullock</t>
  </si>
  <si>
    <t>Winnie Michael</t>
  </si>
  <si>
    <t>Bronson West</t>
  </si>
  <si>
    <t>Remi Doyle</t>
  </si>
  <si>
    <t>Kashton Summers</t>
  </si>
  <si>
    <t>Frankie Kent</t>
  </si>
  <si>
    <t>Mekhi Ruiz</t>
  </si>
  <si>
    <t>Emery Frost</t>
  </si>
  <si>
    <t>Dario Dickson</t>
  </si>
  <si>
    <t>Emmalynn Cabrera</t>
  </si>
  <si>
    <t>Cade Marks</t>
  </si>
  <si>
    <t>Monica Cantrell</t>
  </si>
  <si>
    <t>Harris Shaffer</t>
  </si>
  <si>
    <t>Alanna Roy</t>
  </si>
  <si>
    <t>Marcelo Alfaro</t>
  </si>
  <si>
    <t>Yasmin Manning</t>
  </si>
  <si>
    <t>Seth Cox</t>
  </si>
  <si>
    <t>Sadie Sawyer</t>
  </si>
  <si>
    <t>Jefferson Blanchard</t>
  </si>
  <si>
    <t>Layne Marin</t>
  </si>
  <si>
    <t>Aldo Moreno</t>
  </si>
  <si>
    <t>Mary Lin</t>
  </si>
  <si>
    <t>Conor Kennedy</t>
  </si>
  <si>
    <t>Brianna Thomas</t>
  </si>
  <si>
    <t>Logan Carr</t>
  </si>
  <si>
    <t>Rowan Carlson</t>
  </si>
  <si>
    <t>Paul Grant</t>
  </si>
  <si>
    <t>Alaina Livingston</t>
  </si>
  <si>
    <t>Ambrose Camacho</t>
  </si>
  <si>
    <t>Armani Sheppard</t>
  </si>
  <si>
    <t>Trent Lozano</t>
  </si>
  <si>
    <t>Cecelia Boyle</t>
  </si>
  <si>
    <t>Robin Knapp</t>
  </si>
  <si>
    <t>Linda Rowland</t>
  </si>
  <si>
    <t>Eliezer Bradford</t>
  </si>
  <si>
    <t>Rhea Chen</t>
  </si>
  <si>
    <t>Emmanuel Spencer</t>
  </si>
  <si>
    <t>Alyssa Hardy</t>
  </si>
  <si>
    <t>Jayceon Jones</t>
  </si>
  <si>
    <t>Sophia Page</t>
  </si>
  <si>
    <t>Pablo Gregory</t>
  </si>
  <si>
    <t>Alaya Morrison</t>
  </si>
  <si>
    <t>Maximus Powell</t>
  </si>
  <si>
    <t>Vivian Fisher</t>
  </si>
  <si>
    <t>Gael Hughes</t>
  </si>
  <si>
    <t>Samantha Poole</t>
  </si>
  <si>
    <t>Quincy Blackburn</t>
  </si>
  <si>
    <t>Frida Kaur</t>
  </si>
  <si>
    <t>Augustine Larson</t>
  </si>
  <si>
    <t>Alayna Freeman</t>
  </si>
  <si>
    <t>Jayce Keith</t>
  </si>
  <si>
    <t>Elyse Merritt</t>
  </si>
  <si>
    <t>Colten Bowman</t>
  </si>
  <si>
    <t>Fiona Reyes</t>
  </si>
  <si>
    <t>Eli Butler</t>
  </si>
  <si>
    <t>Athena Erickson</t>
  </si>
  <si>
    <t>Johnny Wong</t>
  </si>
  <si>
    <t>Adelaide Russo</t>
  </si>
  <si>
    <t>Jamie Xiong</t>
  </si>
  <si>
    <t>Amayah Moyer</t>
  </si>
  <si>
    <t>Ahmir Sanders</t>
  </si>
  <si>
    <t>Everleigh Rivera</t>
  </si>
  <si>
    <t>Charles Chambers</t>
  </si>
  <si>
    <t>Makayla Marsh</t>
  </si>
  <si>
    <t>Bo Miller</t>
  </si>
  <si>
    <t>Isabella Hartman</t>
  </si>
  <si>
    <t>Baker Raymond</t>
  </si>
  <si>
    <t>Hadlee Griffin</t>
  </si>
  <si>
    <t>Ayden Soto</t>
  </si>
  <si>
    <t>Brynlee Savage</t>
  </si>
  <si>
    <t>Keaton Ramirez</t>
  </si>
  <si>
    <t>Grace Poole</t>
  </si>
  <si>
    <t>Quincy Colon</t>
  </si>
  <si>
    <t>Remy Anderson</t>
  </si>
  <si>
    <t>Jacob Hodge</t>
  </si>
  <si>
    <t>Coraline Hopkins</t>
  </si>
  <si>
    <t>Ali McGuire</t>
  </si>
  <si>
    <t>April Fox</t>
  </si>
  <si>
    <t>Antonio White</t>
  </si>
  <si>
    <t>Layla Cook</t>
  </si>
  <si>
    <t>Ezekiel Rich</t>
  </si>
  <si>
    <t>Sunny Vaughn</t>
  </si>
  <si>
    <t>Remy Wyatt</t>
  </si>
  <si>
    <t>Liberty Quintero</t>
  </si>
  <si>
    <t>Thatcher Schultz</t>
  </si>
  <si>
    <t>Briella Foster</t>
  </si>
  <si>
    <t>Kayden Garrison</t>
  </si>
  <si>
    <t>Cadence Campbell</t>
  </si>
  <si>
    <t>Christopher Hodge</t>
  </si>
  <si>
    <t>Coraline Mays</t>
  </si>
  <si>
    <t>Jadiel Curtis</t>
  </si>
  <si>
    <t>Alexis Barrett</t>
  </si>
  <si>
    <t>Angelo Marsh</t>
  </si>
  <si>
    <t>Adelina Gilmore</t>
  </si>
  <si>
    <t>Vihaan Jackson</t>
  </si>
  <si>
    <t>Avery Trevino</t>
  </si>
  <si>
    <t>Jaime Peck</t>
  </si>
  <si>
    <t>Crystal Thompson</t>
  </si>
  <si>
    <t>Theodore Savage</t>
  </si>
  <si>
    <t>Louise Neal</t>
  </si>
  <si>
    <t>Kane Compton</t>
  </si>
  <si>
    <t>Elina McGee</t>
  </si>
  <si>
    <t>Conner Dougherty</t>
  </si>
  <si>
    <t>Alisson Horn</t>
  </si>
  <si>
    <t>Wilson Patton</t>
  </si>
  <si>
    <t>Lorelei Osborne</t>
  </si>
  <si>
    <t>Augustus Bryan</t>
  </si>
  <si>
    <t>Meredith Maynard</t>
  </si>
  <si>
    <t>Landry Bernard</t>
  </si>
  <si>
    <t>Barbara Bowman</t>
  </si>
  <si>
    <t>Francisco Costa</t>
  </si>
  <si>
    <t>Robin Thomas</t>
  </si>
  <si>
    <t>Logan Coleman</t>
  </si>
  <si>
    <t>Julia Hahn</t>
  </si>
  <si>
    <t>Kabir Roach</t>
  </si>
  <si>
    <t>Lyanna Weber</t>
  </si>
  <si>
    <t>Crew Stafford</t>
  </si>
  <si>
    <t>Bridget Anthony</t>
  </si>
  <si>
    <t>Shiloh Tran</t>
  </si>
  <si>
    <t>Kylie Greer</t>
  </si>
  <si>
    <t>Koda Porter</t>
  </si>
  <si>
    <t>Ryleigh Harvey</t>
  </si>
  <si>
    <t>Cayden Alexander</t>
  </si>
  <si>
    <t>Lyla Waller</t>
  </si>
  <si>
    <t>Marley Webb</t>
  </si>
  <si>
    <t>Ariella Hoffman</t>
  </si>
  <si>
    <t>Steven Berry</t>
  </si>
  <si>
    <t>Annabelle Miller</t>
  </si>
  <si>
    <t>Benjamin Andrade</t>
  </si>
  <si>
    <t>Emmy Marin</t>
  </si>
  <si>
    <t>Aldo Duke</t>
  </si>
  <si>
    <t>Melani Ho</t>
  </si>
  <si>
    <t>Morgan Dennis</t>
  </si>
  <si>
    <t>Maisie Lane</t>
  </si>
  <si>
    <t>Matias Dean</t>
  </si>
  <si>
    <t>Julianna Williams</t>
  </si>
  <si>
    <t>Oliver Sanchez</t>
  </si>
  <si>
    <t>Aria Harper</t>
  </si>
  <si>
    <t>Hayes Petersen</t>
  </si>
  <si>
    <t>Fernanda Vincent</t>
  </si>
  <si>
    <t>Aarav Vu</t>
  </si>
  <si>
    <t>Kimora Morrow</t>
  </si>
  <si>
    <t>Kyree Velez</t>
  </si>
  <si>
    <t>Megan Day</t>
  </si>
  <si>
    <t>Kayson Poole</t>
  </si>
  <si>
    <t>Bonnie Villalobos</t>
  </si>
  <si>
    <t>Reuben Portillo</t>
  </si>
  <si>
    <t>Nathalie Burnett</t>
  </si>
  <si>
    <t>Davis Gonzales</t>
  </si>
  <si>
    <t>Hadley Patton</t>
  </si>
  <si>
    <t>Moises Montoya</t>
  </si>
  <si>
    <t>Kamryn Baldwin</t>
  </si>
  <si>
    <t>Jaiden Whitney</t>
  </si>
  <si>
    <t>Madalynn Potter</t>
  </si>
  <si>
    <t>Lucca Maldonado</t>
  </si>
  <si>
    <t>Elaina Padilla</t>
  </si>
  <si>
    <t>Jaden Dillon</t>
  </si>
  <si>
    <t>Laurel Wilkins</t>
  </si>
  <si>
    <t>Yusuf O’Connor</t>
  </si>
  <si>
    <t>Charli Park</t>
  </si>
  <si>
    <t>Daxton Logan</t>
  </si>
  <si>
    <t>Kora Leblanc</t>
  </si>
  <si>
    <t>Braden Fuller</t>
  </si>
  <si>
    <t>Oakley Fitzgerald</t>
  </si>
  <si>
    <t>Peyton McCullough</t>
  </si>
  <si>
    <t>Hana Summers</t>
  </si>
  <si>
    <t>Darius Fuentes</t>
  </si>
  <si>
    <t>Madeleine Giles</t>
  </si>
  <si>
    <t>Kole Case</t>
  </si>
  <si>
    <t>Cleo Jackson</t>
  </si>
  <si>
    <t>Sebastian Wilkerson</t>
  </si>
  <si>
    <t>Janiyah Barton</t>
  </si>
  <si>
    <t>Cassius Nunez</t>
  </si>
  <si>
    <t>Mya Barton</t>
  </si>
  <si>
    <t>Cassius Whitaker</t>
  </si>
  <si>
    <t>Ivanna Mayo</t>
  </si>
  <si>
    <t>Jericho Mora</t>
  </si>
  <si>
    <t>Jemma Anthony</t>
  </si>
  <si>
    <t>Shiloh Cunningham</t>
  </si>
  <si>
    <t>Marley Hudson</t>
  </si>
  <si>
    <t>Peter Hunter</t>
  </si>
  <si>
    <t>Khloe Dillon</t>
  </si>
  <si>
    <t>Alvin O’Donnell</t>
  </si>
  <si>
    <t>Bellamy Richards</t>
  </si>
  <si>
    <t>Holden Spears</t>
  </si>
  <si>
    <t>Isabela Kennedy</t>
  </si>
  <si>
    <t>Maxwell Ortega</t>
  </si>
  <si>
    <t>Lilah Garza</t>
  </si>
  <si>
    <t>Judah Scott</t>
  </si>
  <si>
    <t>Aurora Holmes</t>
  </si>
  <si>
    <t>King Fernandez</t>
  </si>
  <si>
    <t>Amara Booth</t>
  </si>
  <si>
    <t>Chaim Arias</t>
  </si>
  <si>
    <t>Aleah McPherson</t>
  </si>
  <si>
    <t>Foster Tyler</t>
  </si>
  <si>
    <t>Helena Collier</t>
  </si>
  <si>
    <t>Edison Moss</t>
  </si>
  <si>
    <t>Bianca Blanchard</t>
  </si>
  <si>
    <t>Adler Young</t>
  </si>
  <si>
    <t>Zoey Cameron</t>
  </si>
  <si>
    <t>Rayan Gentry</t>
  </si>
  <si>
    <t>Amelie Salgado</t>
  </si>
  <si>
    <t>Trace Ponce</t>
  </si>
  <si>
    <t>Aileen McClure</t>
  </si>
  <si>
    <t>Reese Frazier</t>
  </si>
  <si>
    <t>Octavia Anderson</t>
  </si>
  <si>
    <t>Jacob Cruz</t>
  </si>
  <si>
    <t>Claire McConnell</t>
  </si>
  <si>
    <t>London Giles</t>
  </si>
  <si>
    <t>Bailee Cortes</t>
  </si>
  <si>
    <t>Banks Jones</t>
  </si>
  <si>
    <t>Sophia Arroyo</t>
  </si>
  <si>
    <t>Alberto Duran</t>
  </si>
  <si>
    <t>Willa Oliver</t>
  </si>
  <si>
    <t>Karson Wise</t>
  </si>
  <si>
    <t>Mira Marshall</t>
  </si>
  <si>
    <t>Kaiden Hendricks</t>
  </si>
  <si>
    <t>Dani Sellers</t>
  </si>
  <si>
    <t>Madden Suarez</t>
  </si>
  <si>
    <t>Jimena Conner</t>
  </si>
  <si>
    <t>Phillip Barron</t>
  </si>
  <si>
    <t>Anya Walsh</t>
  </si>
  <si>
    <t>Bodhi Blankenship</t>
  </si>
  <si>
    <t>Rosalee Kirk</t>
  </si>
  <si>
    <t>Alessandro Ballard</t>
  </si>
  <si>
    <t>Alejandra Dunn</t>
  </si>
  <si>
    <t>Dawson Miranda</t>
  </si>
  <si>
    <t>Amina Eaton</t>
  </si>
  <si>
    <t>Leighton Salazar</t>
  </si>
  <si>
    <t>Freya James</t>
  </si>
  <si>
    <t>Jaxson Campos</t>
  </si>
  <si>
    <t>Sutton Mullins</t>
  </si>
  <si>
    <t>Allen Hancock</t>
  </si>
  <si>
    <t>Katelyn Singh</t>
  </si>
  <si>
    <t>Louis Day</t>
  </si>
  <si>
    <t>Hayden Thornton</t>
  </si>
  <si>
    <t>Malik Short</t>
  </si>
  <si>
    <t>Cheyenne Merritt</t>
  </si>
  <si>
    <t>Colten Campbell</t>
  </si>
  <si>
    <t>Addison Cordova</t>
  </si>
  <si>
    <t>Vicente Watson</t>
  </si>
  <si>
    <t>Hailey Hawkins</t>
  </si>
  <si>
    <t>Victor Spears</t>
  </si>
  <si>
    <t>Isabela Dean</t>
  </si>
  <si>
    <t>Ronan McLaughlin</t>
  </si>
  <si>
    <t>Stephanie Lowe</t>
  </si>
  <si>
    <t>Julius Esquivel</t>
  </si>
  <si>
    <t>Jaylee Molina</t>
  </si>
  <si>
    <t>Prince Decker</t>
  </si>
  <si>
    <t>Aleena Dennis</t>
  </si>
  <si>
    <t>Emanuel Blankenship</t>
  </si>
  <si>
    <t>Rosalee Fowler</t>
  </si>
  <si>
    <t>Kameron Bean</t>
  </si>
  <si>
    <t>Jenesis Powers</t>
  </si>
  <si>
    <t>Sean Morales</t>
  </si>
  <si>
    <t>Skylar Farrell</t>
  </si>
  <si>
    <t>Ty Prince</t>
  </si>
  <si>
    <t>Greta Sexton</t>
  </si>
  <si>
    <t>Mylo Berry</t>
  </si>
  <si>
    <t>Annabelle Massey</t>
  </si>
  <si>
    <t>Donald Merritt</t>
  </si>
  <si>
    <t>Kaisley Barr</t>
  </si>
  <si>
    <t>Harley Yu</t>
  </si>
  <si>
    <t>Navy Suarez</t>
  </si>
  <si>
    <t>Soren Mayo</t>
  </si>
  <si>
    <t>Aarya Fitzgerald</t>
  </si>
  <si>
    <t>Peyton Fletcher</t>
  </si>
  <si>
    <t>Anaya Lucero</t>
  </si>
  <si>
    <t>Felipe Hogan</t>
  </si>
  <si>
    <t>Kathryn Keller</t>
  </si>
  <si>
    <t>Nico Morrow</t>
  </si>
  <si>
    <t>Reyna Walton</t>
  </si>
  <si>
    <t>Dominick Jensen</t>
  </si>
  <si>
    <t>Jane McGee</t>
  </si>
  <si>
    <t>Conner Lopez</t>
  </si>
  <si>
    <t>Gianna Blake</t>
  </si>
  <si>
    <t>Zyaire McKinney</t>
  </si>
  <si>
    <t>Gwendolyn Owen</t>
  </si>
  <si>
    <t>Cannon Stevenson</t>
  </si>
  <si>
    <t>Regina Klein</t>
  </si>
  <si>
    <t>Marco Watson</t>
  </si>
  <si>
    <t>Hailey Ayala</t>
  </si>
  <si>
    <t>Tanner Morton</t>
  </si>
  <si>
    <t>Mallory Lopez</t>
  </si>
  <si>
    <t>Michael Meza</t>
  </si>
  <si>
    <t>Rosa Stokes</t>
  </si>
  <si>
    <t>Santana Kent</t>
  </si>
  <si>
    <t>Jazmine Bartlett</t>
  </si>
  <si>
    <t>Kace Arnold</t>
  </si>
  <si>
    <t>Finley Phan</t>
  </si>
  <si>
    <t>Maison Duran</t>
  </si>
  <si>
    <t>Willa Howell</t>
  </si>
  <si>
    <t>Bradley Conway</t>
  </si>
  <si>
    <t>Ryann Baker</t>
  </si>
  <si>
    <t>Ezra Bishop</t>
  </si>
  <si>
    <t>Brooklynn Arellano</t>
  </si>
  <si>
    <t>Kellan Padilla</t>
  </si>
  <si>
    <t>Maggie Hale</t>
  </si>
  <si>
    <t>Ezequiel Lane</t>
  </si>
  <si>
    <t>Amy Zavala</t>
  </si>
  <si>
    <t>Dillon Shaw</t>
  </si>
  <si>
    <t>Emersyn Griffin</t>
  </si>
  <si>
    <t>Ayden Parsons</t>
  </si>
  <si>
    <t>Maia Hahn</t>
  </si>
  <si>
    <t>Kabir Berry</t>
  </si>
  <si>
    <t>Annabelle Sanders</t>
  </si>
  <si>
    <t>Jose Portillo</t>
  </si>
  <si>
    <t>Nathalie Wood</t>
  </si>
  <si>
    <t>Carson Vance</t>
  </si>
  <si>
    <t>Maxine Curtis</t>
  </si>
  <si>
    <t>Muhammad Kirk</t>
  </si>
  <si>
    <t>Ellis Cordova</t>
  </si>
  <si>
    <t>Vicente Lozano</t>
  </si>
  <si>
    <t>Cecelia Boyer</t>
  </si>
  <si>
    <t>Zeke Briggs</t>
  </si>
  <si>
    <t>Alia Cuevas</t>
  </si>
  <si>
    <t>Brecken Gross</t>
  </si>
  <si>
    <t>Khalil Freeman</t>
  </si>
  <si>
    <t>Norah Reese</t>
  </si>
  <si>
    <t>Alijah French</t>
  </si>
  <si>
    <t>Lorelai Daniel</t>
  </si>
  <si>
    <t>Grady Thompson</t>
  </si>
  <si>
    <t>Madison Correa</t>
  </si>
  <si>
    <t>Zakai Neal</t>
  </si>
  <si>
    <t>Talia Bates</t>
  </si>
  <si>
    <t>Ellis Wyatt</t>
  </si>
  <si>
    <t>Liberty Valencia</t>
  </si>
  <si>
    <t>Dax Watkins</t>
  </si>
  <si>
    <t>Lola Larsen</t>
  </si>
  <si>
    <t>Brycen Bowen</t>
  </si>
  <si>
    <t>Dream Vaughn</t>
  </si>
  <si>
    <t>Remy Morse</t>
  </si>
  <si>
    <t>Kairi Lynch</t>
  </si>
  <si>
    <t>Zane Mitchell</t>
  </si>
  <si>
    <t>Willow Henderson</t>
  </si>
  <si>
    <t>Beau Davis</t>
  </si>
  <si>
    <t>Mia Hurst</t>
  </si>
  <si>
    <t>Neil Chavez</t>
  </si>
  <si>
    <t>Nevaeh McCullough</t>
  </si>
  <si>
    <t>Briar Cherry</t>
  </si>
  <si>
    <t>Nyomi Cano</t>
  </si>
  <si>
    <t>Terry Ross</t>
  </si>
  <si>
    <t>Peyton Strickland</t>
  </si>
  <si>
    <t>Keegan Peters</t>
  </si>
  <si>
    <t>Leila Guerra</t>
  </si>
  <si>
    <t>Leland Christian</t>
  </si>
  <si>
    <t>Anahi Spencer</t>
  </si>
  <si>
    <t>Ace Maldonado</t>
  </si>
  <si>
    <t>Elaina Anthony</t>
  </si>
  <si>
    <t>Shiloh Carrillo</t>
  </si>
  <si>
    <t>Kaylani Solomon</t>
  </si>
  <si>
    <t>Musa Schneider</t>
  </si>
  <si>
    <t>Delaney Vo</t>
  </si>
  <si>
    <t>Gordon Nicholson</t>
  </si>
  <si>
    <t>Justice Magana</t>
  </si>
  <si>
    <t>Rey Zuniga</t>
  </si>
  <si>
    <t>Leslie Lee</t>
  </si>
  <si>
    <t>Jack Parks</t>
  </si>
  <si>
    <t>Ainsley Bean</t>
  </si>
  <si>
    <t>Mccoy Rice</t>
  </si>
  <si>
    <t>Ada Vance</t>
  </si>
  <si>
    <t>Casen Carroll</t>
  </si>
  <si>
    <t>Zara Porter</t>
  </si>
  <si>
    <t>Rhett Blankenship</t>
  </si>
  <si>
    <t>Rosalee Bowman</t>
  </si>
  <si>
    <t>Francisco Zhang</t>
  </si>
  <si>
    <t>Sarai Ingram</t>
  </si>
  <si>
    <t>Tripp Salgado</t>
  </si>
  <si>
    <t>Avalynn Lloyd</t>
  </si>
  <si>
    <t>Zaire Gray</t>
  </si>
  <si>
    <t>Sarah Woods</t>
  </si>
  <si>
    <t>Zion Schmitt</t>
  </si>
  <si>
    <t>Queen Hess</t>
  </si>
  <si>
    <t>Lawrence Cochran</t>
  </si>
  <si>
    <t>Alma Crosby</t>
  </si>
  <si>
    <t>Tristen Jennings</t>
  </si>
  <si>
    <t>Palmer Stein</t>
  </si>
  <si>
    <t>Creed Harmon</t>
  </si>
  <si>
    <t>Maren Kline</t>
  </si>
  <si>
    <t>Ramon Callahan</t>
  </si>
  <si>
    <t>Kimber Ramirez</t>
  </si>
  <si>
    <t>David Hoover</t>
  </si>
  <si>
    <t>Virginia Duke</t>
  </si>
  <si>
    <t>Kalel Mejia</t>
  </si>
  <si>
    <t>Saylor Valentine</t>
  </si>
  <si>
    <t>Demetrius Padilla</t>
  </si>
  <si>
    <t>Maggie Cervantes</t>
  </si>
  <si>
    <t>Kamari Proctor</t>
  </si>
  <si>
    <t>Chandler Boyle</t>
  </si>
  <si>
    <t>Robin Phelps</t>
  </si>
  <si>
    <t>Laney Robertson</t>
  </si>
  <si>
    <t>Emiliano Donaldson</t>
  </si>
  <si>
    <t>Natasha Blake</t>
  </si>
  <si>
    <t>Zyaire Cortez</t>
  </si>
  <si>
    <t>Haven Blackburn</t>
  </si>
  <si>
    <t>Zahir Richard</t>
  </si>
  <si>
    <t>Davina Hogan</t>
  </si>
  <si>
    <t>Sonny Huff</t>
  </si>
  <si>
    <t>Karsyn Hunt</t>
  </si>
  <si>
    <t>Jesus Wilcox</t>
  </si>
  <si>
    <t>Ashlyn Turner</t>
  </si>
  <si>
    <t>Joshua Gillespie</t>
  </si>
  <si>
    <t>Alianna Cherry</t>
  </si>
  <si>
    <t>Rome Moreno</t>
  </si>
  <si>
    <t>Mary Reese</t>
  </si>
  <si>
    <t>Alijah McLean</t>
  </si>
  <si>
    <t>Sky Macdonald</t>
  </si>
  <si>
    <t>Hugh Chase</t>
  </si>
  <si>
    <t>Angie Knight</t>
  </si>
  <si>
    <t>Beckett Snow</t>
  </si>
  <si>
    <t>Alexia Guzman</t>
  </si>
  <si>
    <t>Jude Savage</t>
  </si>
  <si>
    <t>Louise Alvarado</t>
  </si>
  <si>
    <t>Andres Hutchinson</t>
  </si>
  <si>
    <t>Jamie Atkins</t>
  </si>
  <si>
    <t>Cason Benjamin</t>
  </si>
  <si>
    <t>Jianna Valdez</t>
  </si>
  <si>
    <t>Kyler Fleming</t>
  </si>
  <si>
    <t>Fatima Hendrix</t>
  </si>
  <si>
    <t>Korbyn Faulkner</t>
  </si>
  <si>
    <t>Ansley Velazquez</t>
  </si>
  <si>
    <t>Drew McDonald</t>
  </si>
  <si>
    <t>Daisy Lowe</t>
  </si>
  <si>
    <t>Julius Rasmussen</t>
  </si>
  <si>
    <t>Esperanza Donovan</t>
  </si>
  <si>
    <t>Brayan Valentine</t>
  </si>
  <si>
    <t>August Farmer</t>
  </si>
  <si>
    <t>Jamison Horne</t>
  </si>
  <si>
    <t>Marlowe Guerra</t>
  </si>
  <si>
    <t>Leland Hebert</t>
  </si>
  <si>
    <t>Kyleigh Spears</t>
  </si>
  <si>
    <t>Ameer Wolf</t>
  </si>
  <si>
    <t>Jolene Navarro</t>
  </si>
  <si>
    <t>Reid Buchanan</t>
  </si>
  <si>
    <t>Maryam Watkins</t>
  </si>
  <si>
    <t>Nash McDonald</t>
  </si>
  <si>
    <t>Daisy Shepard</t>
  </si>
  <si>
    <t>Damari Owens</t>
  </si>
  <si>
    <t>Amaya Rogers</t>
  </si>
  <si>
    <t>Colton Francis</t>
  </si>
  <si>
    <t>Daniella Grimes</t>
  </si>
  <si>
    <t>Harlan Humphrey</t>
  </si>
  <si>
    <t>Journi Moran</t>
  </si>
  <si>
    <t>Tate Bowen</t>
  </si>
  <si>
    <t>Dream Blevins</t>
  </si>
  <si>
    <t>Avi Vargas</t>
  </si>
  <si>
    <t>Andrea McDonald</t>
  </si>
  <si>
    <t>Calvin Lu</t>
  </si>
  <si>
    <t>Emani Ho</t>
  </si>
  <si>
    <t>Morgan Simpson</t>
  </si>
  <si>
    <t>Anastasia Ventura</t>
  </si>
  <si>
    <t>Branson Giles</t>
  </si>
  <si>
    <t>Bailee Walsh</t>
  </si>
  <si>
    <t>Bodhi Walter</t>
  </si>
  <si>
    <t>Penny Peterson</t>
  </si>
  <si>
    <t>Santiago Contreras</t>
  </si>
  <si>
    <t>Daniela Gregory</t>
  </si>
  <si>
    <t>Travis Owen</t>
  </si>
  <si>
    <t>Mikayla Mathews</t>
  </si>
  <si>
    <t>Jamir Bonilla</t>
  </si>
  <si>
    <t>Romina Beil</t>
  </si>
  <si>
    <t>Ariel Cordova</t>
  </si>
  <si>
    <t>Florence Moore</t>
  </si>
  <si>
    <t>Levi Baxter</t>
  </si>
  <si>
    <t>Lara Todd</t>
  </si>
  <si>
    <t>Baylor Horne</t>
  </si>
  <si>
    <t>Marlowe Garcia</t>
  </si>
  <si>
    <t>James Shah</t>
  </si>
  <si>
    <t>Angelica Sanders</t>
  </si>
  <si>
    <t>Jose Copeland</t>
  </si>
  <si>
    <t>Dayana Clark</t>
  </si>
  <si>
    <t>John House</t>
  </si>
  <si>
    <t>Sariah Larson</t>
  </si>
  <si>
    <t>Rafael Cain</t>
  </si>
  <si>
    <t>Kendra Moore</t>
  </si>
  <si>
    <t>Levi Parks</t>
  </si>
  <si>
    <t>Ainsley Dyer</t>
  </si>
  <si>
    <t>Atreus Roy</t>
  </si>
  <si>
    <t>Savanna Nixon</t>
  </si>
  <si>
    <t>Cory Houston</t>
  </si>
  <si>
    <t>Lylah Arroyo</t>
  </si>
  <si>
    <t>Alberto Valencia</t>
  </si>
  <si>
    <t>Maddison Townsend</t>
  </si>
  <si>
    <t>Alexis Lewis</t>
  </si>
  <si>
    <t>Ellie Reyes</t>
  </si>
  <si>
    <t>Eli Nava</t>
  </si>
  <si>
    <t>Scout Shannon</t>
  </si>
  <si>
    <t>Eliel Green</t>
  </si>
  <si>
    <t>Zoe Ellison</t>
  </si>
  <si>
    <t>Kye Carson</t>
  </si>
  <si>
    <t>Nalani Simon</t>
  </si>
  <si>
    <t>Zayne Bryant</t>
  </si>
  <si>
    <t>Parker Singh</t>
  </si>
  <si>
    <t>Louis Frazier</t>
  </si>
  <si>
    <t>Octavia Anthony</t>
  </si>
  <si>
    <t>Shiloh Strickland</t>
  </si>
  <si>
    <t>Nia Rocha</t>
  </si>
  <si>
    <t>Onyx Simmons</t>
  </si>
  <si>
    <t>Reagan McDaniel</t>
  </si>
  <si>
    <t>Major Levy</t>
  </si>
  <si>
    <t>Flora Harvey</t>
  </si>
  <si>
    <t>Cayden Brady</t>
  </si>
  <si>
    <t>Personal Loan</t>
  </si>
  <si>
    <t>Bank Branch Name</t>
  </si>
  <si>
    <t>Paris Ware</t>
  </si>
  <si>
    <t>Debt Owing</t>
  </si>
  <si>
    <t>Line of credit</t>
  </si>
  <si>
    <t>Credit card</t>
  </si>
  <si>
    <t>Student Loan</t>
  </si>
  <si>
    <t>Payday Loans</t>
  </si>
  <si>
    <t>Mortgage Loan</t>
  </si>
  <si>
    <t>Land Loan</t>
  </si>
  <si>
    <t>Small Business Loan</t>
  </si>
  <si>
    <t>Auto Loan</t>
  </si>
  <si>
    <t>Current Note</t>
  </si>
  <si>
    <t>Promised to pay</t>
  </si>
  <si>
    <t>Will repay more despite owing</t>
  </si>
  <si>
    <t>Is not committed, but promises to pay</t>
  </si>
  <si>
    <t>Did not pick the call</t>
  </si>
  <si>
    <t>Client is willing to proceed with repayments</t>
  </si>
  <si>
    <t>The Client intends to complete the loan soon</t>
  </si>
  <si>
    <t>Happy with our service</t>
  </si>
  <si>
    <t>Lost his job, but able to pay once employed</t>
  </si>
  <si>
    <t>Thankful for the call, will pay at the end of March</t>
  </si>
  <si>
    <t>He was not audible enough</t>
  </si>
  <si>
    <t>Bank 1</t>
  </si>
  <si>
    <t>She shall make a substantial payment in April 2025</t>
  </si>
  <si>
    <t>Total Debt</t>
  </si>
  <si>
    <t xml:space="preserve">Averge loan </t>
  </si>
  <si>
    <t>max loan</t>
  </si>
  <si>
    <t>min loan</t>
  </si>
  <si>
    <t>total laon</t>
  </si>
  <si>
    <t>total repaid</t>
  </si>
  <si>
    <t>Row Labels</t>
  </si>
  <si>
    <t>Sum of Debt Owing</t>
  </si>
  <si>
    <t>Grand Total</t>
  </si>
  <si>
    <t>Sum of Loan Amount</t>
  </si>
  <si>
    <t>Sum of Repaid</t>
  </si>
  <si>
    <t/>
  </si>
  <si>
    <t>Neutral</t>
  </si>
  <si>
    <t>Positive</t>
  </si>
  <si>
    <t>No Feedback</t>
  </si>
  <si>
    <t xml:space="preserve">Note </t>
  </si>
  <si>
    <t>Remarks</t>
  </si>
  <si>
    <t>Finance Loan Tracking</t>
  </si>
  <si>
    <t xml:space="preserve">  </t>
  </si>
  <si>
    <t>Count of Client</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</si>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</sst>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m/d/yy\ h:mm\ AM/PM;@"/>
  </numFmts>
  <fonts count="7" x14ac:knownFonts="1">
    <font>
      <sz val="12"/>
      <color theme="1"/>
      <name val="Calibri"/>
      <family val="2"/>
    </font>
    <font>
      <b/>
      <sz val="12"/>
      <color rgb="FFFF0000"/>
      <name val="Calibri"/>
      <family val="2"/>
    </font>
    <font>
      <b/>
      <sz val="12"/>
      <color theme="1"/>
      <name val="Calibri"/>
      <family val="2"/>
    </font>
    <font>
      <sz val="12"/>
      <name val="Calibri"/>
      <family val="2"/>
    </font>
    <font>
      <sz val="12"/>
      <color theme="1"/>
      <name val="Calibri"/>
      <family val="2"/>
    </font>
    <font>
      <sz val="20"/>
      <color theme="1" tint="0.249977111117893"/>
      <name val="Calibri"/>
      <family val="2"/>
    </font>
    <font>
      <sz val="16"/>
      <color theme="1"/>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theme="0" tint="-0.14999847407452621"/>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41">
    <xf numFmtId="0" fontId="0" fillId="0" borderId="0" xfId="0"/>
    <xf numFmtId="22" fontId="0" fillId="0" borderId="0" xfId="0" applyNumberFormat="1"/>
    <xf numFmtId="0" fontId="1" fillId="0" borderId="1" xfId="0" applyFont="1" applyBorder="1"/>
    <xf numFmtId="0" fontId="1" fillId="0" borderId="0" xfId="0" applyFont="1"/>
    <xf numFmtId="0" fontId="2" fillId="0" borderId="0" xfId="0" applyFont="1"/>
    <xf numFmtId="22" fontId="2" fillId="0" borderId="0" xfId="0" applyNumberFormat="1" applyFont="1"/>
    <xf numFmtId="164" fontId="0" fillId="0" borderId="0" xfId="0" applyNumberFormat="1"/>
    <xf numFmtId="0" fontId="0" fillId="0" borderId="1" xfId="0" applyFill="1" applyBorder="1"/>
    <xf numFmtId="0" fontId="0" fillId="0" borderId="0" xfId="0" applyFill="1"/>
    <xf numFmtId="0" fontId="3" fillId="0" borderId="1" xfId="0" applyFont="1" applyFill="1" applyBorder="1"/>
    <xf numFmtId="0" fontId="3" fillId="0" borderId="0" xfId="0" applyFont="1" applyFill="1"/>
    <xf numFmtId="0" fontId="0" fillId="0" borderId="1" xfId="0" applyBorder="1"/>
    <xf numFmtId="14" fontId="0" fillId="0" borderId="1" xfId="0" applyNumberFormat="1" applyBorder="1"/>
    <xf numFmtId="0" fontId="1" fillId="0" borderId="2" xfId="0" applyFont="1" applyBorder="1"/>
    <xf numFmtId="0" fontId="0" fillId="0" borderId="2" xfId="0" applyFill="1" applyBorder="1"/>
    <xf numFmtId="0" fontId="3" fillId="0" borderId="2" xfId="0" applyFont="1" applyFill="1" applyBorder="1"/>
    <xf numFmtId="0" fontId="0" fillId="0" borderId="0" xfId="0" applyBorder="1"/>
    <xf numFmtId="1" fontId="1" fillId="0" borderId="1" xfId="1" applyNumberFormat="1" applyFont="1" applyBorder="1"/>
    <xf numFmtId="1" fontId="0" fillId="0" borderId="1" xfId="1" applyNumberFormat="1" applyFont="1" applyFill="1" applyBorder="1"/>
    <xf numFmtId="1" fontId="3" fillId="0" borderId="1" xfId="1" applyNumberFormat="1" applyFont="1" applyFill="1" applyBorder="1"/>
    <xf numFmtId="1" fontId="0" fillId="0" borderId="1" xfId="1" applyNumberFormat="1" applyFont="1" applyBorder="1"/>
    <xf numFmtId="1" fontId="0" fillId="0" borderId="0" xfId="1" applyNumberFormat="1" applyFont="1"/>
    <xf numFmtId="1" fontId="1" fillId="0" borderId="1" xfId="0" applyNumberFormat="1" applyFont="1" applyBorder="1"/>
    <xf numFmtId="1" fontId="0" fillId="0" borderId="1" xfId="0" applyNumberFormat="1" applyFill="1" applyBorder="1"/>
    <xf numFmtId="1" fontId="3" fillId="0" borderId="1" xfId="0" applyNumberFormat="1" applyFont="1" applyFill="1" applyBorder="1"/>
    <xf numFmtId="1" fontId="0" fillId="0" borderId="1" xfId="0" applyNumberFormat="1" applyBorder="1"/>
    <xf numFmtId="1" fontId="0" fillId="0" borderId="0" xfId="0" applyNumberFormat="1"/>
    <xf numFmtId="14" fontId="1" fillId="0" borderId="1" xfId="0" applyNumberFormat="1" applyFont="1" applyBorder="1"/>
    <xf numFmtId="14" fontId="0" fillId="0" borderId="0" xfId="0" applyNumberFormat="1"/>
    <xf numFmtId="1" fontId="1" fillId="0" borderId="0" xfId="0" applyNumberFormat="1" applyFont="1" applyFill="1" applyBorder="1"/>
    <xf numFmtId="0" fontId="0" fillId="0" borderId="0" xfId="0" applyFill="1" applyBorder="1"/>
    <xf numFmtId="0" fontId="3" fillId="0" borderId="0" xfId="0" applyFont="1" applyFill="1" applyBorder="1"/>
    <xf numFmtId="0" fontId="0" fillId="0" borderId="0" xfId="0" pivotButton="1"/>
    <xf numFmtId="0" fontId="0" fillId="0" borderId="0" xfId="0" applyAlignment="1">
      <alignment horizontal="left"/>
    </xf>
    <xf numFmtId="0" fontId="0" fillId="0" borderId="0" xfId="0" applyNumberFormat="1"/>
    <xf numFmtId="0" fontId="5" fillId="2" borderId="0" xfId="0" applyFont="1" applyFill="1" applyBorder="1" applyAlignment="1">
      <alignment horizontal="center"/>
    </xf>
    <xf numFmtId="0" fontId="0" fillId="3" borderId="0" xfId="0" applyFill="1"/>
    <xf numFmtId="0" fontId="0" fillId="3" borderId="0" xfId="0" applyFill="1" applyAlignment="1">
      <alignment horizontal="left"/>
    </xf>
    <xf numFmtId="0" fontId="0" fillId="3" borderId="0" xfId="0" applyNumberFormat="1" applyFill="1"/>
    <xf numFmtId="0" fontId="6" fillId="2" borderId="0" xfId="0" applyFont="1" applyFill="1" applyBorder="1" applyAlignment="1">
      <alignment horizontal="center"/>
    </xf>
    <xf numFmtId="0" fontId="0" fillId="4" borderId="0" xfId="0" applyFill="1"/>
  </cellXfs>
  <cellStyles count="2">
    <cellStyle name="Comma" xfId="1" builtinId="3"/>
    <cellStyle name="Normal" xfId="0" builtinId="0"/>
  </cellStyles>
  <dxfs count="168">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File.xlsm]loan distribution!PivotTable10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Loan Distribution by Product Type</a:t>
            </a:r>
            <a:endParaRPr lang="en-US"/>
          </a:p>
        </c:rich>
      </c:tx>
      <c:layout>
        <c:manualLayout>
          <c:xMode val="edge"/>
          <c:yMode val="edge"/>
          <c:x val="0.22454155730533684"/>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3">
              <a:lumMod val="60000"/>
            </a:schemeClr>
          </a:solidFill>
          <a:ln w="19050">
            <a:solidFill>
              <a:schemeClr val="lt1"/>
            </a:solidFill>
          </a:ln>
          <a:effectLst/>
        </c:spPr>
        <c:dLbl>
          <c:idx val="0"/>
          <c:layout>
            <c:manualLayout>
              <c:x val="2.7777777777777776E-2"/>
              <c:y val="-5.4507337526205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3"/>
          </a:solidFill>
          <a:ln w="19050">
            <a:solidFill>
              <a:schemeClr val="lt1"/>
            </a:solidFill>
          </a:ln>
          <a:effectLst/>
        </c:spPr>
        <c:dLbl>
          <c:idx val="0"/>
          <c:layout>
            <c:manualLayout>
              <c:x val="0.14166666666666655"/>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2"/>
          </a:solidFill>
          <a:ln w="19050">
            <a:solidFill>
              <a:schemeClr val="lt1"/>
            </a:solidFill>
          </a:ln>
          <a:effectLst/>
        </c:spPr>
        <c:dLbl>
          <c:idx val="0"/>
          <c:layout>
            <c:manualLayout>
              <c:x val="0.10833333333333334"/>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4166666666666666"/>
              <c:y val="-1.25786163522012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30297397200349951"/>
          <c:y val="0.28664817841166079"/>
          <c:w val="0.45516338582677163"/>
          <c:h val="0.68703907294607047"/>
        </c:manualLayout>
      </c:layout>
      <c:pieChart>
        <c:varyColors val="1"/>
        <c:ser>
          <c:idx val="0"/>
          <c:order val="0"/>
          <c:tx>
            <c:strRef>
              <c:f>'loan 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7F86-450F-9781-A944D31FA2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7F86-450F-9781-A944D31FA2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F86-450F-9781-A944D31FA2A9}"/>
              </c:ext>
            </c:extLst>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3-7F86-450F-9781-A944D31FA2A9}"/>
              </c:ext>
            </c:extLst>
          </c:dPt>
          <c:dLbls>
            <c:dLbl>
              <c:idx val="0"/>
              <c:layout>
                <c:manualLayout>
                  <c:x val="-0.14166666666666666"/>
                  <c:y val="-1.25786163522012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7F86-450F-9781-A944D31FA2A9}"/>
                </c:ext>
              </c:extLst>
            </c:dLbl>
            <c:dLbl>
              <c:idx val="1"/>
              <c:layout>
                <c:manualLayout>
                  <c:x val="0.10833333333333334"/>
                  <c:y val="-8.385744234800839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F86-450F-9781-A944D31FA2A9}"/>
                </c:ext>
              </c:extLst>
            </c:dLbl>
            <c:dLbl>
              <c:idx val="2"/>
              <c:layout>
                <c:manualLayout>
                  <c:x val="0.14166666666666655"/>
                  <c:y val="8.385744234800839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7F86-450F-9781-A944D31FA2A9}"/>
                </c:ext>
              </c:extLst>
            </c:dLbl>
            <c:dLbl>
              <c:idx val="8"/>
              <c:layout>
                <c:manualLayout>
                  <c:x val="2.7777777777777776E-2"/>
                  <c:y val="-5.45073375262054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F86-450F-9781-A944D31FA2A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'loan distribution'!$A$4:$A$13</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'loan distribution'!$B$4:$B$13</c:f>
              <c:numCache>
                <c:formatCode>General</c:formatCode>
                <c:ptCount val="9"/>
                <c:pt idx="0">
                  <c:v>4108157</c:v>
                </c:pt>
                <c:pt idx="1">
                  <c:v>5734888</c:v>
                </c:pt>
                <c:pt idx="2">
                  <c:v>28525921</c:v>
                </c:pt>
                <c:pt idx="3">
                  <c:v>30477433</c:v>
                </c:pt>
                <c:pt idx="4">
                  <c:v>50299455</c:v>
                </c:pt>
                <c:pt idx="5">
                  <c:v>85933</c:v>
                </c:pt>
                <c:pt idx="6">
                  <c:v>2705488</c:v>
                </c:pt>
                <c:pt idx="7">
                  <c:v>263284909</c:v>
                </c:pt>
                <c:pt idx="8">
                  <c:v>2436761</c:v>
                </c:pt>
              </c:numCache>
            </c:numRef>
          </c:val>
          <c:extLst>
            <c:ext xmlns:c16="http://schemas.microsoft.com/office/drawing/2014/chart" uri="{C3380CC4-5D6E-409C-BE32-E72D297353CC}">
              <c16:uniqueId val="{00000000-7F86-450F-9781-A944D31FA2A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File.xlsm]repaidvsDebt!PivotTable6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Repaid</a:t>
            </a:r>
            <a:r>
              <a:rPr lang="en-US" b="1" baseline="0">
                <a:solidFill>
                  <a:schemeClr val="accent6">
                    <a:lumMod val="50000"/>
                  </a:schemeClr>
                </a:solidFill>
              </a:rPr>
              <a:t> VS Debt</a:t>
            </a:r>
            <a:endParaRPr lang="en-US"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s>
    <c:plotArea>
      <c:layout>
        <c:manualLayout>
          <c:layoutTarget val="inner"/>
          <c:xMode val="edge"/>
          <c:yMode val="edge"/>
          <c:x val="0.16881958862069893"/>
          <c:y val="0.20515646894629591"/>
          <c:w val="0.78369038832986349"/>
          <c:h val="0.53887907908230681"/>
        </c:manualLayout>
      </c:layout>
      <c:barChart>
        <c:barDir val="col"/>
        <c:grouping val="clustered"/>
        <c:varyColors val="0"/>
        <c:ser>
          <c:idx val="0"/>
          <c:order val="0"/>
          <c:tx>
            <c:strRef>
              <c:f>repaidvsDebt!$B$4</c:f>
              <c:strCache>
                <c:ptCount val="1"/>
                <c:pt idx="0">
                  <c:v>Sum of Repaid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repaidvsDebt!$A$5:$A$14</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repaidvsDebt!$B$5:$B$14</c:f>
              <c:numCache>
                <c:formatCode>General</c:formatCode>
                <c:ptCount val="9"/>
                <c:pt idx="0">
                  <c:v>1921980</c:v>
                </c:pt>
                <c:pt idx="1">
                  <c:v>2866775</c:v>
                </c:pt>
                <c:pt idx="2">
                  <c:v>13625792</c:v>
                </c:pt>
                <c:pt idx="3">
                  <c:v>16532682</c:v>
                </c:pt>
                <c:pt idx="4">
                  <c:v>22615523</c:v>
                </c:pt>
                <c:pt idx="5">
                  <c:v>41130</c:v>
                </c:pt>
                <c:pt idx="6">
                  <c:v>1253189</c:v>
                </c:pt>
                <c:pt idx="7">
                  <c:v>135723960</c:v>
                </c:pt>
                <c:pt idx="8">
                  <c:v>1160094</c:v>
                </c:pt>
              </c:numCache>
            </c:numRef>
          </c:val>
          <c:extLst>
            <c:ext xmlns:c16="http://schemas.microsoft.com/office/drawing/2014/chart" uri="{C3380CC4-5D6E-409C-BE32-E72D297353CC}">
              <c16:uniqueId val="{00000009-A23A-4381-8D67-A90A6660B52A}"/>
            </c:ext>
          </c:extLst>
        </c:ser>
        <c:ser>
          <c:idx val="1"/>
          <c:order val="1"/>
          <c:tx>
            <c:strRef>
              <c:f>repaidvsDebt!$C$4</c:f>
              <c:strCache>
                <c:ptCount val="1"/>
                <c:pt idx="0">
                  <c:v>Sum of Debt Owing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repaidvsDebt!$A$5:$A$14</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repaidvsDebt!$C$5:$C$14</c:f>
              <c:numCache>
                <c:formatCode>General</c:formatCode>
                <c:ptCount val="9"/>
                <c:pt idx="0">
                  <c:v>2186177</c:v>
                </c:pt>
                <c:pt idx="1">
                  <c:v>2868113</c:v>
                </c:pt>
                <c:pt idx="2">
                  <c:v>14900129</c:v>
                </c:pt>
                <c:pt idx="3">
                  <c:v>13944751</c:v>
                </c:pt>
                <c:pt idx="4">
                  <c:v>27683932</c:v>
                </c:pt>
                <c:pt idx="5">
                  <c:v>44803</c:v>
                </c:pt>
                <c:pt idx="6">
                  <c:v>1452299</c:v>
                </c:pt>
                <c:pt idx="7">
                  <c:v>127560949</c:v>
                </c:pt>
                <c:pt idx="8">
                  <c:v>1276667</c:v>
                </c:pt>
              </c:numCache>
            </c:numRef>
          </c:val>
          <c:extLst>
            <c:ext xmlns:c16="http://schemas.microsoft.com/office/drawing/2014/chart" uri="{C3380CC4-5D6E-409C-BE32-E72D297353CC}">
              <c16:uniqueId val="{0000000A-A23A-4381-8D67-A90A6660B52A}"/>
            </c:ext>
          </c:extLst>
        </c:ser>
        <c:dLbls>
          <c:dLblPos val="outEnd"/>
          <c:showLegendKey val="0"/>
          <c:showVal val="1"/>
          <c:showCatName val="0"/>
          <c:showSerName val="0"/>
          <c:showPercent val="0"/>
          <c:showBubbleSize val="0"/>
        </c:dLbls>
        <c:gapWidth val="219"/>
        <c:overlap val="-27"/>
        <c:axId val="864766560"/>
        <c:axId val="864767808"/>
      </c:barChart>
      <c:catAx>
        <c:axId val="86476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767808"/>
        <c:crosses val="autoZero"/>
        <c:auto val="1"/>
        <c:lblAlgn val="ctr"/>
        <c:lblOffset val="100"/>
        <c:noMultiLvlLbl val="0"/>
      </c:catAx>
      <c:valAx>
        <c:axId val="8647678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766560"/>
        <c:crosses val="autoZero"/>
        <c:crossBetween val="between"/>
      </c:valAx>
      <c:spPr>
        <a:noFill/>
        <a:ln>
          <a:noFill/>
        </a:ln>
        <a:effectLst/>
      </c:spPr>
    </c:plotArea>
    <c:legend>
      <c:legendPos val="r"/>
      <c:layout>
        <c:manualLayout>
          <c:xMode val="edge"/>
          <c:yMode val="edge"/>
          <c:x val="0.68725221482603782"/>
          <c:y val="1.3780138562719257E-2"/>
          <c:w val="0.26195372940183964"/>
          <c:h val="0.15022953545444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File.xlsm]feedback!PivotTable11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Client Feed</a:t>
            </a:r>
            <a:r>
              <a:rPr lang="en-US" baseline="0"/>
              <a:t> back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feedback!$B$3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feedback!$A$4:$A$6</c:f>
              <c:strCache>
                <c:ptCount val="2"/>
                <c:pt idx="0">
                  <c:v>Neutral</c:v>
                </c:pt>
                <c:pt idx="1">
                  <c:v>Positive</c:v>
                </c:pt>
              </c:strCache>
            </c:strRef>
          </c:cat>
          <c:val>
            <c:numRef>
              <c:f>feedback!$B$4:$B$6</c:f>
              <c:numCache>
                <c:formatCode>General</c:formatCode>
                <c:ptCount val="2"/>
                <c:pt idx="0">
                  <c:v>2</c:v>
                </c:pt>
                <c:pt idx="1">
                  <c:v>4</c:v>
                </c:pt>
              </c:numCache>
            </c:numRef>
          </c:val>
          <c:extLst>
            <c:ext xmlns:c16="http://schemas.microsoft.com/office/drawing/2014/chart" uri="{C3380CC4-5D6E-409C-BE32-E72D297353CC}">
              <c16:uniqueId val="{00000000-36E3-4937-A9C3-40C92A425AD1}"/>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File.xlsm]feedback!PivotTable11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Client Feed</a:t>
            </a:r>
            <a:r>
              <a:rPr lang="en-US" baseline="0"/>
              <a:t> back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feedback!$B$3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8E-444E-91B4-33D091322C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8E-444E-91B4-33D091322C8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feedback!$A$4:$A$6</c:f>
              <c:strCache>
                <c:ptCount val="2"/>
                <c:pt idx="0">
                  <c:v>Neutral</c:v>
                </c:pt>
                <c:pt idx="1">
                  <c:v>Positive</c:v>
                </c:pt>
              </c:strCache>
            </c:strRef>
          </c:cat>
          <c:val>
            <c:numRef>
              <c:f>feedback!$B$4:$B$6</c:f>
              <c:numCache>
                <c:formatCode>General</c:formatCode>
                <c:ptCount val="2"/>
                <c:pt idx="0">
                  <c:v>2</c:v>
                </c:pt>
                <c:pt idx="1">
                  <c:v>4</c:v>
                </c:pt>
              </c:numCache>
            </c:numRef>
          </c:val>
          <c:extLst>
            <c:ext xmlns:c16="http://schemas.microsoft.com/office/drawing/2014/chart" uri="{C3380CC4-5D6E-409C-BE32-E72D297353CC}">
              <c16:uniqueId val="{00000004-978E-444E-91B4-33D091322C84}"/>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File.xlsm]repaidvsDebt!PivotTable6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6">
                    <a:lumMod val="50000"/>
                  </a:schemeClr>
                </a:solidFill>
              </a:rPr>
              <a:t>Repaid</a:t>
            </a:r>
            <a:r>
              <a:rPr lang="en-US" b="1" baseline="0">
                <a:solidFill>
                  <a:schemeClr val="accent6">
                    <a:lumMod val="50000"/>
                  </a:schemeClr>
                </a:solidFill>
              </a:rPr>
              <a:t> VS Debt</a:t>
            </a:r>
            <a:endParaRPr lang="en-US"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81958862069893"/>
          <c:y val="0.20515646894629591"/>
          <c:w val="0.78369038832986349"/>
          <c:h val="0.53887907908230681"/>
        </c:manualLayout>
      </c:layout>
      <c:barChart>
        <c:barDir val="col"/>
        <c:grouping val="clustered"/>
        <c:varyColors val="0"/>
        <c:ser>
          <c:idx val="0"/>
          <c:order val="0"/>
          <c:tx>
            <c:strRef>
              <c:f>repaidvsDebt!$B$4</c:f>
              <c:strCache>
                <c:ptCount val="1"/>
                <c:pt idx="0">
                  <c:v>Sum of Repaid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repaidvsDebt!$A$5:$A$14</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repaidvsDebt!$B$5:$B$14</c:f>
              <c:numCache>
                <c:formatCode>General</c:formatCode>
                <c:ptCount val="9"/>
                <c:pt idx="0">
                  <c:v>1921980</c:v>
                </c:pt>
                <c:pt idx="1">
                  <c:v>2866775</c:v>
                </c:pt>
                <c:pt idx="2">
                  <c:v>13625792</c:v>
                </c:pt>
                <c:pt idx="3">
                  <c:v>16532682</c:v>
                </c:pt>
                <c:pt idx="4">
                  <c:v>22615523</c:v>
                </c:pt>
                <c:pt idx="5">
                  <c:v>41130</c:v>
                </c:pt>
                <c:pt idx="6">
                  <c:v>1253189</c:v>
                </c:pt>
                <c:pt idx="7">
                  <c:v>135723960</c:v>
                </c:pt>
                <c:pt idx="8">
                  <c:v>1160094</c:v>
                </c:pt>
              </c:numCache>
            </c:numRef>
          </c:val>
          <c:extLst>
            <c:ext xmlns:c16="http://schemas.microsoft.com/office/drawing/2014/chart" uri="{C3380CC4-5D6E-409C-BE32-E72D297353CC}">
              <c16:uniqueId val="{00000007-005F-4AD4-B750-F6E7C7AD0230}"/>
            </c:ext>
          </c:extLst>
        </c:ser>
        <c:ser>
          <c:idx val="1"/>
          <c:order val="1"/>
          <c:tx>
            <c:strRef>
              <c:f>repaidvsDebt!$C$4</c:f>
              <c:strCache>
                <c:ptCount val="1"/>
                <c:pt idx="0">
                  <c:v>Sum of Debt Owing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repaidvsDebt!$A$5:$A$14</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repaidvsDebt!$C$5:$C$14</c:f>
              <c:numCache>
                <c:formatCode>General</c:formatCode>
                <c:ptCount val="9"/>
                <c:pt idx="0">
                  <c:v>2186177</c:v>
                </c:pt>
                <c:pt idx="1">
                  <c:v>2868113</c:v>
                </c:pt>
                <c:pt idx="2">
                  <c:v>14900129</c:v>
                </c:pt>
                <c:pt idx="3">
                  <c:v>13944751</c:v>
                </c:pt>
                <c:pt idx="4">
                  <c:v>27683932</c:v>
                </c:pt>
                <c:pt idx="5">
                  <c:v>44803</c:v>
                </c:pt>
                <c:pt idx="6">
                  <c:v>1452299</c:v>
                </c:pt>
                <c:pt idx="7">
                  <c:v>127560949</c:v>
                </c:pt>
                <c:pt idx="8">
                  <c:v>1276667</c:v>
                </c:pt>
              </c:numCache>
            </c:numRef>
          </c:val>
          <c:extLst>
            <c:ext xmlns:c16="http://schemas.microsoft.com/office/drawing/2014/chart" uri="{C3380CC4-5D6E-409C-BE32-E72D297353CC}">
              <c16:uniqueId val="{00000008-005F-4AD4-B750-F6E7C7AD0230}"/>
            </c:ext>
          </c:extLst>
        </c:ser>
        <c:dLbls>
          <c:dLblPos val="outEnd"/>
          <c:showLegendKey val="0"/>
          <c:showVal val="1"/>
          <c:showCatName val="0"/>
          <c:showSerName val="0"/>
          <c:showPercent val="0"/>
          <c:showBubbleSize val="0"/>
        </c:dLbls>
        <c:gapWidth val="219"/>
        <c:overlap val="-27"/>
        <c:axId val="864766560"/>
        <c:axId val="864767808"/>
      </c:barChart>
      <c:catAx>
        <c:axId val="86476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767808"/>
        <c:crosses val="autoZero"/>
        <c:auto val="1"/>
        <c:lblAlgn val="ctr"/>
        <c:lblOffset val="100"/>
        <c:noMultiLvlLbl val="0"/>
      </c:catAx>
      <c:valAx>
        <c:axId val="8647678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766560"/>
        <c:crosses val="autoZero"/>
        <c:crossBetween val="between"/>
      </c:valAx>
      <c:spPr>
        <a:noFill/>
        <a:ln>
          <a:noFill/>
        </a:ln>
        <a:effectLst/>
      </c:spPr>
    </c:plotArea>
    <c:legend>
      <c:legendPos val="r"/>
      <c:layout>
        <c:manualLayout>
          <c:xMode val="edge"/>
          <c:yMode val="edge"/>
          <c:x val="0.68725221482603782"/>
          <c:y val="1.3780138562719257E-2"/>
          <c:w val="0.31274767140999743"/>
          <c:h val="0.169345490433750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Finance Loan Tracking Excel File.xlsm]loan distribution!PivotTable10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Loan Distribution by Product Type</a:t>
            </a:r>
            <a:endParaRPr lang="en-US"/>
          </a:p>
        </c:rich>
      </c:tx>
      <c:layout>
        <c:manualLayout>
          <c:xMode val="edge"/>
          <c:yMode val="edge"/>
          <c:x val="0.22454155730533684"/>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3">
              <a:lumMod val="60000"/>
            </a:schemeClr>
          </a:solidFill>
          <a:ln w="19050">
            <a:solidFill>
              <a:schemeClr val="lt1"/>
            </a:solidFill>
          </a:ln>
          <a:effectLst/>
        </c:spPr>
        <c:dLbl>
          <c:idx val="0"/>
          <c:layout>
            <c:manualLayout>
              <c:x val="2.7777777777777776E-2"/>
              <c:y val="-5.4507337526205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3"/>
          </a:solidFill>
          <a:ln w="19050">
            <a:solidFill>
              <a:schemeClr val="lt1"/>
            </a:solidFill>
          </a:ln>
          <a:effectLst/>
        </c:spPr>
        <c:dLbl>
          <c:idx val="0"/>
          <c:layout>
            <c:manualLayout>
              <c:x val="0.14166666666666655"/>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2"/>
          </a:solidFill>
          <a:ln w="19050">
            <a:solidFill>
              <a:schemeClr val="lt1"/>
            </a:solidFill>
          </a:ln>
          <a:effectLst/>
        </c:spPr>
        <c:dLbl>
          <c:idx val="0"/>
          <c:layout>
            <c:manualLayout>
              <c:x val="0.10833333333333334"/>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4166666666666666"/>
              <c:y val="-1.25786163522012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4166666666666666"/>
              <c:y val="-1.25786163522012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0833333333333334"/>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4166666666666655"/>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2.7777777777777776E-2"/>
              <c:y val="-5.4507337526205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14166666666666666"/>
              <c:y val="-1.25786163522012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10833333333333334"/>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4166666666666655"/>
              <c:y val="8.3857442348008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dLbl>
          <c:idx val="0"/>
          <c:layout>
            <c:manualLayout>
              <c:x val="2.7777777777777776E-2"/>
              <c:y val="-5.4507337526205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30297397200349951"/>
          <c:y val="0.28664817841166079"/>
          <c:w val="0.45516338582677163"/>
          <c:h val="0.68703907294607047"/>
        </c:manualLayout>
      </c:layout>
      <c:pieChart>
        <c:varyColors val="1"/>
        <c:ser>
          <c:idx val="0"/>
          <c:order val="0"/>
          <c:tx>
            <c:strRef>
              <c:f>'loan 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6E-493F-AADC-862D56A7D6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6E-493F-AADC-862D56A7D6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76E-493F-AADC-862D56A7D6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76E-493F-AADC-862D56A7D6D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76E-493F-AADC-862D56A7D6D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76E-493F-AADC-862D56A7D6D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76E-493F-AADC-862D56A7D6D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76E-493F-AADC-862D56A7D6D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76E-493F-AADC-862D56A7D6D3}"/>
              </c:ext>
            </c:extLst>
          </c:dPt>
          <c:dLbls>
            <c:dLbl>
              <c:idx val="0"/>
              <c:layout>
                <c:manualLayout>
                  <c:x val="-0.14166666666666666"/>
                  <c:y val="-1.25786163522012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76E-493F-AADC-862D56A7D6D3}"/>
                </c:ext>
              </c:extLst>
            </c:dLbl>
            <c:dLbl>
              <c:idx val="1"/>
              <c:layout>
                <c:manualLayout>
                  <c:x val="0.10833333333333334"/>
                  <c:y val="-8.385744234800839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76E-493F-AADC-862D56A7D6D3}"/>
                </c:ext>
              </c:extLst>
            </c:dLbl>
            <c:dLbl>
              <c:idx val="2"/>
              <c:layout>
                <c:manualLayout>
                  <c:x val="0.14166666666666655"/>
                  <c:y val="8.385744234800839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76E-493F-AADC-862D56A7D6D3}"/>
                </c:ext>
              </c:extLst>
            </c:dLbl>
            <c:dLbl>
              <c:idx val="8"/>
              <c:layout>
                <c:manualLayout>
                  <c:x val="2.7777777777777776E-2"/>
                  <c:y val="-5.45073375262054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76E-493F-AADC-862D56A7D6D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'loan distribution'!$A$4:$A$13</c:f>
              <c:strCache>
                <c:ptCount val="9"/>
                <c:pt idx="0">
                  <c:v>Auto Loan</c:v>
                </c:pt>
                <c:pt idx="1">
                  <c:v>Credit card</c:v>
                </c:pt>
                <c:pt idx="2">
                  <c:v>Land Loan</c:v>
                </c:pt>
                <c:pt idx="3">
                  <c:v>Line of credit</c:v>
                </c:pt>
                <c:pt idx="4">
                  <c:v>Mortgage Loan</c:v>
                </c:pt>
                <c:pt idx="5">
                  <c:v>Payday Loans</c:v>
                </c:pt>
                <c:pt idx="6">
                  <c:v>Personal Loan</c:v>
                </c:pt>
                <c:pt idx="7">
                  <c:v>Small Business Loan</c:v>
                </c:pt>
                <c:pt idx="8">
                  <c:v>Student Loan</c:v>
                </c:pt>
              </c:strCache>
            </c:strRef>
          </c:cat>
          <c:val>
            <c:numRef>
              <c:f>'loan distribution'!$B$4:$B$13</c:f>
              <c:numCache>
                <c:formatCode>General</c:formatCode>
                <c:ptCount val="9"/>
                <c:pt idx="0">
                  <c:v>4108157</c:v>
                </c:pt>
                <c:pt idx="1">
                  <c:v>5734888</c:v>
                </c:pt>
                <c:pt idx="2">
                  <c:v>28525921</c:v>
                </c:pt>
                <c:pt idx="3">
                  <c:v>30477433</c:v>
                </c:pt>
                <c:pt idx="4">
                  <c:v>50299455</c:v>
                </c:pt>
                <c:pt idx="5">
                  <c:v>85933</c:v>
                </c:pt>
                <c:pt idx="6">
                  <c:v>2705488</c:v>
                </c:pt>
                <c:pt idx="7">
                  <c:v>263284909</c:v>
                </c:pt>
                <c:pt idx="8">
                  <c:v>2436761</c:v>
                </c:pt>
              </c:numCache>
            </c:numRef>
          </c:val>
          <c:extLst>
            <c:ext xmlns:c16="http://schemas.microsoft.com/office/drawing/2014/chart" uri="{C3380CC4-5D6E-409C-BE32-E72D297353CC}">
              <c16:uniqueId val="{00000012-976E-493F-AADC-862D56A7D6D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42862</xdr:colOff>
      <xdr:row>1</xdr:row>
      <xdr:rowOff>0</xdr:rowOff>
    </xdr:from>
    <xdr:to>
      <xdr:col>8</xdr:col>
      <xdr:colOff>500062</xdr:colOff>
      <xdr:row>16</xdr:row>
      <xdr:rowOff>28575</xdr:rowOff>
    </xdr:to>
    <xdr:graphicFrame macro="">
      <xdr:nvGraphicFramePr>
        <xdr:cNvPr id="2" name="Chart 1">
          <a:extLst>
            <a:ext uri="{FF2B5EF4-FFF2-40B4-BE49-F238E27FC236}">
              <a16:creationId xmlns:a16="http://schemas.microsoft.com/office/drawing/2014/main" id="{60ADB3C8-3A18-4FA6-B7FA-F9ACF6A09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110098</xdr:colOff>
      <xdr:row>2</xdr:row>
      <xdr:rowOff>144557</xdr:rowOff>
    </xdr:from>
    <xdr:to>
      <xdr:col>5</xdr:col>
      <xdr:colOff>1344980</xdr:colOff>
      <xdr:row>16</xdr:row>
      <xdr:rowOff>173829</xdr:rowOff>
    </xdr:to>
    <xdr:graphicFrame macro="">
      <xdr:nvGraphicFramePr>
        <xdr:cNvPr id="3" name="Chart 2">
          <a:extLst>
            <a:ext uri="{FF2B5EF4-FFF2-40B4-BE49-F238E27FC236}">
              <a16:creationId xmlns:a16="http://schemas.microsoft.com/office/drawing/2014/main" id="{7D250133-F90F-4B6B-B79B-4B99FFBCF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339023</xdr:colOff>
      <xdr:row>0</xdr:row>
      <xdr:rowOff>1</xdr:rowOff>
    </xdr:from>
    <xdr:to>
      <xdr:col>7</xdr:col>
      <xdr:colOff>343343</xdr:colOff>
      <xdr:row>10</xdr:row>
      <xdr:rowOff>188286</xdr:rowOff>
    </xdr:to>
    <xdr:graphicFrame macro="">
      <xdr:nvGraphicFramePr>
        <xdr:cNvPr id="3" name="Chart 2">
          <a:extLst>
            <a:ext uri="{FF2B5EF4-FFF2-40B4-BE49-F238E27FC236}">
              <a16:creationId xmlns:a16="http://schemas.microsoft.com/office/drawing/2014/main" id="{EA7D1C15-7881-44F3-8A3F-58958FF5B3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1</xdr:row>
      <xdr:rowOff>0</xdr:rowOff>
    </xdr:from>
    <xdr:to>
      <xdr:col>9</xdr:col>
      <xdr:colOff>419100</xdr:colOff>
      <xdr:row>13</xdr:row>
      <xdr:rowOff>76200</xdr:rowOff>
    </xdr:to>
    <xdr:graphicFrame macro="">
      <xdr:nvGraphicFramePr>
        <xdr:cNvPr id="3" name="Chart 2">
          <a:extLst>
            <a:ext uri="{FF2B5EF4-FFF2-40B4-BE49-F238E27FC236}">
              <a16:creationId xmlns:a16="http://schemas.microsoft.com/office/drawing/2014/main" id="{E16BD6C1-BDE7-43CB-B4F4-B9D4533F2B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0</xdr:row>
      <xdr:rowOff>247650</xdr:rowOff>
    </xdr:from>
    <xdr:to>
      <xdr:col>5</xdr:col>
      <xdr:colOff>38101</xdr:colOff>
      <xdr:row>13</xdr:row>
      <xdr:rowOff>95250</xdr:rowOff>
    </xdr:to>
    <xdr:graphicFrame macro="">
      <xdr:nvGraphicFramePr>
        <xdr:cNvPr id="4" name="Chart 3">
          <a:extLst>
            <a:ext uri="{FF2B5EF4-FFF2-40B4-BE49-F238E27FC236}">
              <a16:creationId xmlns:a16="http://schemas.microsoft.com/office/drawing/2014/main" id="{C72F23AF-5FE9-455A-90E8-1FCD9AE621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438152</xdr:colOff>
      <xdr:row>0</xdr:row>
      <xdr:rowOff>245533</xdr:rowOff>
    </xdr:from>
    <xdr:to>
      <xdr:col>15</xdr:col>
      <xdr:colOff>74084</xdr:colOff>
      <xdr:row>13</xdr:row>
      <xdr:rowOff>95250</xdr:rowOff>
    </xdr:to>
    <xdr:graphicFrame macro="">
      <xdr:nvGraphicFramePr>
        <xdr:cNvPr id="5" name="Chart 4">
          <a:extLst>
            <a:ext uri="{FF2B5EF4-FFF2-40B4-BE49-F238E27FC236}">
              <a16:creationId xmlns:a16="http://schemas.microsoft.com/office/drawing/2014/main" id="{C4CA4EBF-AA3E-44B5-80B8-6BF0FACC5D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13</xdr:row>
      <xdr:rowOff>104041</xdr:rowOff>
    </xdr:from>
    <xdr:to>
      <xdr:col>2</xdr:col>
      <xdr:colOff>192332</xdr:colOff>
      <xdr:row>24</xdr:row>
      <xdr:rowOff>54951</xdr:rowOff>
    </xdr:to>
    <mc:AlternateContent xmlns:mc="http://schemas.openxmlformats.org/markup-compatibility/2006">
      <mc:Choice xmlns:a14="http://schemas.microsoft.com/office/drawing/2010/main" Requires="a14">
        <xdr:graphicFrame macro="">
          <xdr:nvGraphicFramePr>
            <xdr:cNvPr id="7" name="Client">
              <a:extLst>
                <a:ext uri="{FF2B5EF4-FFF2-40B4-BE49-F238E27FC236}">
                  <a16:creationId xmlns:a16="http://schemas.microsoft.com/office/drawing/2014/main" id="{70578586-EAEE-4EBF-A1E9-72A684573690}"/>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dr:sp macro="" textlink="">
          <xdr:nvSpPr>
            <xdr:cNvPr id="0" name=""/>
            <xdr:cNvSpPr>
              <a:spLocks noTextEdit="1"/>
            </xdr:cNvSpPr>
          </xdr:nvSpPr>
          <xdr:spPr>
            <a:xfrm>
              <a:off x="0" y="2787527"/>
              <a:ext cx="1566130" cy="21673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139944</xdr:colOff>
      <xdr:row>13</xdr:row>
      <xdr:rowOff>94883</xdr:rowOff>
    </xdr:from>
    <xdr:to>
      <xdr:col>3</xdr:col>
      <xdr:colOff>677741</xdr:colOff>
      <xdr:row>24</xdr:row>
      <xdr:rowOff>45793</xdr:rowOff>
    </xdr:to>
    <mc:AlternateContent xmlns:mc="http://schemas.openxmlformats.org/markup-compatibility/2006">
      <mc:Choice xmlns:a14="http://schemas.microsoft.com/office/drawing/2010/main" Requires="a14">
        <xdr:graphicFrame macro="">
          <xdr:nvGraphicFramePr>
            <xdr:cNvPr id="8" name="Loan Amount">
              <a:extLst>
                <a:ext uri="{FF2B5EF4-FFF2-40B4-BE49-F238E27FC236}">
                  <a16:creationId xmlns:a16="http://schemas.microsoft.com/office/drawing/2014/main" id="{BDF23424-FBF5-47C0-90CC-0414C0939EED}"/>
                </a:ext>
              </a:extLst>
            </xdr:cNvPr>
            <xdr:cNvGraphicFramePr/>
          </xdr:nvGraphicFramePr>
          <xdr:xfrm>
            <a:off x="0" y="0"/>
            <a:ext cx="0" cy="0"/>
          </xdr:xfrm>
          <a:graphic>
            <a:graphicData uri="http://schemas.microsoft.com/office/drawing/2010/slicer">
              <sle:slicer xmlns:sle="http://schemas.microsoft.com/office/drawing/2010/slicer" name="Loan Amount"/>
            </a:graphicData>
          </a:graphic>
        </xdr:graphicFrame>
      </mc:Choice>
      <mc:Fallback>
        <xdr:sp macro="" textlink="">
          <xdr:nvSpPr>
            <xdr:cNvPr id="0" name=""/>
            <xdr:cNvSpPr>
              <a:spLocks noTextEdit="1"/>
            </xdr:cNvSpPr>
          </xdr:nvSpPr>
          <xdr:spPr>
            <a:xfrm>
              <a:off x="1513742" y="2778369"/>
              <a:ext cx="1224696" cy="21673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khr" refreshedDate="45769.638063194441" backgroundQuery="1" createdVersion="7" refreshedVersion="7" minRefreshableVersion="3" recordCount="0" supportSubquery="1" supportAdvancedDrill="1" xr:uid="{3F5415AE-1F31-456F-AEF9-D9D58314267A}">
  <cacheSource type="external" connectionId="1"/>
  <cacheFields count="2">
    <cacheField name="[Range].[Product].[Product]" caption="Product" numFmtId="0" hierarchy="6" level="1">
      <sharedItems count="9">
        <s v="Auto Loan"/>
        <s v="Credit card"/>
        <s v="Land Loan"/>
        <s v="Line of credit"/>
        <s v="Mortgage Loan"/>
        <s v="Payday Loans"/>
        <s v="Personal Loan"/>
        <s v="Small Business Loan"/>
        <s v="Student Loan"/>
      </sharedItems>
    </cacheField>
    <cacheField name="[Measures].[Sum of Loan Amount]" caption="Sum of Loan Amount" numFmtId="0" hierarchy="27" level="32767"/>
  </cacheFields>
  <cacheHierarchies count="29">
    <cacheHierarchy uniqueName="[Range].[#]" caption="#" attribute="1" defaultMemberUniqueName="[Range].[#].[All]" allUniqueName="[Range].[#].[All]" dimensionUniqueName="[Range]" displayFolder="" count="0" memberValueDatatype="20" unbalanced="0"/>
    <cacheHierarchy uniqueName="[Range].[Client]" caption="Client" attribute="1" defaultMemberUniqueName="[Range].[Client].[All]" allUniqueName="[Range].[Client].[All]" dimensionUniqueName="[Range]" displayFolder="" count="0" memberValueDatatype="130" unbalanced="0"/>
    <cacheHierarchy uniqueName="[Range].[Bank Branch Name]" caption="Bank Branch Name" attribute="1" defaultMemberUniqueName="[Range].[Bank Branch Name].[All]" allUniqueName="[Range].[Bank Branch Name].[All]" dimensionUniqueName="[Range]" displayFolder="" count="0" memberValueDatatype="130" unbalanced="0"/>
    <cacheHierarchy uniqueName="[Range].[Phone Number]" caption="Phone Number" attribute="1" defaultMemberUniqueName="[Range].[Phone Number].[All]" allUniqueName="[Range].[Phone Number].[All]" dimensionUniqueName="[Range]" displayFolder="" count="0" memberValueDatatype="20" unbalanced="0"/>
    <cacheHierarchy uniqueName="[Range].[Client Account No.]" caption="Client Account No." attribute="1" defaultMemberUniqueName="[Range].[Client Account No.].[All]" allUniqueName="[Range].[Client Account No.].[All]" dimensionUniqueName="[Range]" displayFolder="" count="0" memberValueDatatype="20" unbalanced="0"/>
    <cacheHierarchy uniqueName="[Range].[Loan Account No.]" caption="Loan Account No." attribute="1" defaultMemberUniqueName="[Range].[Loan Account No.].[All]" allUniqueName="[Range].[Loan Account No.].[All]" dimensionUniqueName="[Range]" displayFolder="" count="0" memberValueDatatype="20" unbalanced="0"/>
    <cacheHierarchy uniqueName="[Range].[Product]" caption="Product" attribute="1" defaultMemberUniqueName="[Range].[Product].[All]" allUniqueName="[Range].[Product].[All]" dimensionUniqueName="[Range]" displayFolder="" count="2" memberValueDatatype="130" unbalanced="0">
      <fieldsUsage count="2">
        <fieldUsage x="-1"/>
        <fieldUsage x="0"/>
      </fieldsUsage>
    </cacheHierarchy>
    <cacheHierarchy uniqueName="[Range].[Loan Amount]" caption="Loan Amount" attribute="1" defaultMemberUniqueName="[Range].[Loan Amount].[All]" allUniqueName="[Range].[Loan Amount].[All]" dimensionUniqueName="[Range]" displayFolder="" count="0" memberValueDatatype="20" unbalanced="0"/>
    <cacheHierarchy uniqueName="[Range].[Disbursed Date]" caption="Disbursed Date" attribute="1" time="1" defaultMemberUniqueName="[Range].[Disbursed Date].[All]" allUniqueName="[Range].[Disbursed Date].[All]" dimensionUniqueName="[Range]" displayFolder="" count="0" memberValueDatatype="7" unbalanced="0"/>
    <cacheHierarchy uniqueName="[Range].[Maturity]" caption="Maturity" attribute="1" time="1" defaultMemberUniqueName="[Range].[Maturity].[All]" allUniqueName="[Range].[Maturity].[All]" dimensionUniqueName="[Range]" displayFolder="" count="0" memberValueDatatype="7" unbalanced="0"/>
    <cacheHierarchy uniqueName="[Range].[Repaid]" caption="Repaid" attribute="1" defaultMemberUniqueName="[Range].[Repaid].[All]" allUniqueName="[Range].[Repaid].[All]" dimensionUniqueName="[Range]" displayFolder="" count="0" memberValueDatatype="20" unbalanced="0"/>
    <cacheHierarchy uniqueName="[Range].[Debt Owing]" caption="Debt Owing" attribute="1" defaultMemberUniqueName="[Range].[Debt Owing].[All]" allUniqueName="[Range].[Debt Owing].[All]" dimensionUniqueName="[Range]" displayFolder="" count="0" memberValueDatatype="20" unbalanced="0"/>
    <cacheHierarchy uniqueName="[Range].[Note]" caption="Note" attribute="1" defaultMemberUniqueName="[Range].[Note].[All]" allUniqueName="[Range].[Note].[All]" dimensionUniqueName="[Range]" displayFolder="" count="0" memberValueDatatype="130" unbalanced="0"/>
    <cacheHierarchy uniqueName="[Range].[Remarks]" caption="Remarks" attribute="1" defaultMemberUniqueName="[Range].[Remarks].[All]" allUniqueName="[Range].[Remarks].[All]" dimensionUniqueName="[Range]" displayFolder="" count="0" memberValueDatatype="130" unbalanced="0"/>
    <cacheHierarchy uniqueName="[Range].[total laon]" caption="total laon" attribute="1" defaultMemberUniqueName="[Range].[total laon].[All]" allUniqueName="[Range].[total laon].[All]" dimensionUniqueName="[Range]" displayFolder="" count="0" memberValueDatatype="20" unbalanced="0"/>
    <cacheHierarchy uniqueName="[Range].[total repaid]" caption="total repaid" attribute="1" defaultMemberUniqueName="[Range].[total repaid].[All]" allUniqueName="[Range].[total repaid].[All]" dimensionUniqueName="[Range]" displayFolder="" count="0" memberValueDatatype="20" unbalanced="0"/>
    <cacheHierarchy uniqueName="[Range].[Total Debt]" caption="Total Debt" attribute="1" defaultMemberUniqueName="[Range].[Total Debt].[All]" allUniqueName="[Range].[Total Debt].[All]" dimensionUniqueName="[Range]" displayFolder="" count="0" memberValueDatatype="20" unbalanced="0"/>
    <cacheHierarchy uniqueName="[Range].[Averge loan]" caption="Averge loan" attribute="1" defaultMemberUniqueName="[Range].[Averge loan].[All]" allUniqueName="[Range].[Averge loan].[All]" dimensionUniqueName="[Range]" displayFolder="" count="0" memberValueDatatype="5" unbalanced="0"/>
    <cacheHierarchy uniqueName="[Range].[max loan]" caption="max loan" attribute="1" defaultMemberUniqueName="[Range].[max loan].[All]" allUniqueName="[Range].[max loan].[All]" dimensionUniqueName="[Range]" displayFolder="" count="0" memberValueDatatype="20" unbalanced="0"/>
    <cacheHierarchy uniqueName="[Range].[min loan]" caption="min loan" attribute="1" defaultMemberUniqueName="[Range].[min loan].[All]" allUniqueName="[Range].[min loan].[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laon]" caption="Sum of total laon" measure="1" displayFolder="" measureGroup="Range" count="0" hidden="1">
      <extLst>
        <ext xmlns:x15="http://schemas.microsoft.com/office/spreadsheetml/2010/11/main" uri="{B97F6D7D-B522-45F9-BDA1-12C45D357490}">
          <x15:cacheHierarchy aggregatedColumn="14"/>
        </ext>
      </extLst>
    </cacheHierarchy>
    <cacheHierarchy uniqueName="[Measures].[Count of Product]" caption="Count of Product" measure="1" displayFolder="" measureGroup="Range" count="0" hidden="1">
      <extLst>
        <ext xmlns:x15="http://schemas.microsoft.com/office/spreadsheetml/2010/11/main" uri="{B97F6D7D-B522-45F9-BDA1-12C45D357490}">
          <x15:cacheHierarchy aggregatedColumn="6"/>
        </ext>
      </extLst>
    </cacheHierarchy>
    <cacheHierarchy uniqueName="[Measures].[Sum of Repaid]" caption="Sum of Repaid" measure="1" displayFolder="" measureGroup="Range" count="0" hidden="1">
      <extLst>
        <ext xmlns:x15="http://schemas.microsoft.com/office/spreadsheetml/2010/11/main" uri="{B97F6D7D-B522-45F9-BDA1-12C45D357490}">
          <x15:cacheHierarchy aggregatedColumn="10"/>
        </ext>
      </extLst>
    </cacheHierarchy>
    <cacheHierarchy uniqueName="[Measures].[Sum of Debt Owing]" caption="Sum of Debt Owing" measure="1" displayFolder="" measureGroup="Range" count="0" hidden="1">
      <extLst>
        <ext xmlns:x15="http://schemas.microsoft.com/office/spreadsheetml/2010/11/main" uri="{B97F6D7D-B522-45F9-BDA1-12C45D357490}">
          <x15:cacheHierarchy aggregatedColumn="11"/>
        </ext>
      </extLst>
    </cacheHierarchy>
    <cacheHierarchy uniqueName="[Measures].[Sum of Loan Account No.]" caption="Sum of Loan Account No." measure="1" displayFolder="" measureGroup="Range" count="0" hidden="1">
      <extLst>
        <ext xmlns:x15="http://schemas.microsoft.com/office/spreadsheetml/2010/11/main" uri="{B97F6D7D-B522-45F9-BDA1-12C45D357490}">
          <x15:cacheHierarchy aggregatedColumn="5"/>
        </ext>
      </extLst>
    </cacheHierarchy>
    <cacheHierarchy uniqueName="[Measures].[Sum of Loan Amount]" caption="Sum of Loan Amount" measure="1" displayFolder="" measureGroup="Range"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Client]" caption="Count of Cli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khr" refreshedDate="45769.648655902776" backgroundQuery="1" createdVersion="7" refreshedVersion="7" minRefreshableVersion="3" recordCount="0" supportSubquery="1" supportAdvancedDrill="1" xr:uid="{F72296EF-E177-4F9A-B116-851A6A7B0ECD}">
  <cacheSource type="external" connectionId="1"/>
  <cacheFields count="2">
    <cacheField name="[Range].[Remarks].[Remarks]" caption="Remarks" numFmtId="0" hierarchy="13" level="1">
      <sharedItems count="2">
        <s v="Neutral"/>
        <s v="Positive"/>
      </sharedItems>
    </cacheField>
    <cacheField name="[Measures].[Count of Client]" caption="Count of Client" numFmtId="0" hierarchy="28" level="32767"/>
  </cacheFields>
  <cacheHierarchies count="29">
    <cacheHierarchy uniqueName="[Range].[#]" caption="#" attribute="1" defaultMemberUniqueName="[Range].[#].[All]" allUniqueName="[Range].[#].[All]" dimensionUniqueName="[Range]" displayFolder="" count="0" memberValueDatatype="20" unbalanced="0"/>
    <cacheHierarchy uniqueName="[Range].[Client]" caption="Client" attribute="1" defaultMemberUniqueName="[Range].[Client].[All]" allUniqueName="[Range].[Client].[All]" dimensionUniqueName="[Range]" displayFolder="" count="0" memberValueDatatype="130" unbalanced="0"/>
    <cacheHierarchy uniqueName="[Range].[Bank Branch Name]" caption="Bank Branch Name" attribute="1" defaultMemberUniqueName="[Range].[Bank Branch Name].[All]" allUniqueName="[Range].[Bank Branch Name].[All]" dimensionUniqueName="[Range]" displayFolder="" count="0" memberValueDatatype="130" unbalanced="0"/>
    <cacheHierarchy uniqueName="[Range].[Phone Number]" caption="Phone Number" attribute="1" defaultMemberUniqueName="[Range].[Phone Number].[All]" allUniqueName="[Range].[Phone Number].[All]" dimensionUniqueName="[Range]" displayFolder="" count="0" memberValueDatatype="20" unbalanced="0"/>
    <cacheHierarchy uniqueName="[Range].[Client Account No.]" caption="Client Account No." attribute="1" defaultMemberUniqueName="[Range].[Client Account No.].[All]" allUniqueName="[Range].[Client Account No.].[All]" dimensionUniqueName="[Range]" displayFolder="" count="0" memberValueDatatype="20" unbalanced="0"/>
    <cacheHierarchy uniqueName="[Range].[Loan Account No.]" caption="Loan Account No." attribute="1" defaultMemberUniqueName="[Range].[Loan Account No.].[All]" allUniqueName="[Range].[Loan Account No.].[All]" dimensionUniqueName="[Range]" displayFolder="" count="0" memberValueDatatype="20" unbalanced="0"/>
    <cacheHierarchy uniqueName="[Range].[Product]" caption="Product" attribute="1" defaultMemberUniqueName="[Range].[Product].[All]" allUniqueName="[Range].[Product].[All]" dimensionUniqueName="[Range]" displayFolder="" count="0" memberValueDatatype="130" unbalanced="0"/>
    <cacheHierarchy uniqueName="[Range].[Loan Amount]" caption="Loan Amount" attribute="1" defaultMemberUniqueName="[Range].[Loan Amount].[All]" allUniqueName="[Range].[Loan Amount].[All]" dimensionUniqueName="[Range]" displayFolder="" count="0" memberValueDatatype="20" unbalanced="0"/>
    <cacheHierarchy uniqueName="[Range].[Disbursed Date]" caption="Disbursed Date" attribute="1" time="1" defaultMemberUniqueName="[Range].[Disbursed Date].[All]" allUniqueName="[Range].[Disbursed Date].[All]" dimensionUniqueName="[Range]" displayFolder="" count="0" memberValueDatatype="7" unbalanced="0"/>
    <cacheHierarchy uniqueName="[Range].[Maturity]" caption="Maturity" attribute="1" time="1" defaultMemberUniqueName="[Range].[Maturity].[All]" allUniqueName="[Range].[Maturity].[All]" dimensionUniqueName="[Range]" displayFolder="" count="0" memberValueDatatype="7" unbalanced="0"/>
    <cacheHierarchy uniqueName="[Range].[Repaid]" caption="Repaid" attribute="1" defaultMemberUniqueName="[Range].[Repaid].[All]" allUniqueName="[Range].[Repaid].[All]" dimensionUniqueName="[Range]" displayFolder="" count="0" memberValueDatatype="20" unbalanced="0"/>
    <cacheHierarchy uniqueName="[Range].[Debt Owing]" caption="Debt Owing" attribute="1" defaultMemberUniqueName="[Range].[Debt Owing].[All]" allUniqueName="[Range].[Debt Owing].[All]" dimensionUniqueName="[Range]" displayFolder="" count="0" memberValueDatatype="20" unbalanced="0"/>
    <cacheHierarchy uniqueName="[Range].[Note]" caption="Note" attribute="1" defaultMemberUniqueName="[Range].[Note].[All]" allUniqueName="[Range].[Note].[All]" dimensionUniqueName="[Range]" displayFolder="" count="0" memberValueDatatype="130" unbalanced="0"/>
    <cacheHierarchy uniqueName="[Range].[Remarks]" caption="Remarks" attribute="1" defaultMemberUniqueName="[Range].[Remarks].[All]" allUniqueName="[Range].[Remarks].[All]" dimensionUniqueName="[Range]" displayFolder="" count="2" memberValueDatatype="130" unbalanced="0">
      <fieldsUsage count="2">
        <fieldUsage x="-1"/>
        <fieldUsage x="0"/>
      </fieldsUsage>
    </cacheHierarchy>
    <cacheHierarchy uniqueName="[Range].[total laon]" caption="total laon" attribute="1" defaultMemberUniqueName="[Range].[total laon].[All]" allUniqueName="[Range].[total laon].[All]" dimensionUniqueName="[Range]" displayFolder="" count="0" memberValueDatatype="20" unbalanced="0"/>
    <cacheHierarchy uniqueName="[Range].[total repaid]" caption="total repaid" attribute="1" defaultMemberUniqueName="[Range].[total repaid].[All]" allUniqueName="[Range].[total repaid].[All]" dimensionUniqueName="[Range]" displayFolder="" count="0" memberValueDatatype="20" unbalanced="0"/>
    <cacheHierarchy uniqueName="[Range].[Total Debt]" caption="Total Debt" attribute="1" defaultMemberUniqueName="[Range].[Total Debt].[All]" allUniqueName="[Range].[Total Debt].[All]" dimensionUniqueName="[Range]" displayFolder="" count="0" memberValueDatatype="20" unbalanced="0"/>
    <cacheHierarchy uniqueName="[Range].[Averge loan]" caption="Averge loan" attribute="1" defaultMemberUniqueName="[Range].[Averge loan].[All]" allUniqueName="[Range].[Averge loan].[All]" dimensionUniqueName="[Range]" displayFolder="" count="0" memberValueDatatype="5" unbalanced="0"/>
    <cacheHierarchy uniqueName="[Range].[max loan]" caption="max loan" attribute="1" defaultMemberUniqueName="[Range].[max loan].[All]" allUniqueName="[Range].[max loan].[All]" dimensionUniqueName="[Range]" displayFolder="" count="0" memberValueDatatype="20" unbalanced="0"/>
    <cacheHierarchy uniqueName="[Range].[min loan]" caption="min loan" attribute="1" defaultMemberUniqueName="[Range].[min loan].[All]" allUniqueName="[Range].[min loan].[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laon]" caption="Sum of total laon" measure="1" displayFolder="" measureGroup="Range" count="0" hidden="1">
      <extLst>
        <ext xmlns:x15="http://schemas.microsoft.com/office/spreadsheetml/2010/11/main" uri="{B97F6D7D-B522-45F9-BDA1-12C45D357490}">
          <x15:cacheHierarchy aggregatedColumn="14"/>
        </ext>
      </extLst>
    </cacheHierarchy>
    <cacheHierarchy uniqueName="[Measures].[Count of Product]" caption="Count of Product" measure="1" displayFolder="" measureGroup="Range" count="0" hidden="1">
      <extLst>
        <ext xmlns:x15="http://schemas.microsoft.com/office/spreadsheetml/2010/11/main" uri="{B97F6D7D-B522-45F9-BDA1-12C45D357490}">
          <x15:cacheHierarchy aggregatedColumn="6"/>
        </ext>
      </extLst>
    </cacheHierarchy>
    <cacheHierarchy uniqueName="[Measures].[Sum of Repaid]" caption="Sum of Repaid" measure="1" displayFolder="" measureGroup="Range" count="0" hidden="1">
      <extLst>
        <ext xmlns:x15="http://schemas.microsoft.com/office/spreadsheetml/2010/11/main" uri="{B97F6D7D-B522-45F9-BDA1-12C45D357490}">
          <x15:cacheHierarchy aggregatedColumn="10"/>
        </ext>
      </extLst>
    </cacheHierarchy>
    <cacheHierarchy uniqueName="[Measures].[Sum of Debt Owing]" caption="Sum of Debt Owing" measure="1" displayFolder="" measureGroup="Range" count="0" hidden="1">
      <extLst>
        <ext xmlns:x15="http://schemas.microsoft.com/office/spreadsheetml/2010/11/main" uri="{B97F6D7D-B522-45F9-BDA1-12C45D357490}">
          <x15:cacheHierarchy aggregatedColumn="11"/>
        </ext>
      </extLst>
    </cacheHierarchy>
    <cacheHierarchy uniqueName="[Measures].[Sum of Loan Account No.]" caption="Sum of Loan Account No." measure="1" displayFolder="" measureGroup="Range" count="0" hidden="1">
      <extLst>
        <ext xmlns:x15="http://schemas.microsoft.com/office/spreadsheetml/2010/11/main" uri="{B97F6D7D-B522-45F9-BDA1-12C45D357490}">
          <x15:cacheHierarchy aggregatedColumn="5"/>
        </ext>
      </extLst>
    </cacheHierarchy>
    <cacheHierarchy uniqueName="[Measures].[Sum of Loan Amount]" caption="Sum of Loan Amount" measure="1" displayFolder="" measureGroup="Range" count="0" hidden="1">
      <extLst>
        <ext xmlns:x15="http://schemas.microsoft.com/office/spreadsheetml/2010/11/main" uri="{B97F6D7D-B522-45F9-BDA1-12C45D357490}">
          <x15:cacheHierarchy aggregatedColumn="7"/>
        </ext>
      </extLst>
    </cacheHierarchy>
    <cacheHierarchy uniqueName="[Measures].[Count of Client]" caption="Count of Client"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khr" refreshedDate="45769.658819097225" backgroundQuery="1" createdVersion="7" refreshedVersion="7" minRefreshableVersion="3" recordCount="0" supportSubquery="1" supportAdvancedDrill="1" xr:uid="{3342DC2D-5F63-498B-9970-ACB4F1FE6E8F}">
  <cacheSource type="external" connectionId="1"/>
  <cacheFields count="4">
    <cacheField name="[Range].[Product].[Product]" caption="Product" numFmtId="0" hierarchy="6" level="1">
      <sharedItems count="9">
        <s v="Auto Loan"/>
        <s v="Credit card"/>
        <s v="Land Loan"/>
        <s v="Line of credit"/>
        <s v="Mortgage Loan"/>
        <s v="Payday Loans"/>
        <s v="Personal Loan"/>
        <s v="Small Business Loan"/>
        <s v="Student Loan"/>
      </sharedItems>
    </cacheField>
    <cacheField name="[Measures].[Sum of Repaid]" caption="Sum of Repaid" numFmtId="0" hierarchy="24" level="32767"/>
    <cacheField name="[Measures].[Sum of Debt Owing]" caption="Sum of Debt Owing" numFmtId="0" hierarchy="25" level="32767"/>
    <cacheField name="[Range].[Loan Amount].[Loan Amount]" caption="Loan Amount" numFmtId="0" hierarchy="7" level="1">
      <sharedItems containsSemiMixedTypes="0" containsNonDate="0" containsString="0"/>
    </cacheField>
  </cacheFields>
  <cacheHierarchies count="29">
    <cacheHierarchy uniqueName="[Range].[#]" caption="#" attribute="1" defaultMemberUniqueName="[Range].[#].[All]" allUniqueName="[Range].[#].[All]" dimensionUniqueName="[Range]" displayFolder="" count="2" memberValueDatatype="20" unbalanced="0"/>
    <cacheHierarchy uniqueName="[Range].[Client]" caption="Client" attribute="1" defaultMemberUniqueName="[Range].[Client].[All]" allUniqueName="[Range].[Client].[All]" dimensionUniqueName="[Range]" displayFolder="" count="2" memberValueDatatype="130" unbalanced="0"/>
    <cacheHierarchy uniqueName="[Range].[Bank Branch Name]" caption="Bank Branch Name" attribute="1" defaultMemberUniqueName="[Range].[Bank Branch Name].[All]" allUniqueName="[Range].[Bank Branch Name].[All]" dimensionUniqueName="[Range]" displayFolder="" count="2" memberValueDatatype="130" unbalanced="0"/>
    <cacheHierarchy uniqueName="[Range].[Phone Number]" caption="Phone Number" attribute="1" defaultMemberUniqueName="[Range].[Phone Number].[All]" allUniqueName="[Range].[Phone Number].[All]" dimensionUniqueName="[Range]" displayFolder="" count="2" memberValueDatatype="20" unbalanced="0"/>
    <cacheHierarchy uniqueName="[Range].[Client Account No.]" caption="Client Account No." attribute="1" defaultMemberUniqueName="[Range].[Client Account No.].[All]" allUniqueName="[Range].[Client Account No.].[All]" dimensionUniqueName="[Range]" displayFolder="" count="2" memberValueDatatype="20" unbalanced="0"/>
    <cacheHierarchy uniqueName="[Range].[Loan Account No.]" caption="Loan Account No." attribute="1" defaultMemberUniqueName="[Range].[Loan Account No.].[All]" allUniqueName="[Range].[Loan Account No.].[All]" dimensionUniqueName="[Range]" displayFolder="" count="2" memberValueDatatype="20" unbalanced="0"/>
    <cacheHierarchy uniqueName="[Range].[Product]" caption="Product" attribute="1" defaultMemberUniqueName="[Range].[Product].[All]" allUniqueName="[Range].[Product].[All]" dimensionUniqueName="[Range]" displayFolder="" count="2" memberValueDatatype="130" unbalanced="0">
      <fieldsUsage count="2">
        <fieldUsage x="-1"/>
        <fieldUsage x="0"/>
      </fieldsUsage>
    </cacheHierarchy>
    <cacheHierarchy uniqueName="[Range].[Loan Amount]" caption="Loan Amount" attribute="1" defaultMemberUniqueName="[Range].[Loan Amount].[All]" allUniqueName="[Range].[Loan Amount].[All]" dimensionUniqueName="[Range]" displayFolder="" count="2" memberValueDatatype="20" unbalanced="0">
      <fieldsUsage count="2">
        <fieldUsage x="-1"/>
        <fieldUsage x="3"/>
      </fieldsUsage>
    </cacheHierarchy>
    <cacheHierarchy uniqueName="[Range].[Disbursed Date]" caption="Disbursed Date" attribute="1" time="1" defaultMemberUniqueName="[Range].[Disbursed Date].[All]" allUniqueName="[Range].[Disbursed Date].[All]" dimensionUniqueName="[Range]" displayFolder="" count="2" memberValueDatatype="7" unbalanced="0"/>
    <cacheHierarchy uniqueName="[Range].[Maturity]" caption="Maturity" attribute="1" time="1" defaultMemberUniqueName="[Range].[Maturity].[All]" allUniqueName="[Range].[Maturity].[All]" dimensionUniqueName="[Range]" displayFolder="" count="2" memberValueDatatype="7" unbalanced="0"/>
    <cacheHierarchy uniqueName="[Range].[Repaid]" caption="Repaid" attribute="1" defaultMemberUniqueName="[Range].[Repaid].[All]" allUniqueName="[Range].[Repaid].[All]" dimensionUniqueName="[Range]" displayFolder="" count="2" memberValueDatatype="20" unbalanced="0"/>
    <cacheHierarchy uniqueName="[Range].[Debt Owing]" caption="Debt Owing" attribute="1" defaultMemberUniqueName="[Range].[Debt Owing].[All]" allUniqueName="[Range].[Debt Owing].[All]" dimensionUniqueName="[Range]" displayFolder="" count="2" memberValueDatatype="20" unbalanced="0"/>
    <cacheHierarchy uniqueName="[Range].[Note]" caption="Note" attribute="1" defaultMemberUniqueName="[Range].[Note].[All]" allUniqueName="[Range].[Note].[All]" dimensionUniqueName="[Range]" displayFolder="" count="2" memberValueDatatype="130" unbalanced="0"/>
    <cacheHierarchy uniqueName="[Range].[Remarks]" caption="Remarks" attribute="1" defaultMemberUniqueName="[Range].[Remarks].[All]" allUniqueName="[Range].[Remarks].[All]" dimensionUniqueName="[Range]" displayFolder="" count="2" memberValueDatatype="130" unbalanced="0"/>
    <cacheHierarchy uniqueName="[Range].[total laon]" caption="total laon" attribute="1" defaultMemberUniqueName="[Range].[total laon].[All]" allUniqueName="[Range].[total laon].[All]" dimensionUniqueName="[Range]" displayFolder="" count="2" memberValueDatatype="20" unbalanced="0"/>
    <cacheHierarchy uniqueName="[Range].[total repaid]" caption="total repaid" attribute="1" defaultMemberUniqueName="[Range].[total repaid].[All]" allUniqueName="[Range].[total repaid].[All]" dimensionUniqueName="[Range]" displayFolder="" count="2" memberValueDatatype="20" unbalanced="0"/>
    <cacheHierarchy uniqueName="[Range].[Total Debt]" caption="Total Debt" attribute="1" defaultMemberUniqueName="[Range].[Total Debt].[All]" allUniqueName="[Range].[Total Debt].[All]" dimensionUniqueName="[Range]" displayFolder="" count="2" memberValueDatatype="20" unbalanced="0"/>
    <cacheHierarchy uniqueName="[Range].[Averge loan]" caption="Averge loan" attribute="1" defaultMemberUniqueName="[Range].[Averge loan].[All]" allUniqueName="[Range].[Averge loan].[All]" dimensionUniqueName="[Range]" displayFolder="" count="2" memberValueDatatype="5" unbalanced="0"/>
    <cacheHierarchy uniqueName="[Range].[max loan]" caption="max loan" attribute="1" defaultMemberUniqueName="[Range].[max loan].[All]" allUniqueName="[Range].[max loan].[All]" dimensionUniqueName="[Range]" displayFolder="" count="2" memberValueDatatype="20" unbalanced="0"/>
    <cacheHierarchy uniqueName="[Range].[min loan]" caption="min loan" attribute="1" defaultMemberUniqueName="[Range].[min loan].[All]" allUniqueName="[Range].[min loan].[All]" dimensionUniqueName="[Range]" displayFolder="" count="2"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laon]" caption="Sum of total laon" measure="1" displayFolder="" measureGroup="Range" count="0" hidden="1">
      <extLst>
        <ext xmlns:x15="http://schemas.microsoft.com/office/spreadsheetml/2010/11/main" uri="{B97F6D7D-B522-45F9-BDA1-12C45D357490}">
          <x15:cacheHierarchy aggregatedColumn="14"/>
        </ext>
      </extLst>
    </cacheHierarchy>
    <cacheHierarchy uniqueName="[Measures].[Count of Product]" caption="Count of Product" measure="1" displayFolder="" measureGroup="Range" count="0" hidden="1">
      <extLst>
        <ext xmlns:x15="http://schemas.microsoft.com/office/spreadsheetml/2010/11/main" uri="{B97F6D7D-B522-45F9-BDA1-12C45D357490}">
          <x15:cacheHierarchy aggregatedColumn="6"/>
        </ext>
      </extLst>
    </cacheHierarchy>
    <cacheHierarchy uniqueName="[Measures].[Sum of Repaid]" caption="Sum of Repaid"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Debt Owing]" caption="Sum of Debt Owing" measure="1" displayFolder="" measureGroup="Range"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Loan Account No.]" caption="Sum of Loan Account No." measure="1" displayFolder="" measureGroup="Range" count="0" hidden="1">
      <extLst>
        <ext xmlns:x15="http://schemas.microsoft.com/office/spreadsheetml/2010/11/main" uri="{B97F6D7D-B522-45F9-BDA1-12C45D357490}">
          <x15:cacheHierarchy aggregatedColumn="5"/>
        </ext>
      </extLst>
    </cacheHierarchy>
    <cacheHierarchy uniqueName="[Measures].[Sum of Loan Amount]" caption="Sum of Loan Amount" measure="1" displayFolder="" measureGroup="Range" count="0" hidden="1">
      <extLst>
        <ext xmlns:x15="http://schemas.microsoft.com/office/spreadsheetml/2010/11/main" uri="{B97F6D7D-B522-45F9-BDA1-12C45D357490}">
          <x15:cacheHierarchy aggregatedColumn="7"/>
        </ext>
      </extLst>
    </cacheHierarchy>
    <cacheHierarchy uniqueName="[Measures].[Count of Client]" caption="Count of Client" measure="1" displayFolder="" measureGroup="Range"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khr" refreshedDate="45769.657546296294" backgroundQuery="1" createdVersion="3" refreshedVersion="7" minRefreshableVersion="3" recordCount="0" supportSubquery="1" supportAdvancedDrill="1" xr:uid="{A9016EF7-832B-4EDA-AC85-CFD3F54DF573}">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Range].[#]" caption="#" attribute="1" defaultMemberUniqueName="[Range].[#].[All]" allUniqueName="[Range].[#].[All]" dimensionUniqueName="[Range]" displayFolder="" count="0" memberValueDatatype="20" unbalanced="0"/>
    <cacheHierarchy uniqueName="[Range].[Client]" caption="Client" attribute="1" defaultMemberUniqueName="[Range].[Client].[All]" allUniqueName="[Range].[Client].[All]" dimensionUniqueName="[Range]" displayFolder="" count="2" memberValueDatatype="130" unbalanced="0"/>
    <cacheHierarchy uniqueName="[Range].[Bank Branch Name]" caption="Bank Branch Name" attribute="1" defaultMemberUniqueName="[Range].[Bank Branch Name].[All]" allUniqueName="[Range].[Bank Branch Name].[All]" dimensionUniqueName="[Range]" displayFolder="" count="0" memberValueDatatype="130" unbalanced="0"/>
    <cacheHierarchy uniqueName="[Range].[Phone Number]" caption="Phone Number" attribute="1" defaultMemberUniqueName="[Range].[Phone Number].[All]" allUniqueName="[Range].[Phone Number].[All]" dimensionUniqueName="[Range]" displayFolder="" count="0" memberValueDatatype="20" unbalanced="0"/>
    <cacheHierarchy uniqueName="[Range].[Client Account No.]" caption="Client Account No." attribute="1" defaultMemberUniqueName="[Range].[Client Account No.].[All]" allUniqueName="[Range].[Client Account No.].[All]" dimensionUniqueName="[Range]" displayFolder="" count="0" memberValueDatatype="20" unbalanced="0"/>
    <cacheHierarchy uniqueName="[Range].[Loan Account No.]" caption="Loan Account No." attribute="1" defaultMemberUniqueName="[Range].[Loan Account No.].[All]" allUniqueName="[Range].[Loan Account No.].[All]" dimensionUniqueName="[Range]" displayFolder="" count="0" memberValueDatatype="20" unbalanced="0"/>
    <cacheHierarchy uniqueName="[Range].[Product]" caption="Product" attribute="1" defaultMemberUniqueName="[Range].[Product].[All]" allUniqueName="[Range].[Product].[All]" dimensionUniqueName="[Range]" displayFolder="" count="0" memberValueDatatype="130" unbalanced="0"/>
    <cacheHierarchy uniqueName="[Range].[Loan Amount]" caption="Loan Amount" attribute="1" defaultMemberUniqueName="[Range].[Loan Amount].[All]" allUniqueName="[Range].[Loan Amount].[All]" dimensionUniqueName="[Range]" displayFolder="" count="2" memberValueDatatype="20" unbalanced="0"/>
    <cacheHierarchy uniqueName="[Range].[Disbursed Date]" caption="Disbursed Date" attribute="1" time="1" defaultMemberUniqueName="[Range].[Disbursed Date].[All]" allUniqueName="[Range].[Disbursed Date].[All]" dimensionUniqueName="[Range]" displayFolder="" count="0" memberValueDatatype="7" unbalanced="0"/>
    <cacheHierarchy uniqueName="[Range].[Maturity]" caption="Maturity" attribute="1" time="1" defaultMemberUniqueName="[Range].[Maturity].[All]" allUniqueName="[Range].[Maturity].[All]" dimensionUniqueName="[Range]" displayFolder="" count="0" memberValueDatatype="7" unbalanced="0"/>
    <cacheHierarchy uniqueName="[Range].[Repaid]" caption="Repaid" attribute="1" defaultMemberUniqueName="[Range].[Repaid].[All]" allUniqueName="[Range].[Repaid].[All]" dimensionUniqueName="[Range]" displayFolder="" count="0" memberValueDatatype="20" unbalanced="0"/>
    <cacheHierarchy uniqueName="[Range].[Debt Owing]" caption="Debt Owing" attribute="1" defaultMemberUniqueName="[Range].[Debt Owing].[All]" allUniqueName="[Range].[Debt Owing].[All]" dimensionUniqueName="[Range]" displayFolder="" count="0" memberValueDatatype="20" unbalanced="0"/>
    <cacheHierarchy uniqueName="[Range].[Note]" caption="Note" attribute="1" defaultMemberUniqueName="[Range].[Note].[All]" allUniqueName="[Range].[Note].[All]" dimensionUniqueName="[Range]" displayFolder="" count="0" memberValueDatatype="130" unbalanced="0"/>
    <cacheHierarchy uniqueName="[Range].[Remarks]" caption="Remarks" attribute="1" defaultMemberUniqueName="[Range].[Remarks].[All]" allUniqueName="[Range].[Remarks].[All]" dimensionUniqueName="[Range]" displayFolder="" count="0" memberValueDatatype="130" unbalanced="0"/>
    <cacheHierarchy uniqueName="[Range].[total laon]" caption="total laon" attribute="1" defaultMemberUniqueName="[Range].[total laon].[All]" allUniqueName="[Range].[total laon].[All]" dimensionUniqueName="[Range]" displayFolder="" count="0" memberValueDatatype="20" unbalanced="0"/>
    <cacheHierarchy uniqueName="[Range].[total repaid]" caption="total repaid" attribute="1" defaultMemberUniqueName="[Range].[total repaid].[All]" allUniqueName="[Range].[total repaid].[All]" dimensionUniqueName="[Range]" displayFolder="" count="0" memberValueDatatype="20" unbalanced="0"/>
    <cacheHierarchy uniqueName="[Range].[Total Debt]" caption="Total Debt" attribute="1" defaultMemberUniqueName="[Range].[Total Debt].[All]" allUniqueName="[Range].[Total Debt].[All]" dimensionUniqueName="[Range]" displayFolder="" count="0" memberValueDatatype="20" unbalanced="0"/>
    <cacheHierarchy uniqueName="[Range].[Averge loan]" caption="Averge loan" attribute="1" defaultMemberUniqueName="[Range].[Averge loan].[All]" allUniqueName="[Range].[Averge loan].[All]" dimensionUniqueName="[Range]" displayFolder="" count="2" memberValueDatatype="5" unbalanced="0"/>
    <cacheHierarchy uniqueName="[Range].[max loan]" caption="max loan" attribute="1" defaultMemberUniqueName="[Range].[max loan].[All]" allUniqueName="[Range].[max loan].[All]" dimensionUniqueName="[Range]" displayFolder="" count="0" memberValueDatatype="20" unbalanced="0"/>
    <cacheHierarchy uniqueName="[Range].[min loan]" caption="min loan" attribute="1" defaultMemberUniqueName="[Range].[min loan].[All]" allUniqueName="[Range].[min loan].[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laon]" caption="Sum of total laon" measure="1" displayFolder="" measureGroup="Range" count="0" hidden="1">
      <extLst>
        <ext xmlns:x15="http://schemas.microsoft.com/office/spreadsheetml/2010/11/main" uri="{B97F6D7D-B522-45F9-BDA1-12C45D357490}">
          <x15:cacheHierarchy aggregatedColumn="14"/>
        </ext>
      </extLst>
    </cacheHierarchy>
    <cacheHierarchy uniqueName="[Measures].[Count of Product]" caption="Count of Product" measure="1" displayFolder="" measureGroup="Range" count="0" hidden="1">
      <extLst>
        <ext xmlns:x15="http://schemas.microsoft.com/office/spreadsheetml/2010/11/main" uri="{B97F6D7D-B522-45F9-BDA1-12C45D357490}">
          <x15:cacheHierarchy aggregatedColumn="6"/>
        </ext>
      </extLst>
    </cacheHierarchy>
    <cacheHierarchy uniqueName="[Measures].[Sum of Repaid]" caption="Sum of Repaid" measure="1" displayFolder="" measureGroup="Range" count="0" hidden="1">
      <extLst>
        <ext xmlns:x15="http://schemas.microsoft.com/office/spreadsheetml/2010/11/main" uri="{B97F6D7D-B522-45F9-BDA1-12C45D357490}">
          <x15:cacheHierarchy aggregatedColumn="10"/>
        </ext>
      </extLst>
    </cacheHierarchy>
    <cacheHierarchy uniqueName="[Measures].[Sum of Debt Owing]" caption="Sum of Debt Owing" measure="1" displayFolder="" measureGroup="Range" count="0" hidden="1">
      <extLst>
        <ext xmlns:x15="http://schemas.microsoft.com/office/spreadsheetml/2010/11/main" uri="{B97F6D7D-B522-45F9-BDA1-12C45D357490}">
          <x15:cacheHierarchy aggregatedColumn="11"/>
        </ext>
      </extLst>
    </cacheHierarchy>
    <cacheHierarchy uniqueName="[Measures].[Sum of Loan Account No.]" caption="Sum of Loan Account No." measure="1" displayFolder="" measureGroup="Range" count="0" hidden="1">
      <extLst>
        <ext xmlns:x15="http://schemas.microsoft.com/office/spreadsheetml/2010/11/main" uri="{B97F6D7D-B522-45F9-BDA1-12C45D357490}">
          <x15:cacheHierarchy aggregatedColumn="5"/>
        </ext>
      </extLst>
    </cacheHierarchy>
    <cacheHierarchy uniqueName="[Measures].[Sum of Loan Amount]" caption="Sum of Loan Amount" measure="1" displayFolder="" measureGroup="Range" count="0" hidden="1">
      <extLst>
        <ext xmlns:x15="http://schemas.microsoft.com/office/spreadsheetml/2010/11/main" uri="{B97F6D7D-B522-45F9-BDA1-12C45D357490}">
          <x15:cacheHierarchy aggregatedColumn="7"/>
        </ext>
      </extLst>
    </cacheHierarchy>
    <cacheHierarchy uniqueName="[Measures].[Count of Client]" caption="Count of Client" measure="1" displayFolder="" measureGroup="Range"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92397654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32C346-3CE6-4A33-B4DC-E4BB9DD55D02}" name="PivotTable10" cacheId="15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B13" firstHeaderRow="1" firstDataRow="1" firstDataCol="1"/>
  <pivotFields count="2">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s>
  <rowFields count="1">
    <field x="0"/>
  </rowFields>
  <rowItems count="10">
    <i>
      <x/>
    </i>
    <i>
      <x v="1"/>
    </i>
    <i>
      <x v="2"/>
    </i>
    <i>
      <x v="3"/>
    </i>
    <i>
      <x v="4"/>
    </i>
    <i>
      <x v="5"/>
    </i>
    <i>
      <x v="6"/>
    </i>
    <i>
      <x v="7"/>
    </i>
    <i>
      <x v="8"/>
    </i>
    <i t="grand">
      <x/>
    </i>
  </rowItems>
  <colItems count="1">
    <i/>
  </colItems>
  <dataFields count="1">
    <dataField name="Sum of Loan Amount" fld="1"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8"/>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0"/>
          </reference>
        </references>
      </pivotArea>
    </chartFormat>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2">
          <reference field="4294967294" count="1" selected="0">
            <x v="0"/>
          </reference>
          <reference field="0" count="1" selected="0">
            <x v="4"/>
          </reference>
        </references>
      </pivotArea>
    </chartFormat>
    <chartFormat chart="3" format="21">
      <pivotArea type="data" outline="0" fieldPosition="0">
        <references count="2">
          <reference field="4294967294" count="1" selected="0">
            <x v="0"/>
          </reference>
          <reference field="0" count="1" selected="0">
            <x v="5"/>
          </reference>
        </references>
      </pivotArea>
    </chartFormat>
    <chartFormat chart="3" format="22">
      <pivotArea type="data" outline="0" fieldPosition="0">
        <references count="2">
          <reference field="4294967294" count="1" selected="0">
            <x v="0"/>
          </reference>
          <reference field="0" count="1" selected="0">
            <x v="6"/>
          </reference>
        </references>
      </pivotArea>
    </chartFormat>
    <chartFormat chart="3" format="23">
      <pivotArea type="data" outline="0" fieldPosition="0">
        <references count="2">
          <reference field="4294967294" count="1" selected="0">
            <x v="0"/>
          </reference>
          <reference field="0" count="1" selected="0">
            <x v="7"/>
          </reference>
        </references>
      </pivotArea>
    </chartFormat>
    <chartFormat chart="3" format="24">
      <pivotArea type="data" outline="0" fieldPosition="0">
        <references count="2">
          <reference field="4294967294" count="1" selected="0">
            <x v="0"/>
          </reference>
          <reference field="0" count="1" selected="0">
            <x v="8"/>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B4F925-913A-4DD2-8937-D3D9117B788C}" name="PivotTable6" cacheId="24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4:C14" firstHeaderRow="0" firstDataRow="1" firstDataCol="1"/>
  <pivotFields count="4">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t="grand">
      <x/>
    </i>
  </rowItems>
  <colFields count="1">
    <field x="-2"/>
  </colFields>
  <colItems count="2">
    <i>
      <x/>
    </i>
    <i i="1">
      <x v="1"/>
    </i>
  </colItems>
  <dataFields count="2">
    <dataField name="Sum of Repaid" fld="1" baseField="0" baseItem="0"/>
    <dataField name="Sum of Debt Owing" fld="2" baseField="0" baseItem="0"/>
  </dataFields>
  <formats count="6">
    <format dxfId="167">
      <pivotArea type="all" dataOnly="0" outline="0" fieldPosition="0"/>
    </format>
    <format dxfId="166">
      <pivotArea outline="0" collapsedLevelsAreSubtotals="1" fieldPosition="0"/>
    </format>
    <format dxfId="165">
      <pivotArea field="0" type="button" dataOnly="0" labelOnly="1" outline="0" axis="axisRow" fieldPosition="0"/>
    </format>
    <format dxfId="164">
      <pivotArea dataOnly="0" labelOnly="1" fieldPosition="0">
        <references count="1">
          <reference field="0" count="0"/>
        </references>
      </pivotArea>
    </format>
    <format dxfId="163">
      <pivotArea dataOnly="0" labelOnly="1" grandRow="1" outline="0" fieldPosition="0"/>
    </format>
    <format dxfId="162">
      <pivotArea dataOnly="0" labelOnly="1" outline="0" fieldPosition="0">
        <references count="1">
          <reference field="4294967294" count="2">
            <x v="0"/>
            <x v="1"/>
          </reference>
        </references>
      </pivotArea>
    </format>
  </formats>
  <chartFormats count="5">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3">
      <pivotArea type="data" outline="0" fieldPosition="0">
        <references count="2">
          <reference field="4294967294" count="1" selected="0">
            <x v="1"/>
          </reference>
          <reference field="0" count="1" selected="0">
            <x v="6"/>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s>
  <pivotHierarchies count="2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 sheet!$A:$T">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24785B-A128-4031-9852-5C51B9C7280F}" name="PivotTable11" cacheId="16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3:B6" firstHeaderRow="1" firstDataRow="1" firstDataCol="1"/>
  <pivotFields count="2">
    <pivotField axis="axisRow" allDrilled="1" subtotalTop="0" showAll="0" dataSourceSort="1" defaultSubtotal="0" defaultAttributeDrillState="1">
      <items count="2">
        <item s="1" x="0"/>
        <item s="1" x="1"/>
      </items>
    </pivotField>
    <pivotField dataField="1" subtotalTop="0" showAll="0" defaultSubtotal="0"/>
  </pivotFields>
  <rowFields count="1">
    <field x="0"/>
  </rowFields>
  <rowItems count="3">
    <i>
      <x/>
    </i>
    <i>
      <x v="1"/>
    </i>
    <i t="grand">
      <x/>
    </i>
  </rowItems>
  <colItems count="1">
    <i/>
  </colItems>
  <dataFields count="1">
    <dataField name="Count of Client" fld="1" subtotal="count" baseField="0" baseItem="0"/>
  </dataFields>
  <chartFormats count="4">
    <chartFormat chart="1"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0" count="1" selected="0">
            <x v="0"/>
          </reference>
        </references>
      </pivotArea>
    </chartFormat>
    <chartFormat chart="5" format="6">
      <pivotArea type="data" outline="0" fieldPosition="0">
        <references count="2">
          <reference field="4294967294" count="1" selected="0">
            <x v="0"/>
          </reference>
          <reference field="0"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 xr10:uid="{A67532D9-8687-4188-9642-3588B7F32686}" sourceName="[Range].[Client]">
  <pivotTables>
    <pivotTable tabId="11" name="PivotTable6"/>
  </pivotTables>
  <data>
    <olap pivotCacheId="923976544">
      <levels count="2">
        <level uniqueName="[Range].[Client].[(All)]" sourceCaption="(All)" count="0"/>
        <level uniqueName="[Range].[Client].[Client]" sourceCaption="Client" count="1000">
          <ranges>
            <range startItem="0">
              <i n="[Range].[Client].&amp;[Aarav McIntosh]" c="Aarav McIntosh"/>
              <i n="[Range].[Client].&amp;[Aarav Vu]" c="Aarav Vu"/>
              <i n="[Range].[Client].&amp;[Aarya Fitzgerald]" c="Aarya Fitzgerald"/>
              <i n="[Range].[Client].&amp;[Abby Hodges]" c="Abby Hodges"/>
              <i n="[Range].[Client].&amp;[Ace Maldonado]" c="Ace Maldonado"/>
              <i n="[Range].[Client].&amp;[Ada Vance]" c="Ada Vance"/>
              <i n="[Range].[Client].&amp;[Adalee Webster]" c="Adalee Webster"/>
              <i n="[Range].[Client].&amp;[Adan Salazar]" c="Adan Salazar"/>
              <i n="[Range].[Client].&amp;[Addison Cordova]" c="Addison Cordova"/>
              <i n="[Range].[Client].&amp;[Adelaide Russo]" c="Adelaide Russo"/>
              <i n="[Range].[Client].&amp;[Adelina Gilmore]" c="Adelina Gilmore"/>
              <i n="[Range].[Client].&amp;[Aden Ball]" c="Aden Ball"/>
              <i n="[Range].[Client].&amp;[Adler Young]" c="Adler Young"/>
              <i n="[Range].[Client].&amp;[Adonis Owens]" c="Adonis Owens"/>
              <i n="[Range].[Client].&amp;[Adriana Salinas]" c="Adriana Salinas"/>
              <i n="[Range].[Client].&amp;[Ahmad Mason]" c="Ahmad Mason"/>
              <i n="[Range].[Client].&amp;[Ahmir Sanders]" c="Ahmir Sanders"/>
              <i n="[Range].[Client].&amp;[Aiden Rhodes]" c="Aiden Rhodes"/>
              <i n="[Range].[Client].&amp;[Aileen McClure]" c="Aileen McClure"/>
              <i n="[Range].[Client].&amp;[Ainsley Bean]" c="Ainsley Bean"/>
              <i n="[Range].[Client].&amp;[Ainsley Dyer]" c="Ainsley Dyer"/>
              <i n="[Range].[Client].&amp;[Alaia Lozano]" c="Alaia Lozano"/>
              <i n="[Range].[Client].&amp;[Alaina Lambert]" c="Alaina Lambert"/>
              <i n="[Range].[Client].&amp;[Alaina Livingston]" c="Alaina Livingston"/>
              <i n="[Range].[Client].&amp;[Alan Hammond]" c="Alan Hammond"/>
              <i n="[Range].[Client].&amp;[Alana Sharp]" c="Alana Sharp"/>
              <i n="[Range].[Client].&amp;[Alanna Barker]" c="Alanna Barker"/>
              <i n="[Range].[Client].&amp;[Alanna Roy]" c="Alanna Roy"/>
              <i n="[Range].[Client].&amp;[Alaric Henson]" c="Alaric Henson"/>
              <i n="[Range].[Client].&amp;[Alaya Morrison]" c="Alaya Morrison"/>
              <i n="[Range].[Client].&amp;[Alayna Freeman]" c="Alayna Freeman"/>
              <i n="[Range].[Client].&amp;[Alberto Duran]" c="Alberto Duran"/>
              <i n="[Range].[Client].&amp;[Alberto Valencia]" c="Alberto Valencia"/>
              <i n="[Range].[Client].&amp;[Alden Cooper]" c="Alden Cooper"/>
              <i n="[Range].[Client].&amp;[Aldo Duke]" c="Aldo Duke"/>
              <i n="[Range].[Client].&amp;[Aldo Moreno]" c="Aldo Moreno"/>
              <i n="[Range].[Client].&amp;[Aleah McPherson]" c="Aleah McPherson"/>
              <i n="[Range].[Client].&amp;[Aleah Trujillo]" c="Aleah Trujillo"/>
              <i n="[Range].[Client].&amp;[Alec Bennett]" c="Alec Bennett"/>
              <i n="[Range].[Client].&amp;[Aleena Dennis]" c="Aleena Dennis"/>
              <i n="[Range].[Client].&amp;[Alejandra Dunn]" c="Alejandra Dunn"/>
              <i n="[Range].[Client].&amp;[Alena Alexander]" c="Alena Alexander"/>
              <i n="[Range].[Client].&amp;[Alessandro Ballard]" c="Alessandro Ballard"/>
              <i n="[Range].[Client].&amp;[Alexandra Price]" c="Alexandra Price"/>
              <i n="[Range].[Client].&amp;[Alexia Guzman]" c="Alexia Guzman"/>
              <i n="[Range].[Client].&amp;[Alexis Barrett]" c="Alexis Barrett"/>
              <i n="[Range].[Client].&amp;[Alexis Lewis]" c="Alexis Lewis"/>
              <i n="[Range].[Client].&amp;[Alfred Trejo]" c="Alfred Trejo"/>
              <i n="[Range].[Client].&amp;[Ali McGuire]" c="Ali McGuire"/>
              <i n="[Range].[Client].&amp;[Alia Cuevas]" c="Alia Cuevas"/>
              <i n="[Range].[Client].&amp;[Alianna Cherry]" c="Alianna Cherry"/>
              <i n="[Range].[Client].&amp;[Alice Moore]" c="Alice Moore"/>
              <i n="[Range].[Client].&amp;[Alijah French]" c="Alijah French"/>
              <i n="[Range].[Client].&amp;[Alijah McLean]" c="Alijah McLean"/>
              <i n="[Range].[Client].&amp;[Alina Ingram]" c="Alina Ingram"/>
              <i n="[Range].[Client].&amp;[Alisson Horn]" c="Alisson Horn"/>
              <i n="[Range].[Client].&amp;[Alivia Truong]" c="Alivia Truong"/>
              <i n="[Range].[Client].&amp;[Aliyah Singleton]" c="Aliyah Singleton"/>
              <i n="[Range].[Client].&amp;[Allen Hancock]" c="Allen Hancock"/>
              <i n="[Range].[Client].&amp;[Alma Crosby]" c="Alma Crosby"/>
              <i n="[Range].[Client].&amp;[Alonzo Neal]" c="Alonzo Neal"/>
              <i n="[Range].[Client].&amp;[Alora Jefferson]" c="Alora Jefferson"/>
              <i n="[Range].[Client].&amp;[Alvin O’Donnell]" c="Alvin O’Donnell"/>
              <i n="[Range].[Client].&amp;[Alyssa Hardy]" c="Alyssa Hardy"/>
              <i n="[Range].[Client].&amp;[Alyssa Turner]" c="Alyssa Turner"/>
              <i n="[Range].[Client].&amp;[Amaia Alvarez]" c="Amaia Alvarez"/>
              <i n="[Range].[Client].&amp;[Amara Booth]" c="Amara Booth"/>
              <i n="[Range].[Client].&amp;[Amari Gross]" c="Amari Gross"/>
              <i n="[Range].[Client].&amp;[Amaya Little]" c="Amaya Little"/>
              <i n="[Range].[Client].&amp;[Amaya Rogers]" c="Amaya Rogers"/>
              <i n="[Range].[Client].&amp;[Amayah Moyer]" c="Amayah Moyer"/>
              <i n="[Range].[Client].&amp;[Ambrose Camacho]" c="Ambrose Camacho"/>
              <i n="[Range].[Client].&amp;[Ameer Wolf]" c="Ameer Wolf"/>
              <i n="[Range].[Client].&amp;[Amelie Salgado]" c="Amelie Salgado"/>
              <i n="[Range].[Client].&amp;[Amias Armstrong]" c="Amias Armstrong"/>
              <i n="[Range].[Client].&amp;[Amina Eaton]" c="Amina Eaton"/>
              <i n="[Range].[Client].&amp;[Amy Parker]" c="Amy Parker"/>
              <i n="[Range].[Client].&amp;[Amy Zavala]" c="Amy Zavala"/>
              <i n="[Range].[Client].&amp;[Anahi Spencer]" c="Anahi Spencer"/>
              <i n="[Range].[Client].&amp;[Anastasia Beltran]" c="Anastasia Beltran"/>
              <i n="[Range].[Client].&amp;[Anastasia Ventura]" c="Anastasia Ventura"/>
              <i n="[Range].[Client].&amp;[Anaya Gardner]" c="Anaya Gardner"/>
              <i n="[Range].[Client].&amp;[Anaya Lucero]" c="Anaya Lucero"/>
              <i n="[Range].[Client].&amp;[Anaya O’Connell]" c="Anaya O’Connell"/>
              <i n="[Range].[Client].&amp;[Andi Esquivel]" c="Andi Esquivel"/>
              <i n="[Range].[Client].&amp;[Andre Dawson]" c="Andre Dawson"/>
              <i n="[Range].[Client].&amp;[Andrea McDonald]" c="Andrea McDonald"/>
              <i n="[Range].[Client].&amp;[Andres Hutchinson]" c="Andres Hutchinson"/>
              <i n="[Range].[Client].&amp;[Angel Hanson]" c="Angel Hanson"/>
              <i n="[Range].[Client].&amp;[Angelica Sanders]" c="Angelica Sanders"/>
              <i n="[Range].[Client].&amp;[Angelo Marsh]" c="Angelo Marsh"/>
              <i n="[Range].[Client].&amp;[Angelo Poole]" c="Angelo Poole"/>
              <i n="[Range].[Client].&amp;[Angie Knight]" c="Angie Knight"/>
              <i n="[Range].[Client].&amp;[Aniya Jacobson]" c="Aniya Jacobson"/>
              <i n="[Range].[Client].&amp;[Annabelle Massey]" c="Annabelle Massey"/>
              <i n="[Range].[Client].&amp;[Annabelle Miller]" c="Annabelle Miller"/>
              <i n="[Range].[Client].&amp;[Annabelle Sanders]" c="Annabelle Sanders"/>
              <i n="[Range].[Client].&amp;[Ansley Richardson]" c="Ansley Richardson"/>
              <i n="[Range].[Client].&amp;[Ansley Stuart]" c="Ansley Stuart"/>
              <i n="[Range].[Client].&amp;[Ansley Velazquez]" c="Ansley Velazquez"/>
              <i n="[Range].[Client].&amp;[Antonio White]" c="Antonio White"/>
              <i n="[Range].[Client].&amp;[Anya Walsh]" c="Anya Walsh"/>
              <i n="[Range].[Client].&amp;[Apollo Ramos]" c="Apollo Ramos"/>
              <i n="[Range].[Client].&amp;[April Fox]" c="April Fox"/>
              <i n="[Range].[Client].&amp;[Archer Middleton]" c="Archer Middleton"/>
              <i n="[Range].[Client].&amp;[Ari Barry]" c="Ari Barry"/>
              <i n="[Range].[Client].&amp;[Ari Bernard]" c="Ari Bernard"/>
              <i n="[Range].[Client].&amp;[Aria Harper]" c="Aria Harper"/>
              <i n="[Range].[Client].&amp;[Arian Lester]" c="Arian Lester"/>
              <i n="[Range].[Client].&amp;[Ariel Cordova]" c="Ariel Cordova"/>
              <i n="[Range].[Client].&amp;[Ariella Armstrong]" c="Ariella Armstrong"/>
              <i n="[Range].[Client].&amp;[Ariella Hoffman]" c="Ariella Hoffman"/>
              <i n="[Range].[Client].&amp;[Ariella Knight]" c="Ariella Knight"/>
              <i n="[Range].[Client].&amp;[Arielle Welch]" c="Arielle Welch"/>
              <i n="[Range].[Client].&amp;[Aries Rangel]" c="Aries Rangel"/>
              <i n="[Range].[Client].&amp;[Armani Sheppard]" c="Armani Sheppard"/>
              <i n="[Range].[Client].&amp;[Aron Deleon]" c="Aron Deleon"/>
              <i n="[Range].[Client].&amp;[Arturo Herrera]" c="Arturo Herrera"/>
              <i n="[Range].[Client].&amp;[Aryan Crosby]" c="Aryan Crosby"/>
              <i n="[Range].[Client].&amp;[Ashlyn Bennett]" c="Ashlyn Bennett"/>
              <i n="[Range].[Client].&amp;[Ashlyn Turner]" c="Ashlyn Turner"/>
              <i n="[Range].[Client].&amp;[Athena Erickson]" c="Athena Erickson"/>
              <i n="[Range].[Client].&amp;[Athena McCullough]" c="Athena McCullough"/>
              <i n="[Range].[Client].&amp;[Atreus Quintana]" c="Atreus Quintana"/>
              <i n="[Range].[Client].&amp;[Atreus Roy]" c="Atreus Roy"/>
              <i n="[Range].[Client].&amp;[August Durham]" c="August Durham"/>
              <i n="[Range].[Client].&amp;[August Farmer]" c="August Farmer"/>
              <i n="[Range].[Client].&amp;[August Fry]" c="August Fry"/>
              <i n="[Range].[Client].&amp;[Augustine Larson]" c="Augustine Larson"/>
              <i n="[Range].[Client].&amp;[Augustus Bryan]" c="Augustus Bryan"/>
              <i n="[Range].[Client].&amp;[Aurelia Ashley]" c="Aurelia Ashley"/>
              <i n="[Range].[Client].&amp;[Aurora Holmes]" c="Aurora Holmes"/>
              <i n="[Range].[Client].&amp;[Avalynn Lloyd]" c="Avalynn Lloyd"/>
              <i n="[Range].[Client].&amp;[Averi Love]" c="Averi Love"/>
              <i n="[Range].[Client].&amp;[Averie Kramer]" c="Averie Kramer"/>
              <i n="[Range].[Client].&amp;[Avery Suarez]" c="Avery Suarez"/>
              <i n="[Range].[Client].&amp;[Avery Trevino]" c="Avery Trevino"/>
              <i n="[Range].[Client].&amp;[Avi Vargas]" c="Avi Vargas"/>
              <i n="[Range].[Client].&amp;[Axel Bauer]" c="Axel Bauer"/>
              <i n="[Range].[Client].&amp;[Axton Singh]" c="Axton Singh"/>
              <i n="[Range].[Client].&amp;[Ayan Blair]" c="Ayan Blair"/>
              <i n="[Range].[Client].&amp;[Ayden Parsons]" c="Ayden Parsons"/>
              <i n="[Range].[Client].&amp;[Ayden Soto]" c="Ayden Soto"/>
              <i n="[Range].[Client].&amp;[Aydin Pope]" c="Aydin Pope"/>
              <i n="[Range].[Client].&amp;[Bailee Cortes]" c="Bailee Cortes"/>
              <i n="[Range].[Client].&amp;[Bailee Walsh]" c="Bailee Walsh"/>
              <i n="[Range].[Client].&amp;[Baker Raymond]" c="Baker Raymond"/>
              <i n="[Range].[Client].&amp;[Banks Jones]" c="Banks Jones"/>
              <i n="[Range].[Client].&amp;[Barbara Bowman]" c="Barbara Bowman"/>
              <i n="[Range].[Client].&amp;[Barbara Graves]" c="Barbara Graves"/>
              <i n="[Range].[Client].&amp;[Baylor Horne]" c="Baylor Horne"/>
              <i n="[Range].[Client].&amp;[Baylor Stone]" c="Baylor Stone"/>
              <i n="[Range].[Client].&amp;[Beau Davis]" c="Beau Davis"/>
              <i n="[Range].[Client].&amp;[Beckett Cain]" c="Beckett Cain"/>
              <i n="[Range].[Client].&amp;[Beckett Carey]" c="Beckett Carey"/>
              <i n="[Range].[Client].&amp;[Beckett Snow]" c="Beckett Snow"/>
              <i n="[Range].[Client].&amp;[Beckett Woodward]" c="Beckett Woodward"/>
              <i n="[Range].[Client].&amp;[Bellamy Richards]" c="Bellamy Richards"/>
              <i n="[Range].[Client].&amp;[Benjamin Andrade]" c="Benjamin Andrade"/>
              <i n="[Range].[Client].&amp;[Benson Roy]" c="Benson Roy"/>
              <i n="[Range].[Client].&amp;[Berkley Gentry]" c="Berkley Gentry"/>
              <i n="[Range].[Client].&amp;[Bianca Blanchard]" c="Bianca Blanchard"/>
              <i n="[Range].[Client].&amp;[Bo Miller]" c="Bo Miller"/>
              <i n="[Range].[Client].&amp;[Bo Shaw]" c="Bo Shaw"/>
              <i n="[Range].[Client].&amp;[Bodhi Blankenship]" c="Bodhi Blankenship"/>
              <i n="[Range].[Client].&amp;[Bodhi Walter]" c="Bodhi Walter"/>
              <i n="[Range].[Client].&amp;[Bonnie Cummings]" c="Bonnie Cummings"/>
              <i n="[Range].[Client].&amp;[Bonnie Villalobos]" c="Bonnie Villalobos"/>
              <i n="[Range].[Client].&amp;[Boone Greene]" c="Boone Greene"/>
              <i n="[Range].[Client].&amp;[Braden Fuller]" c="Braden Fuller"/>
              <i n="[Range].[Client].&amp;[Bradley Becker]" c="Bradley Becker"/>
              <i n="[Range].[Client].&amp;[Bradley Conway]" c="Bradley Conway"/>
              <i n="[Range].[Client].&amp;[Branson Giles]" c="Branson Giles"/>
              <i n="[Range].[Client].&amp;[Brayan Valentine]" c="Brayan Valentine"/>
              <i n="[Range].[Client].&amp;[Braylee Armstrong]" c="Braylee Armstrong"/>
              <i n="[Range].[Client].&amp;[Brecken Gross]" c="Brecken Gross"/>
              <i n="[Range].[Client].&amp;[Brianna Thomas]" c="Brianna Thomas"/>
              <i n="[Range].[Client].&amp;[Briar Cherry]" c="Briar Cherry"/>
              <i n="[Range].[Client].&amp;[Briar Truong]" c="Briar Truong"/>
              <i n="[Range].[Client].&amp;[Bridger Maldonado]" c="Bridger Maldonado"/>
              <i n="[Range].[Client].&amp;[Bridget Anthony]" c="Bridget Anthony"/>
              <i n="[Range].[Client].&amp;[Briella Foster]" c="Briella Foster"/>
              <i n="[Range].[Client].&amp;[Brittany Hunt]" c="Brittany Hunt"/>
              <i n="[Range].[Client].&amp;[Brittany Manning]" c="Brittany Manning"/>
              <i n="[Range].[Client].&amp;[Bronson West]" c="Bronson West"/>
              <i n="[Range].[Client].&amp;[Brooklynn Arellano]" c="Brooklynn Arellano"/>
              <i n="[Range].[Client].&amp;[Brooklynn McGee]" c="Brooklynn McGee"/>
              <i n="[Range].[Client].&amp;[Brooks Harrison]" c="Brooks Harrison"/>
              <i n="[Range].[Client].&amp;[Brycen Bowen]" c="Brycen Bowen"/>
              <i n="[Range].[Client].&amp;[Brylee Dunlap]" c="Brylee Dunlap"/>
              <i n="[Range].[Client].&amp;[Brynlee Kent]" c="Brynlee Kent"/>
              <i n="[Range].[Client].&amp;[Brynlee Savage]" c="Brynlee Savage"/>
              <i n="[Range].[Client].&amp;[Byron Watts]" c="Byron Watts"/>
              <i n="[Range].[Client].&amp;[Cade Marks]" c="Cade Marks"/>
              <i n="[Range].[Client].&amp;[Cadence Campbell]" c="Cadence Campbell"/>
              <i n="[Range].[Client].&amp;[Caiden Pruitt]" c="Caiden Pruitt"/>
              <i n="[Range].[Client].&amp;[Cal Hail]" c="Cal Hail"/>
              <i n="[Range].[Client].&amp;[Caleb Knapp]" c="Caleb Knapp"/>
              <i n="[Range].[Client].&amp;[Calvin Lu]" c="Calvin Lu"/>
              <i n="[Range].[Client].&amp;[Cannon Ramirez]" c="Cannon Ramirez"/>
              <i n="[Range].[Client].&amp;[Cannon Stevenson]" c="Cannon Stevenson"/>
              <i n="[Range].[Client].&amp;[Carl Webb]" c="Carl Webb"/>
              <i n="[Range].[Client].&amp;[Carly Fleming]" c="Carly Fleming"/>
              <i n="[Range].[Client].&amp;[Carson McClain]" c="Carson McClain"/>
              <i n="[Range].[Client].&amp;[Carson Vance]" c="Carson Vance"/>
              <i n="[Range].[Client].&amp;[Carter Baxter]" c="Carter Baxter"/>
              <i n="[Range].[Client].&amp;[Carter Edwards]" c="Carter Edwards"/>
              <i n="[Range].[Client].&amp;[Casen Carroll]" c="Casen Carroll"/>
              <i n="[Range].[Client].&amp;[Casen Nichols]" c="Casen Nichols"/>
              <i n="[Range].[Client].&amp;[Cason Benjamin]" c="Cason Benjamin"/>
              <i n="[Range].[Client].&amp;[Cassandra Hunter]" c="Cassandra Hunter"/>
              <i n="[Range].[Client].&amp;[Cassius Nunez]" c="Cassius Nunez"/>
              <i n="[Range].[Client].&amp;[Cassius Whitaker]" c="Cassius Whitaker"/>
              <i n="[Range].[Client].&amp;[Cataleya Whitney]" c="Cataleya Whitney"/>
              <i n="[Range].[Client].&amp;[Catalina McKay]" c="Catalina McKay"/>
              <i n="[Range].[Client].&amp;[Catherine Baker]" c="Catherine Baker"/>
              <i n="[Range].[Client].&amp;[Cayden Alexander]" c="Cayden Alexander"/>
              <i n="[Range].[Client].&amp;[Cayden Brady]" c="Cayden Brady"/>
              <i n="[Range].[Client].&amp;[Cayson Frazier]" c="Cayson Frazier"/>
              <i n="[Range].[Client].&amp;[Cecelia Boyer]" c="Cecelia Boyer"/>
              <i n="[Range].[Client].&amp;[Cecelia Boyle]" c="Cecelia Boyle"/>
              <i n="[Range].[Client].&amp;[Cesar Nixon]" c="Cesar Nixon"/>
              <i n="[Range].[Client].&amp;[Chaim Arias]" c="Chaim Arias"/>
              <i n="[Range].[Client].&amp;[Chandler Boyle]" c="Chandler Boyle"/>
              <i n="[Range].[Client].&amp;[Charleigh Medrano]" c="Charleigh Medrano"/>
              <i n="[Range].[Client].&amp;[Charleigh Watts]" c="Charleigh Watts"/>
              <i n="[Range].[Client].&amp;[Charles Chambers]" c="Charles Chambers"/>
              <i n="[Range].[Client].&amp;[Charli Park]" c="Charli Park"/>
              <i n="[Range].[Client].&amp;[Charlotte Browning]" c="Charlotte Browning"/>
              <i n="[Range].[Client].&amp;[Charlotte Cline]" c="Charlotte Cline"/>
              <i n="[Range].[Client].&amp;[Chaya Gregory]" c="Chaya Gregory"/>
              <i n="[Range].[Client].&amp;[Cheyenne Merritt]" c="Cheyenne Merritt"/>
              <i n="[Range].[Client].&amp;[Chloe McCann]" c="Chloe McCann"/>
              <i n="[Range].[Client].&amp;[Chris Golden]" c="Chris Golden"/>
              <i n="[Range].[Client].&amp;[Christian Daugherty]" c="Christian Daugherty"/>
              <i n="[Range].[Client].&amp;[Christopher Hodge]" c="Christopher Hodge"/>
              <i n="[Range].[Client].&amp;[Claire McConnell]" c="Claire McConnell"/>
              <i n="[Range].[Client].&amp;[Clare Navarro]" c="Clare Navarro"/>
              <i n="[Range].[Client].&amp;[Cleo Coleman]" c="Cleo Coleman"/>
              <i n="[Range].[Client].&amp;[Cleo Jackson]" c="Cleo Jackson"/>
              <i n="[Range].[Client].&amp;[Cole Harris]" c="Cole Harris"/>
              <i n="[Range].[Client].&amp;[Colson Gallegos]" c="Colson Gallegos"/>
              <i n="[Range].[Client].&amp;[Colten Bowman]" c="Colten Bowman"/>
              <i n="[Range].[Client].&amp;[Colten Campbell]" c="Colten Campbell"/>
              <i n="[Range].[Client].&amp;[Colton Austin]" c="Colton Austin"/>
              <i n="[Range].[Client].&amp;[Colton Francis]" c="Colton Francis"/>
              <i n="[Range].[Client].&amp;[Conner Dougherty]" c="Conner Dougherty"/>
              <i n="[Range].[Client].&amp;[Conner Lopez]" c="Conner Lopez"/>
              <i n="[Range].[Client].&amp;[Conner Quinn]" c="Conner Quinn"/>
              <i n="[Range].[Client].&amp;[Conor Kennedy]" c="Conor Kennedy"/>
              <i n="[Range].[Client].&amp;[Conrad Thomas]" c="Conrad Thomas"/>
              <i n="[Range].[Client].&amp;[Coraline Hopkins]" c="Coraline Hopkins"/>
              <i n="[Range].[Client].&amp;[Coraline Mays]" c="Coraline Mays"/>
              <i n="[Range].[Client].&amp;[Cory Houston]" c="Cory Houston"/>
              <i n="[Range].[Client].&amp;[Creed Brennan]" c="Creed Brennan"/>
              <i n="[Range].[Client].&amp;[Creed Harmon]" c="Creed Harmon"/>
              <i n="[Range].[Client].&amp;[Crew Lin]" c="Crew Lin"/>
              <i n="[Range].[Client].&amp;[Crew Stafford]" c="Crew Stafford"/>
              <i n="[Range].[Client].&amp;[Crystal Thompson]" c="Crystal Thompson"/>
              <i n="[Range].[Client].&amp;[Cullen Cooper]" c="Cullen Cooper"/>
              <i n="[Range].[Client].&amp;[Daisy Lowe]" c="Daisy Lowe"/>
              <i n="[Range].[Client].&amp;[Daisy Shepard]" c="Daisy Shepard"/>
              <i n="[Range].[Client].&amp;[Dakota Hail]" c="Dakota Hail"/>
              <i n="[Range].[Client].&amp;[Damari Owens]" c="Damari Owens"/>
              <i n="[Range].[Client].&amp;[Damien Grant]" c="Damien Grant"/>
              <i n="[Range].[Client].&amp;[Dani Sellers]" c="Dani Sellers"/>
              <i n="[Range].[Client].&amp;[Daniela Gregory]" c="Daniela Gregory"/>
              <i n="[Range].[Client].&amp;[Daniella Grimes]" c="Daniella Grimes"/>
              <i n="[Range].[Client].&amp;[Daniella Harrington]" c="Daniella Harrington"/>
              <i n="[Range].[Client].&amp;[Daniella Morris]" c="Daniella Morris"/>
              <i n="[Range].[Client].&amp;[Danielle Nava]" c="Danielle Nava"/>
              <i n="[Range].[Client].&amp;[Dariel Soto]" c="Dariel Soto"/>
              <i n="[Range].[Client].&amp;[Dario Dickson]" c="Dario Dickson"/>
              <i n="[Range].[Client].&amp;[Darius Fuentes]" c="Darius Fuentes"/>
              <i n="[Range].[Client].&amp;[David Hoover]" c="David Hoover"/>
              <i n="[Range].[Client].&amp;[Davina Hogan]" c="Davina Hogan"/>
              <i n="[Range].[Client].&amp;[Davion Graves]" c="Davion Graves"/>
              <i n="[Range].[Client].&amp;[Davis Gonzales]" c="Davis Gonzales"/>
              <i n="[Range].[Client].&amp;[Dawson Miranda]" c="Dawson Miranda"/>
              <i n="[Range].[Client].&amp;[Dax Watkins]" c="Dax Watkins"/>
              <i n="[Range].[Client].&amp;[Daxton Logan]" c="Daxton Logan"/>
              <i n="[Range].[Client].&amp;[Dayana Clark]" c="Dayana Clark"/>
              <i n="[Range].[Client].&amp;[Dean Andrade]" c="Dean Andrade"/>
              <i n="[Range].[Client].&amp;[Deborah O’Connor]" c="Deborah O’Connor"/>
              <i n="[Range].[Client].&amp;[Delaney Vo]" c="Delaney Vo"/>
              <i n="[Range].[Client].&amp;[Della Gross]" c="Della Gross"/>
              <i n="[Range].[Client].&amp;[Demetrius Padilla]" c="Demetrius Padilla"/>
              <i n="[Range].[Client].&amp;[Denver Wolfe]" c="Denver Wolfe"/>
              <i n="[Range].[Client].&amp;[Devon McCann]" c="Devon McCann"/>
              <i n="[Range].[Client].&amp;[Dillon Shaw]" c="Dillon Shaw"/>
              <i n="[Range].[Client].&amp;[Dion Case]" c="Dion Case"/>
              <i n="[Range].[Client].&amp;[Dion Padilla]" c="Dion Padilla"/>
              <i n="[Range].[Client].&amp;[Dominick Jensen]" c="Dominick Jensen"/>
              <i n="[Range].[Client].&amp;[Donald Merritt]" c="Donald Merritt"/>
              <i n="[Range].[Client].&amp;[Donovan Bishop]" c="Donovan Bishop"/>
              <i n="[Range].[Client].&amp;[Douglas Burke]" c="Douglas Burke"/>
              <i n="[Range].[Client].&amp;[Dream Blevins]" c="Dream Blevins"/>
              <i n="[Range].[Client].&amp;[Dream Vaughn]" c="Dream Vaughn"/>
              <i n="[Range].[Client].&amp;[Drew McDonald]" c="Drew McDonald"/>
              <i n="[Range].[Client].&amp;[Drew Ross]" c="Drew Ross"/>
              <i n="[Range].[Client].&amp;[Edgar Russo]" c="Edgar Russo"/>
              <i n="[Range].[Client].&amp;[Edison Browning]" c="Edison Browning"/>
              <i n="[Range].[Client].&amp;[Edison Moss]" c="Edison Moss"/>
              <i n="[Range].[Client].&amp;[Edith Magana]" c="Edith Magana"/>
              <i n="[Range].[Client].&amp;[Elaina Anthony]" c="Elaina Anthony"/>
              <i n="[Range].[Client].&amp;[Elaina Barrett]" c="Elaina Barrett"/>
              <i n="[Range].[Client].&amp;[Elaina Padilla]" c="Elaina Padilla"/>
              <i n="[Range].[Client].&amp;[Eleanor Joseph]" c="Eleanor Joseph"/>
              <i n="[Range].[Client].&amp;[Eli Butler]" c="Eli Butler"/>
              <i n="[Range].[Client].&amp;[Eli Nava]" c="Eli Nava"/>
              <i n="[Range].[Client].&amp;[Eliel Green]" c="Eliel Green"/>
              <i n="[Range].[Client].&amp;[Eliezer Bradford]" c="Eliezer Bradford"/>
              <i n="[Range].[Client].&amp;[Elina McGee]" c="Elina McGee"/>
              <i n="[Range].[Client].&amp;[Elisha Faulkner]" c="Elisha Faulkner"/>
              <i n="[Range].[Client].&amp;[Elizabeth Ortiz]" c="Elizabeth Ortiz"/>
              <i n="[Range].[Client].&amp;[Elle Cano]" c="Elle Cano"/>
              <i n="[Range].[Client].&amp;[Ellie Reyes]" c="Ellie Reyes"/>
              <i n="[Range].[Client].&amp;[Ellis Cordova]" c="Ellis Cordova"/>
              <i n="[Range].[Client].&amp;[Ellis Farmer]" c="Ellis Farmer"/>
              <i n="[Range].[Client].&amp;[Ellis Wyatt]" c="Ellis Wyatt"/>
              <i n="[Range].[Client].&amp;[Ellison Saunders]" c="Ellison Saunders"/>
              <i n="[Range].[Client].&amp;[Elodie Hanson]" c="Elodie Hanson"/>
              <i n="[Range].[Client].&amp;[Eloise Savage]" c="Eloise Savage"/>
              <i n="[Range].[Client].&amp;[Elora Hayes]" c="Elora Hayes"/>
              <i n="[Range].[Client].&amp;[Elyse Merritt]" c="Elyse Merritt"/>
              <i n="[Range].[Client].&amp;[Emani Ho]" c="Emani Ho"/>
              <i n="[Range].[Client].&amp;[Emanuel Blankenship]" c="Emanuel Blankenship"/>
              <i n="[Range].[Client].&amp;[Emely Herman]" c="Emely Herman"/>
              <i n="[Range].[Client].&amp;[Emersyn Buckley]" c="Emersyn Buckley"/>
              <i n="[Range].[Client].&amp;[Emersyn Griffin]" c="Emersyn Griffin"/>
              <i n="[Range].[Client].&amp;[Emery Frost]" c="Emery Frost"/>
              <i n="[Range].[Client].&amp;[Emery Robertson]" c="Emery Robertson"/>
              <i n="[Range].[Client].&amp;[Emiliano Donaldson]" c="Emiliano Donaldson"/>
              <i n="[Range].[Client].&amp;[Emily Kline]" c="Emily Kline"/>
              <i n="[Range].[Client].&amp;[Emmalynn Cabrera]" c="Emmalynn Cabrera"/>
              <i n="[Range].[Client].&amp;[Emmanuel Spencer]" c="Emmanuel Spencer"/>
              <i n="[Range].[Client].&amp;[Emmie Potter]" c="Emmie Potter"/>
              <i n="[Range].[Client].&amp;[Emmy Charles]" c="Emmy Charles"/>
              <i n="[Range].[Client].&amp;[Emmy Dyer]" c="Emmy Dyer"/>
              <i n="[Range].[Client].&amp;[Emmy Marin]" c="Emmy Marin"/>
              <i n="[Range].[Client].&amp;[Ermias Gill]" c="Ermias Gill"/>
              <i n="[Range].[Client].&amp;[Esperanza Donovan]" c="Esperanza Donovan"/>
              <i n="[Range].[Client].&amp;[Estrella Stein]" c="Estrella Stein"/>
              <i n="[Range].[Client].&amp;[Ethan Booker]" c="Ethan Booker"/>
              <i n="[Range].[Client].&amp;[Etta Frederick]" c="Etta Frederick"/>
              <i n="[Range].[Client].&amp;[Etta Wyatt]" c="Etta Wyatt"/>
              <i n="[Range].[Client].&amp;[Eve Carr]" c="Eve Carr"/>
              <i n="[Range].[Client].&amp;[Everett Dalton]" c="Everett Dalton"/>
              <i n="[Range].[Client].&amp;[Everleigh Rivera]" c="Everleigh Rivera"/>
              <i n="[Range].[Client].&amp;[Ezekiel Rich]" c="Ezekiel Rich"/>
              <i n="[Range].[Client].&amp;[Ezequiel Lane]" c="Ezequiel Lane"/>
              <i n="[Range].[Client].&amp;[Ezra Bishop]" c="Ezra Bishop"/>
              <i n="[Range].[Client].&amp;[Ezra Hicks]" c="Ezra Hicks"/>
              <i n="[Range].[Client].&amp;[Fatima Hendrix]" c="Fatima Hendrix"/>
              <i n="[Range].[Client].&amp;[Felipe Hogan]" c="Felipe Hogan"/>
              <i n="[Range].[Client].&amp;[Fernanda Vincent]" c="Fernanda Vincent"/>
              <i n="[Range].[Client].&amp;[Fernando Herring]" c="Fernando Herring"/>
              <i n="[Range].[Client].&amp;[Finley Esparza]" c="Finley Esparza"/>
              <i n="[Range].[Client].&amp;[Finley Phan]" c="Finley Phan"/>
              <i n="[Range].[Client].&amp;[Fiona Reyes]" c="Fiona Reyes"/>
              <i n="[Range].[Client].&amp;[Flora Harvey]" c="Flora Harvey"/>
              <i n="[Range].[Client].&amp;[Flora Howe]" c="Flora Howe"/>
              <i n="[Range].[Client].&amp;[Florence Moore]" c="Florence Moore"/>
              <i n="[Range].[Client].&amp;[Foster Tyler]" c="Foster Tyler"/>
              <i n="[Range].[Client].&amp;[Frances Arias]" c="Frances Arias"/>
              <i n="[Range].[Client].&amp;[Frances Walters]" c="Frances Walters"/>
              <i n="[Range].[Client].&amp;[Francisco Costa]" c="Francisco Costa"/>
              <i n="[Range].[Client].&amp;[Francisco Zhang]" c="Francisco Zhang"/>
              <i n="[Range].[Client].&amp;[Frankie Kent]" c="Frankie Kent"/>
              <i n="[Range].[Client].&amp;[Frankie Zavala]" c="Frankie Zavala"/>
              <i n="[Range].[Client].&amp;[Freya James]" c="Freya James"/>
              <i n="[Range].[Client].&amp;[Freya Schneider]" c="Freya Schneider"/>
              <i n="[Range].[Client].&amp;[Frida Kaur]" c="Frida Kaur"/>
              <i n="[Range].[Client].&amp;[Gabrielle Logan]" c="Gabrielle Logan"/>
              <i n="[Range].[Client].&amp;[Gael Hughes]" c="Gael Hughes"/>
              <i n="[Range].[Client].&amp;[Galilea Horne]" c="Galilea Horne"/>
              <i n="[Range].[Client].&amp;[George Brown]" c="George Brown"/>
              <i n="[Range].[Client].&amp;[Giana Ellis]" c="Giana Ellis"/>
              <i n="[Range].[Client].&amp;[Gianna Blake]" c="Gianna Blake"/>
              <i n="[Range].[Client].&amp;[Gianni Guerra]" c="Gianni Guerra"/>
              <i n="[Range].[Client].&amp;[Giovanni Stokes]" c="Giovanni Stokes"/>
              <i n="[Range].[Client].&amp;[Giuliana Stanton]" c="Giuliana Stanton"/>
              <i n="[Range].[Client].&amp;[Gloria McMillan]" c="Gloria McMillan"/>
              <i n="[Range].[Client].&amp;[Gloria Vance]" c="Gloria Vance"/>
              <i n="[Range].[Client].&amp;[Gordon Nicholson]" c="Gordon Nicholson"/>
              <i n="[Range].[Client].&amp;[Grace Carey]" c="Grace Carey"/>
              <i n="[Range].[Client].&amp;[Grace Poole]" c="Grace Poole"/>
              <i n="[Range].[Client].&amp;[Grady Kirk]" c="Grady Kirk"/>
              <i n="[Range].[Client].&amp;[Grady Thompson]" c="Grady Thompson"/>
              <i n="[Range].[Client].&amp;[Grant Bryan]" c="Grant Bryan"/>
              <i n="[Range].[Client].&amp;[Grant Faulkner]" c="Grant Faulkner"/>
              <i n="[Range].[Client].&amp;[Greta Sexton]" c="Greta Sexton"/>
              <i n="[Range].[Client].&amp;[Guadalupe Wiley]" c="Guadalupe Wiley"/>
              <i n="[Range].[Client].&amp;[Gwen Best]" c="Gwen Best"/>
              <i n="[Range].[Client].&amp;[Gwen Franklin]" c="Gwen Franklin"/>
              <i n="[Range].[Client].&amp;[Gwendolyn Owen]" c="Gwendolyn Owen"/>
              <i n="[Range].[Client].&amp;[Hadlee Griffin]" c="Hadlee Griffin"/>
              <i n="[Range].[Client].&amp;[Hadley Patton]" c="Hadley Patton"/>
              <i n="[Range].[Client].&amp;[Hailey Ayala]" c="Hailey Ayala"/>
              <i n="[Range].[Client].&amp;[Hailey Hawkins]" c="Hailey Hawkins"/>
              <i n="[Range].[Client].&amp;[Haley Costa]" c="Haley Costa"/>
              <i n="[Range].[Client].&amp;[Hana Summers]" c="Hana Summers"/>
              <i n="[Range].[Client].&amp;[Harlan Humphrey]" c="Harlan Humphrey"/>
              <i n="[Range].[Client].&amp;[Harlem Gray]" c="Harlem Gray"/>
              <i n="[Range].[Client].&amp;[Harley Yu]" c="Harley Yu"/>
              <i n="[Range].[Client].&amp;[Harmony Welch]" c="Harmony Welch"/>
              <i n="[Range].[Client].&amp;[Harris Shaffer]" c="Harris Shaffer"/>
              <i n="[Range].[Client].&amp;[Harvey Rivas]" c="Harvey Rivas"/>
              <i n="[Range].[Client].&amp;[Haven Blackburn]" c="Haven Blackburn"/>
              <i n="[Range].[Client].&amp;[Hayden Thornton]" c="Hayden Thornton"/>
              <i n="[Range].[Client].&amp;[Hayes Petersen]" c="Hayes Petersen"/>
              <i n="[Range].[Client].&amp;[Hayley Chang]" c="Hayley Chang"/>
              <i n="[Range].[Client].&amp;[Heath Russell]" c="Heath Russell"/>
              <i n="[Range].[Client].&amp;[Heaven Terrell]" c="Heaven Terrell"/>
              <i n="[Range].[Client].&amp;[Hector Velez]" c="Hector Velez"/>
              <i n="[Range].[Client].&amp;[Helena Collier]" c="Helena Collier"/>
              <i n="[Range].[Client].&amp;[Hendrix Gates]" c="Hendrix Gates"/>
              <i n="[Range].[Client].&amp;[Hendrix Mack]" c="Hendrix Mack"/>
              <i n="[Range].[Client].&amp;[Holden Spears]" c="Holden Spears"/>
              <i n="[Range].[Client].&amp;[Holly Gallagher]" c="Holly Gallagher"/>
              <i n="[Range].[Client].&amp;[Holly Potts]" c="Holly Potts"/>
              <i n="[Range].[Client].&amp;[Houston Villarreal]" c="Houston Villarreal"/>
              <i n="[Range].[Client].&amp;[Hugh Cantu]" c="Hugh Cantu"/>
              <i n="[Range].[Client].&amp;[Hugh Chase]" c="Hugh Chase"/>
              <i n="[Range].[Client].&amp;[Iris Vaughn]" c="Iris Vaughn"/>
              <i n="[Range].[Client].&amp;[Isabela Dean]" c="Isabela Dean"/>
              <i n="[Range].[Client].&amp;[Isabela Kennedy]" c="Isabela Kennedy"/>
              <i n="[Range].[Client].&amp;[Isabella Hartman]" c="Isabella Hartman"/>
              <i n="[Range].[Client].&amp;[Ivan Kent]" c="Ivan Kent"/>
              <i n="[Range].[Client].&amp;[Ivanna Mayo]" c="Ivanna Mayo"/>
              <i n="[Range].[Client].&amp;[Ivory Bonilla]" c="Ivory Bonilla"/>
              <i n="[Range].[Client].&amp;[Ivy Huffman]" c="Ivy Huffman"/>
              <i n="[Range].[Client].&amp;[Jace Pace]" c="Jace Pace"/>
              <i n="[Range].[Client].&amp;[Jack Parks]" c="Jack Parks"/>
              <i n="[Range].[Client].&amp;[Jackson Norris]" c="Jackson Norris"/>
              <i n="[Range].[Client].&amp;[Jacob Cruz]" c="Jacob Cruz"/>
              <i n="[Range].[Client].&amp;[Jacob Hodge]" c="Jacob Hodge"/>
              <i n="[Range].[Client].&amp;[Jacoby Hayes]" c="Jacoby Hayes"/>
              <i n="[Range].[Client].&amp;[Jad Clark]" c="Jad Clark"/>
              <i n="[Range].[Client].&amp;[Jaden Dillon]" c="Jaden Dillon"/>
              <i n="[Range].[Client].&amp;[Jaden Lowe]" c="Jaden Lowe"/>
              <i n="[Range].[Client].&amp;[Jadiel Curtis]" c="Jadiel Curtis"/>
              <i n="[Range].[Client].&amp;[Jaiden Whitney]" c="Jaiden Whitney"/>
              <i n="[Range].[Client].&amp;[Jaime Hurst]" c="Jaime Hurst"/>
              <i n="[Range].[Client].&amp;[Jaime Peck]" c="Jaime Peck"/>
              <i n="[Range].[Client].&amp;[Jair Reilly]" c="Jair Reilly"/>
              <i n="[Range].[Client].&amp;[Jakobe Santiago]" c="Jakobe Santiago"/>
              <i n="[Range].[Client].&amp;[James Shah]" c="James Shah"/>
              <i n="[Range].[Client].&amp;[Jamie Atkins]" c="Jamie Atkins"/>
              <i n="[Range].[Client].&amp;[Jamie Xiong]" c="Jamie Xiong"/>
              <i n="[Range].[Client].&amp;[Jamir Bonilla]" c="Jamir Bonilla"/>
              <i n="[Range].[Client].&amp;[Jamison Horne]" c="Jamison Horne"/>
              <i n="[Range].[Client].&amp;[Jamison Middleton]" c="Jamison Middleton"/>
              <i n="[Range].[Client].&amp;[Jane McGee]" c="Jane McGee"/>
              <i n="[Range].[Client].&amp;[Janiyah Barton]" c="Janiyah Barton"/>
              <i n="[Range].[Client].&amp;[Jasmine Serrano]" c="Jasmine Serrano"/>
              <i n="[Range].[Client].&amp;[Jaxen Kent]" c="Jaxen Kent"/>
              <i n="[Range].[Client].&amp;[Jaxson Campos]" c="Jaxson Campos"/>
              <i n="[Range].[Client].&amp;[Jayce Keith]" c="Jayce Keith"/>
              <i n="[Range].[Client].&amp;[Jayceon Jones]" c="Jayceon Jones"/>
              <i n="[Range].[Client].&amp;[Jaylee Molina]" c="Jaylee Molina"/>
              <i n="[Range].[Client].&amp;[Jazlyn Hickman]" c="Jazlyn Hickman"/>
              <i n="[Range].[Client].&amp;[Jazmine Bartlett]" c="Jazmine Bartlett"/>
              <i n="[Range].[Client].&amp;[Jazmine Ford]" c="Jazmine Ford"/>
              <i n="[Range].[Client].&amp;[Jazmine Olsen]" c="Jazmine Olsen"/>
              <i n="[Range].[Client].&amp;[Jefferson Blanchard]" c="Jefferson Blanchard"/>
              <i n="[Range].[Client].&amp;[Jeffery Booker]" c="Jeffery Booker"/>
              <i n="[Range].[Client].&amp;[Jeffrey Leach]" c="Jeffrey Leach"/>
              <i n="[Range].[Client].&amp;[Jemma Anthony]" c="Jemma Anthony"/>
              <i n="[Range].[Client].&amp;[Jenesis Powers]" c="Jenesis Powers"/>
              <i n="[Range].[Client].&amp;[Jericho Mora]" c="Jericho Mora"/>
              <i n="[Range].[Client].&amp;[Jesse Boyer]" c="Jesse Boyer"/>
              <i n="[Range].[Client].&amp;[Jesus Bond]" c="Jesus Bond"/>
              <i n="[Range].[Client].&amp;[Jesus Wilcox]" c="Jesus Wilcox"/>
              <i n="[Range].[Client].&amp;[Jett Franco]" c="Jett Franco"/>
              <i n="[Range].[Client].&amp;[Jianna Valdez]" c="Jianna Valdez"/>
              <i n="[Range].[Client].&amp;[Jimena Conner]" c="Jimena Conner"/>
              <i n="[Range].[Client].&amp;[Jocelyn Vincent]" c="Jocelyn Vincent"/>
              <i n="[Range].[Client].&amp;[Joey Jaramillo]" c="Joey Jaramillo"/>
              <i n="[Range].[Client].&amp;[Johan Estes]" c="Johan Estes"/>
              <i n="[Range].[Client].&amp;[John House]" c="John House"/>
              <i n="[Range].[Client].&amp;[Johnny Wong]" c="Johnny Wong"/>
              <i n="[Range].[Client].&amp;[Jolene Navarro]" c="Jolene Navarro"/>
              <i n="[Range].[Client].&amp;[Jordan Holt]" c="Jordan Holt"/>
              <i n="[Range].[Client].&amp;[Jose Copeland]" c="Jose Copeland"/>
              <i n="[Range].[Client].&amp;[Jose Portillo]" c="Jose Portillo"/>
              <i n="[Range].[Client].&amp;[Josephine White]" c="Josephine White"/>
              <i n="[Range].[Client].&amp;[Joshua Gillespie]" c="Joshua Gillespie"/>
              <i n="[Range].[Client].&amp;[Joshua Villalobos]" c="Joshua Villalobos"/>
              <i n="[Range].[Client].&amp;[Josie Rosales]" c="Josie Rosales"/>
              <i n="[Range].[Client].&amp;[Journi Moran]" c="Journi Moran"/>
              <i n="[Range].[Client].&amp;[Jovanni Perez]" c="Jovanni Perez"/>
              <i n="[Range].[Client].&amp;[Joyce Weaver]" c="Joyce Weaver"/>
              <i n="[Range].[Client].&amp;[Judah Scott]" c="Judah Scott"/>
              <i n="[Range].[Client].&amp;[Jude Savage]" c="Jude Savage"/>
              <i n="[Range].[Client].&amp;[Judith Le]" c="Judith Le"/>
              <i n="[Range].[Client].&amp;[Juelz Dodson]" c="Juelz Dodson"/>
              <i n="[Range].[Client].&amp;[Julia Hahn]" c="Julia Hahn"/>
              <i n="[Range].[Client].&amp;[Juliana Shah]" c="Juliana Shah"/>
              <i n="[Range].[Client].&amp;[Julianna Howell]" c="Julianna Howell"/>
              <i n="[Range].[Client].&amp;[Julianna Williams]" c="Julianna Williams"/>
              <i n="[Range].[Client].&amp;[Julio Whitney]" c="Julio Whitney"/>
              <i n="[Range].[Client].&amp;[Julius Esquivel]" c="Julius Esquivel"/>
              <i n="[Range].[Client].&amp;[Julius Rasmussen]" c="Julius Rasmussen"/>
              <i n="[Range].[Client].&amp;[June Rogers]" c="June Rogers"/>
              <i n="[Range].[Client].&amp;[Justice Magana]" c="Justice Magana"/>
              <i n="[Range].[Client].&amp;[Kabir Berry]" c="Kabir Berry"/>
              <i n="[Range].[Client].&amp;[Kabir Roach]" c="Kabir Roach"/>
              <i n="[Range].[Client].&amp;[Kace Arnold]" c="Kace Arnold"/>
              <i n="[Range].[Client].&amp;[Kade Berger]" c="Kade Berger"/>
              <i n="[Range].[Client].&amp;[Kaiden Hendricks]" c="Kaiden Hendricks"/>
              <i n="[Range].[Client].&amp;[Kairi Lynch]" c="Kairi Lynch"/>
              <i n="[Range].[Client].&amp;[Kaiser Patton]" c="Kaiser Patton"/>
              <i n="[Range].[Client].&amp;[Kaisley Barr]" c="Kaisley Barr"/>
              <i n="[Range].[Client].&amp;[Kalel Mejia]" c="Kalel Mejia"/>
              <i n="[Range].[Client].&amp;[Kaliyah Chase]" c="Kaliyah Chase"/>
              <i n="[Range].[Client].&amp;[Kamari Proctor]" c="Kamari Proctor"/>
              <i n="[Range].[Client].&amp;[Kameron Bean]" c="Kameron Bean"/>
              <i n="[Range].[Client].&amp;[Kameron Ford]" c="Kameron Ford"/>
              <i n="[Range].[Client].&amp;[Kamilah Padilla]" c="Kamilah Padilla"/>
              <i n="[Range].[Client].&amp;[Kamilah Richmond]" c="Kamilah Richmond"/>
              <i n="[Range].[Client].&amp;[Kamryn Baldwin]" c="Kamryn Baldwin"/>
              <i n="[Range].[Client].&amp;[Kane Compton]" c="Kane Compton"/>
              <i n="[Range].[Client].&amp;[Kannon Franco]" c="Kannon Franco"/>
              <i n="[Range].[Client].&amp;[Karla Whitaker]" c="Karla Whitaker"/>
              <i n="[Range].[Client].&amp;[Karson Wise]" c="Karson Wise"/>
              <i n="[Range].[Client].&amp;[Karsyn Hunt]" c="Karsyn Hunt"/>
              <i n="[Range].[Client].&amp;[Kase Lane]" c="Kase Lane"/>
              <i n="[Range].[Client].&amp;[Kasen Shaffer]" c="Kasen Shaffer"/>
              <i n="[Range].[Client].&amp;[Kasen Zavala]" c="Kasen Zavala"/>
              <i n="[Range].[Client].&amp;[Kash Conway]" c="Kash Conway"/>
              <i n="[Range].[Client].&amp;[Kashton Santos]" c="Kashton Santos"/>
              <i n="[Range].[Client].&amp;[Kashton Summers]" c="Kashton Summers"/>
              <i n="[Range].[Client].&amp;[Katelyn Singh]" c="Katelyn Singh"/>
              <i n="[Range].[Client].&amp;[Kathryn Keller]" c="Kathryn Keller"/>
              <i n="[Range].[Client].&amp;[Kayden Garrison]" c="Kayden Garrison"/>
              <i n="[Range].[Client].&amp;[Kaylani Solomon]" c="Kaylani Solomon"/>
              <i n="[Range].[Client].&amp;[Kayson Poole]" c="Kayson Poole"/>
              <i n="[Range].[Client].&amp;[Keaton Ramirez]" c="Keaton Ramirez"/>
              <i n="[Range].[Client].&amp;[Keaton Rangel]" c="Keaton Rangel"/>
              <i n="[Range].[Client].&amp;[Keegan Peters]" c="Keegan Peters"/>
              <i n="[Range].[Client].&amp;[Keenan Weaver]" c="Keenan Weaver"/>
              <i n="[Range].[Client].&amp;[Keily Paul]" c="Keily Paul"/>
              <i n="[Range].[Client].&amp;[Keith Francis]" c="Keith Francis"/>
              <i n="[Range].[Client].&amp;[Kellan Padilla]" c="Kellan Padilla"/>
              <i n="[Range].[Client].&amp;[Kellen Roberts]" c="Kellen Roberts"/>
              <i n="[Range].[Client].&amp;[Kendall Saunders]" c="Kendall Saunders"/>
              <i n="[Range].[Client].&amp;[Kendra Moore]" c="Kendra Moore"/>
              <i n="[Range].[Client].&amp;[Kendra Richmond]" c="Kendra Richmond"/>
              <i n="[Range].[Client].&amp;[Kenia Berger]" c="Kenia Berger"/>
              <i n="[Range].[Client].&amp;[Kenji Meyer]" c="Kenji Meyer"/>
              <i n="[Range].[Client].&amp;[Kenneth Foley]" c="Kenneth Foley"/>
              <i n="[Range].[Client].&amp;[Khalil Freeman]" c="Khalil Freeman"/>
              <i n="[Range].[Client].&amp;[Khalil Moore]" c="Khalil Moore"/>
              <i n="[Range].[Client].&amp;[Khloe Dillon]" c="Khloe Dillon"/>
              <i n="[Range].[Client].&amp;[Kimber Ramirez]" c="Kimber Ramirez"/>
              <i n="[Range].[Client].&amp;[Kimora Jones]" c="Kimora Jones"/>
              <i n="[Range].[Client].&amp;[Kimora Morrow]" c="Kimora Morrow"/>
              <i n="[Range].[Client].&amp;[King Fernandez]" c="King Fernandez"/>
              <i n="[Range].[Client].&amp;[Kingston Bryan]" c="Kingston Bryan"/>
              <i n="[Range].[Client].&amp;[Kingston Correa]" c="Kingston Correa"/>
              <i n="[Range].[Client].&amp;[Kinslee Blake]" c="Kinslee Blake"/>
              <i n="[Range].[Client].&amp;[Koa Jackson]" c="Koa Jackson"/>
              <i n="[Range].[Client].&amp;[Koda Porter]" c="Koda Porter"/>
              <i n="[Range].[Client].&amp;[Kody Sosa]" c="Kody Sosa"/>
              <i n="[Range].[Client].&amp;[Kole Case]" c="Kole Case"/>
              <i n="[Range].[Client].&amp;[Kora Leblanc]" c="Kora Leblanc"/>
              <i n="[Range].[Client].&amp;[Korbyn Faulkner]" c="Korbyn Faulkner"/>
              <i n="[Range].[Client].&amp;[Kristian Bullock]" c="Kristian Bullock"/>
              <i n="[Range].[Client].&amp;[Kristian Levy]" c="Kristian Levy"/>
              <i n="[Range].[Client].&amp;[Kristopher Hull]" c="Kristopher Hull"/>
              <i n="[Range].[Client].&amp;[Kye Carson]" c="Kye Carson"/>
              <i n="[Range].[Client].&amp;[Kylan Ventura]" c="Kylan Ventura"/>
              <i n="[Range].[Client].&amp;[Kyle Stark]" c="Kyle Stark"/>
              <i n="[Range].[Client].&amp;[Kyleigh Spears]" c="Kyleigh Spears"/>
              <i n="[Range].[Client].&amp;[Kylen Rodgers]" c="Kylen Rodgers"/>
              <i n="[Range].[Client].&amp;[Kyler Fleming]" c="Kyler Fleming"/>
              <i n="[Range].[Client].&amp;[Kylie Greer]" c="Kylie Greer"/>
              <i n="[Range].[Client].&amp;[Kynlee Stephens]" c="Kynlee Stephens"/>
              <i n="[Range].[Client].&amp;[Kyree Rowe]" c="Kyree Rowe"/>
              <i n="[Range].[Client].&amp;[Kyree Velez]" c="Kyree Velez"/>
              <i n="[Range].[Client].&amp;[Kyson Choi]" c="Kyson Choi"/>
              <i n="[Range].[Client].&amp;[Lacey Blair]" c="Lacey Blair"/>
              <i n="[Range].[Client].&amp;[Lainey Gutierrez]" c="Lainey Gutierrez"/>
              <i n="[Range].[Client].&amp;[Lainey Owen]" c="Lainey Owen"/>
              <i n="[Range].[Client].&amp;[Landon Howell]" c="Landon Howell"/>
              <i n="[Range].[Client].&amp;[Landry Bernard]" c="Landry Bernard"/>
              <i n="[Range].[Client].&amp;[Landyn Lamb]" c="Landyn Lamb"/>
              <i n="[Range].[Client].&amp;[Laney Robertson]" c="Laney Robertson"/>
              <i n="[Range].[Client].&amp;[Lara Todd]" c="Lara Todd"/>
              <i n="[Range].[Client].&amp;[Larry Black]" c="Larry Black"/>
              <i n="[Range].[Client].&amp;[Larry Crane]" c="Larry Crane"/>
              <i n="[Range].[Client].&amp;[Laura Lara]" c="Laura Lara"/>
              <i n="[Range].[Client].&amp;[Laura Tucker]" c="Laura Tucker"/>
              <i n="[Range].[Client].&amp;[Laurel Wilkins]" c="Laurel Wilkins"/>
              <i n="[Range].[Client].&amp;[Lawrence Cochran]" c="Lawrence Cochran"/>
              <i n="[Range].[Client].&amp;[Layla Branch]" c="Layla Branch"/>
              <i n="[Range].[Client].&amp;[Layla Cook]" c="Layla Cook"/>
              <i n="[Range].[Client].&amp;[Laylah Trevino]" c="Laylah Trevino"/>
              <i n="[Range].[Client].&amp;[Layne Marin]" c="Layne Marin"/>
              <i n="[Range].[Client].&amp;[Ledger Potts]" c="Ledger Potts"/>
              <i n="[Range].[Client].&amp;[Legacy Lynn]" c="Legacy Lynn"/>
              <i n="[Range].[Client].&amp;[Legend Dodson]" c="Legend Dodson"/>
              <i n="[Range].[Client].&amp;[Leighton Salazar]" c="Leighton Salazar"/>
              <i n="[Range].[Client].&amp;[Leila Guerra]" c="Leila Guerra"/>
              <i n="[Range].[Client].&amp;[Leilani Pollard]" c="Leilani Pollard"/>
              <i n="[Range].[Client].&amp;[Leland Christian]" c="Leland Christian"/>
              <i n="[Range].[Client].&amp;[Leland Hebert]" c="Leland Hebert"/>
              <i n="[Range].[Client].&amp;[Lennox Duarte]" c="Lennox Duarte"/>
              <i n="[Range].[Client].&amp;[Leonardo Hodges]" c="Leonardo Hodges"/>
              <i n="[Range].[Client].&amp;[Leroy Arias]" c="Leroy Arias"/>
              <i n="[Range].[Client].&amp;[Leslie Lee]" c="Leslie Lee"/>
              <i n="[Range].[Client].&amp;[Levi Baxter]" c="Levi Baxter"/>
              <i n="[Range].[Client].&amp;[Levi Page]" c="Levi Page"/>
              <i n="[Range].[Client].&amp;[Levi Parks]" c="Levi Parks"/>
              <i n="[Range].[Client].&amp;[Lexi Huerta]" c="Lexi Huerta"/>
              <i n="[Range].[Client].&amp;[Liberty Quintero]" c="Liberty Quintero"/>
              <i n="[Range].[Client].&amp;[Liberty Valencia]" c="Liberty Valencia"/>
              <i n="[Range].[Client].&amp;[Lilah Garza]" c="Lilah Garza"/>
              <i n="[Range].[Client].&amp;[Lilian Page]" c="Lilian Page"/>
              <i n="[Range].[Client].&amp;[Lilith Doyle]" c="Lilith Doyle"/>
              <i n="[Range].[Client].&amp;[Lina Richmond]" c="Lina Richmond"/>
              <i n="[Range].[Client].&amp;[Linda Brock]" c="Linda Brock"/>
              <i n="[Range].[Client].&amp;[Linda Rowland]" c="Linda Rowland"/>
              <i n="[Range].[Client].&amp;[Liv Cisneros]" c="Liv Cisneros"/>
              <i n="[Range].[Client].&amp;[Liv Ryan]" c="Liv Ryan"/>
              <i n="[Range].[Client].&amp;[Logan Carr]" c="Logan Carr"/>
              <i n="[Range].[Client].&amp;[Logan Coleman]" c="Logan Coleman"/>
              <i n="[Range].[Client].&amp;[Lola Larsen]" c="Lola Larsen"/>
              <i n="[Range].[Client].&amp;[London Giles]" c="London Giles"/>
              <i n="[Range].[Client].&amp;[Lorelai Daniel]" c="Lorelai Daniel"/>
              <i n="[Range].[Client].&amp;[Lorelei Alexander]" c="Lorelei Alexander"/>
              <i n="[Range].[Client].&amp;[Lorelei Osborne]" c="Lorelei Osborne"/>
              <i n="[Range].[Client].&amp;[Louis Day]" c="Louis Day"/>
              <i n="[Range].[Client].&amp;[Louis Frazier]" c="Louis Frazier"/>
              <i n="[Range].[Client].&amp;[Louise Alvarado]" c="Louise Alvarado"/>
              <i n="[Range].[Client].&amp;[Louise Neal]" c="Louise Neal"/>
              <i n="[Range].[Client].&amp;[Luca Vance]" c="Luca Vance"/>
              <i n="[Range].[Client].&amp;[Lucca Bass]" c="Lucca Bass"/>
              <i n="[Range].[Client].&amp;[Lucca Maldonado]" c="Lucca Maldonado"/>
              <i n="[Range].[Client].&amp;[Luis Gibbs]" c="Luis Gibbs"/>
              <i n="[Range].[Client].&amp;[Luis Nunez]" c="Luis Nunez"/>
              <i n="[Range].[Client].&amp;[Lyanna Weber]" c="Lyanna Weber"/>
              <i n="[Range].[Client].&amp;[Lydia Walls]" c="Lydia Walls"/>
              <i n="[Range].[Client].&amp;[Lyla Waller]" c="Lyla Waller"/>
              <i n="[Range].[Client].&amp;[Lylah Arroyo]" c="Lylah Arroyo"/>
              <i n="[Range].[Client].&amp;[Lyra McIntosh]" c="Lyra McIntosh"/>
              <i n="[Range].[Client].&amp;[Madalyn Francis]" c="Madalyn Francis"/>
              <i n="[Range].[Client].&amp;[Madalyn Lynn]" c="Madalyn Lynn"/>
              <i n="[Range].[Client].&amp;[Madalynn Hester]" c="Madalynn Hester"/>
              <i n="[Range].[Client].&amp;[Madalynn Long]" c="Madalynn Long"/>
              <i n="[Range].[Client].&amp;[Madalynn Potter]" c="Madalynn Potter"/>
              <i n="[Range].[Client].&amp;[Madalynn Prince]" c="Madalynn Prince"/>
              <i n="[Range].[Client].&amp;[Madden Suarez]" c="Madden Suarez"/>
              <i n="[Range].[Client].&amp;[Maddison Townsend]" c="Maddison Townsend"/>
              <i n="[Range].[Client].&amp;[Madeleine Allen]" c="Madeleine Allen"/>
              <i n="[Range].[Client].&amp;[Madeleine Giles]" c="Madeleine Giles"/>
              <i n="[Range].[Client].&amp;[Madison Correa]" c="Madison Correa"/>
              <i n="[Range].[Client].&amp;[Magdalena Nicholson]" c="Magdalena Nicholson"/>
              <i n="[Range].[Client].&amp;[Maggie Bailey]" c="Maggie Bailey"/>
              <i n="[Range].[Client].&amp;[Maggie Cervantes]" c="Maggie Cervantes"/>
              <i n="[Range].[Client].&amp;[Maggie Hale]" c="Maggie Hale"/>
              <i n="[Range].[Client].&amp;[Magnus Patrick]" c="Magnus Patrick"/>
              <i n="[Range].[Client].&amp;[Maia Hahn]" c="Maia Hahn"/>
              <i n="[Range].[Client].&amp;[Maisie Lane]" c="Maisie Lane"/>
              <i n="[Range].[Client].&amp;[Maison Duran]" c="Maison Duran"/>
              <i n="[Range].[Client].&amp;[Major Levy]" c="Major Levy"/>
              <i n="[Range].[Client].&amp;[Makayla Marsh]" c="Makayla Marsh"/>
              <i n="[Range].[Client].&amp;[Makenna Ochoa]" c="Makenna Ochoa"/>
              <i n="[Range].[Client].&amp;[Makenna Shields]" c="Makenna Shields"/>
              <i n="[Range].[Client].&amp;[Malachi Lin]" c="Malachi Lin"/>
              <i n="[Range].[Client].&amp;[Malia Graham]" c="Malia Graham"/>
              <i n="[Range].[Client].&amp;[Malik Short]" c="Malik Short"/>
              <i n="[Range].[Client].&amp;[Mallory Lopez]" c="Mallory Lopez"/>
              <i n="[Range].[Client].&amp;[Mallory Sweeney]" c="Mallory Sweeney"/>
              <i n="[Range].[Client].&amp;[Marcelo Alfaro]" c="Marcelo Alfaro"/>
              <i n="[Range].[Client].&amp;[Marco Watson]" c="Marco Watson"/>
              <i n="[Range].[Client].&amp;[Marcos Butler]" c="Marcos Butler"/>
              <i n="[Range].[Client].&amp;[Maren Kline]" c="Maren Kline"/>
              <i n="[Range].[Client].&amp;[Mariam Proctor]" c="Mariam Proctor"/>
              <i n="[Range].[Client].&amp;[Mariana Koch]" c="Mariana Koch"/>
              <i n="[Range].[Client].&amp;[Mariana Lambert]" c="Mariana Lambert"/>
              <i n="[Range].[Client].&amp;[Mario Aguilar]" c="Mario Aguilar"/>
              <i n="[Range].[Client].&amp;[Mario Ayers]" c="Mario Ayers"/>
              <i n="[Range].[Client].&amp;[Marleigh Knight]" c="Marleigh Knight"/>
              <i n="[Range].[Client].&amp;[Marley Hudson]" c="Marley Hudson"/>
              <i n="[Range].[Client].&amp;[Marley Webb]" c="Marley Webb"/>
              <i n="[Range].[Client].&amp;[Marlowe Garcia]" c="Marlowe Garcia"/>
              <i n="[Range].[Client].&amp;[Marlowe Guerra]" c="Marlowe Guerra"/>
              <i n="[Range].[Client].&amp;[Martha McCoy]" c="Martha McCoy"/>
              <i n="[Range].[Client].&amp;[Martin May]" c="Martin May"/>
              <i n="[Range].[Client].&amp;[Mary Lin]" c="Mary Lin"/>
              <i n="[Range].[Client].&amp;[Mary Reese]" c="Mary Reese"/>
              <i n="[Range].[Client].&amp;[Maryam Watkins]" c="Maryam Watkins"/>
              <i n="[Range].[Client].&amp;[Mathew Marquez]" c="Mathew Marquez"/>
              <i n="[Range].[Client].&amp;[Matias Dean]" c="Matias Dean"/>
              <i n="[Range].[Client].&amp;[Matilda Berg]" c="Matilda Berg"/>
              <i n="[Range].[Client].&amp;[Maverick Mack]" c="Maverick Mack"/>
              <i n="[Range].[Client].&amp;[Maximus Powell]" c="Maximus Powell"/>
              <i n="[Range].[Client].&amp;[Maxine Curtis]" c="Maxine Curtis"/>
              <i n="[Range].[Client].&amp;[Maxine Stark]" c="Maxine Stark"/>
              <i n="[Range].[Client].&amp;[Maxwell Ortega]" c="Maxwell Ortega"/>
              <i n="[Range].[Client].&amp;[Mccoy Rice]" c="Mccoy Rice"/>
              <i n="[Range].[Client].&amp;[Mckenna Yoder]" c="Mckenna Yoder"/>
              <i n="[Range].[Client].&amp;[Megan Day]" c="Megan Day"/>
              <i n="[Range].[Client].&amp;[Megan Knight]" c="Megan Knight"/>
              <i n="[Range].[Client].&amp;[Mekhi Hickman]" c="Mekhi Hickman"/>
              <i n="[Range].[Client].&amp;[Mekhi Ruiz]" c="Mekhi Ruiz"/>
              <i n="[Range].[Client].&amp;[Melani Ho]" c="Melani Ho"/>
              <i n="[Range].[Client].&amp;[Melina Wood]" c="Melina Wood"/>
              <i n="[Range].[Client].&amp;[Melissa Banks]" c="Melissa Banks"/>
              <i n="[Range].[Client].&amp;[Mercy Garner]" c="Mercy Garner"/>
              <i n="[Range].[Client].&amp;[Meredith Maynard]" c="Meredith Maynard"/>
              <i n="[Range].[Client].&amp;[Meredith Olson]" c="Meredith Olson"/>
              <i n="[Range].[Client].&amp;[Meredith Weiss]" c="Meredith Weiss"/>
              <i n="[Range].[Client].&amp;[Meredith Wheeler]" c="Meredith Wheeler"/>
              <i n="[Range].[Client].&amp;[Messiah Greene]" c="Messiah Greene"/>
              <i n="[Range].[Client].&amp;[Mia Hurst]" c="Mia Hurst"/>
              <i n="[Range].[Client].&amp;[Micah Livingston]" c="Micah Livingston"/>
              <i n="[Range].[Client].&amp;[Michael Meza]" c="Michael Meza"/>
              <i n="[Range].[Client].&amp;[Michelle Rush]" c="Michelle Rush"/>
              <i n="[Range].[Client].&amp;[Mikayla Mathews]" c="Mikayla Mathews"/>
              <i n="[Range].[Client].&amp;[Milan Andrade]" c="Milan Andrade"/>
              <i n="[Range].[Client].&amp;[Milani McIntosh]" c="Milani McIntosh"/>
              <i n="[Range].[Client].&amp;[Milena Lim]" c="Milena Lim"/>
              <i n="[Range].[Client].&amp;[Mira Marshall]" c="Mira Marshall"/>
              <i n="[Range].[Client].&amp;[Miranda Sherman]" c="Miranda Sherman"/>
              <i n="[Range].[Client].&amp;[Moises Montoya]" c="Moises Montoya"/>
              <i n="[Range].[Client].&amp;[Molly Vazquez]" c="Molly Vazquez"/>
              <i n="[Range].[Client].&amp;[Monica Cantrell]" c="Monica Cantrell"/>
              <i n="[Range].[Client].&amp;[Mordechai Bridges]" c="Mordechai Bridges"/>
              <i n="[Range].[Client].&amp;[Mordechai Hammond]" c="Mordechai Hammond"/>
              <i n="[Range].[Client].&amp;[Mordechai Valentine]" c="Mordechai Valentine"/>
              <i n="[Range].[Client].&amp;[Morgan Dennis]" c="Morgan Dennis"/>
              <i n="[Range].[Client].&amp;[Morgan Simpson]" c="Morgan Simpson"/>
              <i n="[Range].[Client].&amp;[Muhammad Kirk]" c="Muhammad Kirk"/>
              <i n="[Range].[Client].&amp;[Musa Schneider]" c="Musa Schneider"/>
              <i n="[Range].[Client].&amp;[Mya Barton]" c="Mya Barton"/>
              <i n="[Range].[Client].&amp;[Mya Snow]" c="Mya Snow"/>
              <i n="[Range].[Client].&amp;[Myla Felix]" c="Myla Felix"/>
              <i n="[Range].[Client].&amp;[Myla Macdonald]" c="Myla Macdonald"/>
              <i n="[Range].[Client].&amp;[Mylo Berry]" c="Mylo Berry"/>
              <i n="[Range].[Client].&amp;[Nadia Cain]" c="Nadia Cain"/>
              <i n="[Range].[Client].&amp;[Nadia Enriquez]" c="Nadia Enriquez"/>
              <i n="[Range].[Client].&amp;[Nalani Simon]" c="Nalani Simon"/>
              <i n="[Range].[Client].&amp;[Nash McDonald]" c="Nash McDonald"/>
              <i n="[Range].[Client].&amp;[Natalie Villarreal]" c="Natalie Villarreal"/>
              <i n="[Range].[Client].&amp;[Nataly Copeland]" c="Nataly Copeland"/>
              <i n="[Range].[Client].&amp;[Nataly Flynn]" c="Nataly Flynn"/>
              <i n="[Range].[Client].&amp;[Natasha Blake]" c="Natasha Blake"/>
              <i n="[Range].[Client].&amp;[Nathalia Hayden]" c="Nathalia Hayden"/>
              <i n="[Range].[Client].&amp;[Nathalie Burnett]" c="Nathalie Burnett"/>
              <i n="[Range].[Client].&amp;[Nathalie Wood]" c="Nathalie Wood"/>
              <i n="[Range].[Client].&amp;[Navy Suarez]" c="Navy Suarez"/>
              <i n="[Range].[Client].&amp;[Neil Chavez]" c="Neil Chavez"/>
              <i n="[Range].[Client].&amp;[Nevaeh McCullough]" c="Nevaeh McCullough"/>
              <i n="[Range].[Client].&amp;[Nia Rocha]" c="Nia Rocha"/>
              <i n="[Range].[Client].&amp;[Nico Morrow]" c="Nico Morrow"/>
              <i n="[Range].[Client].&amp;[Niko Collier]" c="Niko Collier"/>
              <i n="[Range].[Client].&amp;[Nikolai Lloyd]" c="Nikolai Lloyd"/>
              <i n="[Range].[Client].&amp;[Nixon Becker]" c="Nixon Becker"/>
              <i n="[Range].[Client].&amp;[Noel Hines]" c="Noel Hines"/>
              <i n="[Range].[Client].&amp;[Norah Reese]" c="Norah Reese"/>
              <i n="[Range].[Client].&amp;[Nova Estrada]" c="Nova Estrada"/>
              <i n="[Range].[Client].&amp;[Nyla Stuart]" c="Nyla Stuart"/>
              <i n="[Range].[Client].&amp;[Nyomi Cano]" c="Nyomi Cano"/>
              <i n="[Range].[Client].&amp;[Oakley Fitzgerald]" c="Oakley Fitzgerald"/>
              <i n="[Range].[Client].&amp;[Octavia Anderson]" c="Octavia Anderson"/>
              <i n="[Range].[Client].&amp;[Octavia Anthony]" c="Octavia Anthony"/>
              <i n="[Range].[Client].&amp;[Octavia Daniel]" c="Octavia Daniel"/>
              <i n="[Range].[Client].&amp;[Olive Todd]" c="Olive Todd"/>
              <i n="[Range].[Client].&amp;[Oliver Sanchez]" c="Oliver Sanchez"/>
              <i n="[Range].[Client].&amp;[Olivia Peters]" c="Olivia Peters"/>
              <i n="[Range].[Client].&amp;[Omari Monroe]" c="Omari Monroe"/>
              <i n="[Range].[Client].&amp;[Onyx Simmons]" c="Onyx Simmons"/>
              <i n="[Range].[Client].&amp;[Otis Taylor]" c="Otis Taylor"/>
              <i n="[Range].[Client].&amp;[Pablo Gregory]" c="Pablo Gregory"/>
              <i n="[Range].[Client].&amp;[Pablo Lucas]" c="Pablo Lucas"/>
              <i n="[Range].[Client].&amp;[Paisley Baxter]" c="Paisley Baxter"/>
              <i n="[Range].[Client].&amp;[Palmer Stein]" c="Palmer Stein"/>
              <i n="[Range].[Client].&amp;[Paris Ware]" c="Paris Ware"/>
              <i n="[Range].[Client].&amp;[Parker Singh]" c="Parker Singh"/>
              <i n="[Range].[Client].&amp;[Patrick Le]" c="Patrick Le"/>
              <i n="[Range].[Client].&amp;[Paul Grant]" c="Paul Grant"/>
              <i n="[Range].[Client].&amp;[Penelope Santos]" c="Penelope Santos"/>
              <i n="[Range].[Client].&amp;[Penny Peterson]" c="Penny Peterson"/>
              <i n="[Range].[Client].&amp;[Peter Hunter]" c="Peter Hunter"/>
              <i n="[Range].[Client].&amp;[Peyton Christian]" c="Peyton Christian"/>
              <i n="[Range].[Client].&amp;[Peyton Fletcher]" c="Peyton Fletcher"/>
              <i n="[Range].[Client].&amp;[Peyton McCullough]" c="Peyton McCullough"/>
              <i n="[Range].[Client].&amp;[Peyton Strickland]" c="Peyton Strickland"/>
              <i n="[Range].[Client].&amp;[Phillip Barron]" c="Phillip Barron"/>
              <i n="[Range].[Client].&amp;[Phoenix Bush]" c="Phoenix Bush"/>
              <i n="[Range].[Client].&amp;[Poppy Fuller]" c="Poppy Fuller"/>
              <i n="[Range].[Client].&amp;[Presley Morrow]" c="Presley Morrow"/>
              <i n="[Range].[Client].&amp;[Prince Decker]" c="Prince Decker"/>
              <i n="[Range].[Client].&amp;[Princess Parks]" c="Princess Parks"/>
              <i n="[Range].[Client].&amp;[Princeton Castro]" c="Princeton Castro"/>
              <i n="[Range].[Client].&amp;[Queen Hess]" c="Queen Hess"/>
              <i n="[Range].[Client].&amp;[Quincy Blackburn]" c="Quincy Blackburn"/>
              <i n="[Range].[Client].&amp;[Quincy Colon]" c="Quincy Colon"/>
              <i n="[Range].[Client].&amp;[Quinn Allen]" c="Quinn Allen"/>
              <i n="[Range].[Client].&amp;[Quinn Spencer]" c="Quinn Spencer"/>
              <i n="[Range].[Client].&amp;[Raelynn Fowler]" c="Raelynn Fowler"/>
              <i n="[Range].[Client].&amp;[Rafael Cain]" c="Rafael Cain"/>
              <i n="[Range].[Client].&amp;[Raiden Whitney]" c="Raiden Whitney"/>
              <i n="[Range].[Client].&amp;[Ramon Arnold]" c="Ramon Arnold"/>
              <i n="[Range].[Client].&amp;[Ramon Callahan]" c="Ramon Callahan"/>
              <i n="[Range].[Client].&amp;[Rayan Gentry]" c="Rayan Gentry"/>
              <i n="[Range].[Client].&amp;[Raylan Dean]" c="Raylan Dean"/>
              <i n="[Range].[Client].&amp;[Raylan Hanson]" c="Raylan Hanson"/>
              <i n="[Range].[Client].&amp;[Raymond Hubbard]" c="Raymond Hubbard"/>
              <i n="[Range].[Client].&amp;[Reagan McDaniel]" c="Reagan McDaniel"/>
              <i n="[Range].[Client].&amp;[Reese Frazier]" c="Reese Frazier"/>
              <i n="[Range].[Client].&amp;[Regina Klein]" c="Regina Klein"/>
              <i n="[Range].[Client].&amp;[Reid Buchanan]" c="Reid Buchanan"/>
              <i n="[Range].[Client].&amp;[Reid Estes]" c="Reid Estes"/>
              <i n="[Range].[Client].&amp;[Remi Doyle]" c="Remi Doyle"/>
              <i n="[Range].[Client].&amp;[Remy Anderson]" c="Remy Anderson"/>
              <i n="[Range].[Client].&amp;[Remy Morse]" c="Remy Morse"/>
              <i n="[Range].[Client].&amp;[Remy White]" c="Remy White"/>
              <i n="[Range].[Client].&amp;[Remy Wyatt]" c="Remy Wyatt"/>
              <i n="[Range].[Client].&amp;[Rene Rhodes]" c="Rene Rhodes"/>
              <i n="[Range].[Client].&amp;[Reuben Portillo]" c="Reuben Portillo"/>
              <i n="[Range].[Client].&amp;[Rey Boone]" c="Rey Boone"/>
              <i n="[Range].[Client].&amp;[Rey Zuniga]" c="Rey Zuniga"/>
              <i n="[Range].[Client].&amp;[Reyna Walton]" c="Reyna Walton"/>
              <i n="[Range].[Client].&amp;[Rhea Chen]" c="Rhea Chen"/>
              <i n="[Range].[Client].&amp;[Rhett Blankenship]" c="Rhett Blankenship"/>
              <i n="[Range].[Client].&amp;[Ricky Fletcher]" c="Ricky Fletcher"/>
              <i n="[Range].[Client].&amp;[Ricky Ross]" c="Ricky Ross"/>
              <i n="[Range].[Client].&amp;[Riley Hughes]" c="Riley Hughes"/>
              <i n="[Range].[Client].&amp;[Robert Trujillo]" c="Robert Trujillo"/>
              <i n="[Range].[Client].&amp;[Robin Knapp]" c="Robin Knapp"/>
              <i n="[Range].[Client].&amp;[Robin Phelps]" c="Robin Phelps"/>
              <i n="[Range].[Client].&amp;[Robin Thomas]" c="Robin Thomas"/>
              <i n="[Range].[Client].&amp;[Rocco Sellers]" c="Rocco Sellers"/>
              <i n="[Range].[Client].&amp;[Rocky Gilbert]" c="Rocky Gilbert"/>
              <i n="[Range].[Client].&amp;[Rodney Williamson]" c="Rodney Williamson"/>
              <i n="[Range].[Client].&amp;[Rodrigo Cline]" c="Rodrigo Cline"/>
              <i n="[Range].[Client].&amp;[Rohan Dunn]" c="Rohan Dunn"/>
              <i n="[Range].[Client].&amp;[Rohan Rocha]" c="Rohan Rocha"/>
              <i n="[Range].[Client].&amp;[Roman Mathews]" c="Roman Mathews"/>
              <i n="[Range].[Client].&amp;[Rome Moreno]" c="Rome Moreno"/>
              <i n="[Range].[Client].&amp;[Romina Beil]" c="Romina Beil"/>
              <i n="[Range].[Client].&amp;[Ronan McLaughlin]" c="Ronan McLaughlin"/>
              <i n="[Range].[Client].&amp;[Rosa Stokes]" c="Rosa Stokes"/>
              <i n="[Range].[Client].&amp;[Rosalee Bowman]" c="Rosalee Bowman"/>
              <i n="[Range].[Client].&amp;[Rosalee Fowler]" c="Rosalee Fowler"/>
              <i n="[Range].[Client].&amp;[Rosalee Kirk]" c="Rosalee Kirk"/>
              <i n="[Range].[Client].&amp;[Rosalia Hinton]" c="Rosalia Hinton"/>
              <i n="[Range].[Client].&amp;[Rosalyn Gates]" c="Rosalyn Gates"/>
              <i n="[Range].[Client].&amp;[Rosie Alfaro]" c="Rosie Alfaro"/>
              <i n="[Range].[Client].&amp;[Rowan Carlson]" c="Rowan Carlson"/>
              <i n="[Range].[Client].&amp;[Royalty Boyd]" c="Royalty Boyd"/>
              <i n="[Range].[Client].&amp;[Royce Macdonald]" c="Royce Macdonald"/>
              <i n="[Range].[Client].&amp;[Ryann Baker]" c="Ryann Baker"/>
              <i n="[Range].[Client].&amp;[Ryann Taylor]" c="Ryann Taylor"/>
              <i n="[Range].[Client].&amp;[Rylan Combs]" c="Rylan Combs"/>
              <i n="[Range].[Client].&amp;[Ryleigh Harvey]" c="Ryleigh Harvey"/>
              <i n="[Range].[Client].&amp;[Sadie Sawyer]" c="Sadie Sawyer"/>
              <i n="[Range].[Client].&amp;[Sage Myers]" c="Sage Myers"/>
              <i n="[Range].[Client].&amp;[Salvador Bradshaw]" c="Salvador Bradshaw"/>
              <i n="[Range].[Client].&amp;[Sam Dyer]" c="Sam Dyer"/>
              <i n="[Range].[Client].&amp;[Samantha Poole]" c="Samantha Poole"/>
              <i n="[Range].[Client].&amp;[Samira Santos]" c="Samira Santos"/>
              <i n="[Range].[Client].&amp;[Samson Wheeler]" c="Samson Wheeler"/>
              <i n="[Range].[Client].&amp;[Santana Kent]" c="Santana Kent"/>
              <i n="[Range].[Client].&amp;[Santiago Contreras]" c="Santiago Contreras"/>
              <i n="[Range].[Client].&amp;[Sara Correa]" c="Sara Correa"/>
              <i n="[Range].[Client].&amp;[Sarah Browning]" c="Sarah Browning"/>
              <i n="[Range].[Client].&amp;[Sarah Woods]" c="Sarah Woods"/>
              <i n="[Range].[Client].&amp;[Sarai Ingram]" c="Sarai Ingram"/>
              <i n="[Range].[Client].&amp;[Sarai Jefferson]" c="Sarai Jefferson"/>
              <i n="[Range].[Client].&amp;[Sariah Larson]" c="Sariah Larson"/>
              <i n="[Range].[Client].&amp;[Savanna Bowen]" c="Savanna Bowen"/>
              <i n="[Range].[Client].&amp;[Savanna Nixon]" c="Savanna Nixon"/>
              <i n="[Range].[Client].&amp;[Sawyer Parra]" c="Sawyer Parra"/>
              <i n="[Range].[Client].&amp;[Saylor Valentine]" c="Saylor Valentine"/>
              <i n="[Range].[Client].&amp;[Scarlette Barry]" c="Scarlette Barry"/>
              <i n="[Range].[Client].&amp;[Scout Shannon]" c="Scout Shannon"/>
              <i n="[Range].[Client].&amp;[Sean Morales]" c="Sean Morales"/>
              <i n="[Range].[Client].&amp;[Sebastian Wilkerson]" c="Sebastian Wilkerson"/>
              <i n="[Range].[Client].&amp;[Selah Davenport]" c="Selah Davenport"/>
              <i n="[Range].[Client].&amp;[Selena Palmer]" c="Selena Palmer"/>
              <i n="[Range].[Client].&amp;[Selena Ramos]" c="Selena Ramos"/>
              <i n="[Range].[Client].&amp;[Serenity Gonzalez]" c="Serenity Gonzalez"/>
              <i n="[Range].[Client].&amp;[Serenity Wu]" c="Serenity Wu"/>
              <i n="[Range].[Client].&amp;[Seth Cox]" c="Seth Cox"/>
              <i n="[Range].[Client].&amp;[Seth Morton]" c="Seth Morton"/>
              <i n="[Range].[Client].&amp;[Shawn Wilcox]" c="Shawn Wilcox"/>
              <i n="[Range].[Client].&amp;[Shepard Gomez]" c="Shepard Gomez"/>
              <i n="[Range].[Client].&amp;[Shiloh Carrillo]" c="Shiloh Carrillo"/>
              <i n="[Range].[Client].&amp;[Shiloh Cunningham]" c="Shiloh Cunningham"/>
              <i n="[Range].[Client].&amp;[Shiloh Strickland]" c="Shiloh Strickland"/>
              <i n="[Range].[Client].&amp;[Shiloh Tran]" c="Shiloh Tran"/>
              <i n="[Range].[Client].&amp;[Sienna Weber]" c="Sienna Weber"/>
              <i n="[Range].[Client].&amp;[Simon Barrett]" c="Simon Barrett"/>
              <i n="[Range].[Client].&amp;[Simone Collier]" c="Simone Collier"/>
              <i n="[Range].[Client].&amp;[Sky Macdonald]" c="Sky Macdonald"/>
              <i n="[Range].[Client].&amp;[Skylar Farrell]" c="Skylar Farrell"/>
              <i n="[Range].[Client].&amp;[Skyler Graham]" c="Skyler Graham"/>
              <i n="[Range].[Client].&amp;[Sloan Golden]" c="Sloan Golden"/>
              <i n="[Range].[Client].&amp;[Sofia Beltran]" c="Sofia Beltran"/>
              <i n="[Range].[Client].&amp;[Sonny Huff]" c="Sonny Huff"/>
              <i n="[Range].[Client].&amp;[Sophia Arroyo]" c="Sophia Arroyo"/>
              <i n="[Range].[Client].&amp;[Sophia Page]" c="Sophia Page"/>
              <i n="[Range].[Client].&amp;[Soren Mayo]" c="Soren Mayo"/>
              <i n="[Range].[Client].&amp;[Soren Smith]" c="Soren Smith"/>
              <i n="[Range].[Client].&amp;[Stefan Fuentes]" c="Stefan Fuentes"/>
              <i n="[Range].[Client].&amp;[Stefan Huffman]" c="Stefan Huffman"/>
              <i n="[Range].[Client].&amp;[Stephanie Lowe]" c="Stephanie Lowe"/>
              <i n="[Range].[Client].&amp;[Steven Berry]" c="Steven Berry"/>
              <i n="[Range].[Client].&amp;[Sunny Vaughn]" c="Sunny Vaughn"/>
              <i n="[Range].[Client].&amp;[Sutton Mullins]" c="Sutton Mullins"/>
              <i n="[Range].[Client].&amp;[Sydney Salgado]" c="Sydney Salgado"/>
              <i n="[Range].[Client].&amp;[Tadeo Blair]" c="Tadeo Blair"/>
              <i n="[Range].[Client].&amp;[Talia Bates]" c="Talia Bates"/>
              <i n="[Range].[Client].&amp;[Talia Hail]" c="Talia Hail"/>
              <i n="[Range].[Client].&amp;[Tanner Morton]" c="Tanner Morton"/>
              <i n="[Range].[Client].&amp;[Tate Bowen]" c="Tate Bowen"/>
              <i n="[Range].[Client].&amp;[Tatum Marsh]" c="Tatum Marsh"/>
              <i n="[Range].[Client].&amp;[Tatum Mullen]" c="Tatum Mullen"/>
              <i n="[Range].[Client].&amp;[Teagan Moon]" c="Teagan Moon"/>
              <i n="[Range].[Client].&amp;[Terry Hurley]" c="Terry Hurley"/>
              <i n="[Range].[Client].&amp;[Terry Ross]" c="Terry Ross"/>
              <i n="[Range].[Client].&amp;[Thatcher Schultz]" c="Thatcher Schultz"/>
              <i n="[Range].[Client].&amp;[Theo Francis]" c="Theo Francis"/>
              <i n="[Range].[Client].&amp;[Theodore Savage]" c="Theodore Savage"/>
              <i n="[Range].[Client].&amp;[Timothy Alvarez]" c="Timothy Alvarez"/>
              <i n="[Range].[Client].&amp;[Timothy Vu]" c="Timothy Vu"/>
              <i n="[Range].[Client].&amp;[Tinsley Medina]" c="Tinsley Medina"/>
              <i n="[Range].[Client].&amp;[Tomas Ferguson]" c="Tomas Ferguson"/>
              <i n="[Range].[Client].&amp;[Tomas Mills]" c="Tomas Mills"/>
              <i n="[Range].[Client].&amp;[Tori Ryan]" c="Tori Ryan"/>
              <i n="[Range].[Client].&amp;[Trace Ponce]" c="Trace Ponce"/>
              <i n="[Range].[Client].&amp;[Trace Stark]" c="Trace Stark"/>
              <i n="[Range].[Client].&amp;[Travis Bernard]" c="Travis Bernard"/>
              <i n="[Range].[Client].&amp;[Travis Owen]" c="Travis Owen"/>
              <i n="[Range].[Client].&amp;[Trent Lozano]" c="Trent Lozano"/>
              <i n="[Range].[Client].&amp;[Trevor Hess]" c="Trevor Hess"/>
              <i n="[Range].[Client].&amp;[Tripp Salgado]" c="Tripp Salgado"/>
              <i n="[Range].[Client].&amp;[Tripp Zhang]" c="Tripp Zhang"/>
              <i n="[Range].[Client].&amp;[Tristen Jennings]" c="Tristen Jennings"/>
              <i n="[Range].[Client].&amp;[Troy Simpson]" c="Troy Simpson"/>
              <i n="[Range].[Client].&amp;[Tucker Harding]" c="Tucker Harding"/>
              <i n="[Range].[Client].&amp;[Ty Prince]" c="Ty Prince"/>
              <i n="[Range].[Client].&amp;[Tyson Hobbs]" c="Tyson Hobbs"/>
              <i n="[Range].[Client].&amp;[Valery Kim]" c="Valery Kim"/>
              <i n="[Range].[Client].&amp;[Vance Espinosa]" c="Vance Espinosa"/>
              <i n="[Range].[Client].&amp;[Vera Coffey]" c="Vera Coffey"/>
              <i n="[Range].[Client].&amp;[Veronica Nava]" c="Veronica Nava"/>
              <i n="[Range].[Client].&amp;[Vicente Lozano]" c="Vicente Lozano"/>
              <i n="[Range].[Client].&amp;[Vicente Watson]" c="Vicente Watson"/>
              <i n="[Range].[Client].&amp;[Victor Spears]" c="Victor Spears"/>
              <i n="[Range].[Client].&amp;[Vihaan Jackson]" c="Vihaan Jackson"/>
              <i n="[Range].[Client].&amp;[Virginia Duke]" c="Virginia Duke"/>
              <i n="[Range].[Client].&amp;[Vivian Fisher]" c="Vivian Fisher"/>
              <i n="[Range].[Client].&amp;[Vivienne Petersen]" c="Vivienne Petersen"/>
              <i n="[Range].[Client].&amp;[Walker Bryan]" c="Walker Bryan"/>
              <i n="[Range].[Client].&amp;[Walker Valentine]" c="Walker Valentine"/>
              <i n="[Range].[Client].&amp;[Watson Whitney]" c="Watson Whitney"/>
              <i n="[Range].[Client].&amp;[Waverly Hanna]" c="Waverly Hanna"/>
              <i n="[Range].[Client].&amp;[Wesley Salinas]" c="Wesley Salinas"/>
              <i n="[Range].[Client].&amp;[Wilder Brown]" c="Wilder Brown"/>
              <i n="[Range].[Client].&amp;[Willa Howell]" c="Willa Howell"/>
              <i n="[Range].[Client].&amp;[Willa Oliver]" c="Willa Oliver"/>
              <i n="[Range].[Client].&amp;[William Figueroa]" c="William Figueroa"/>
              <i n="[Range].[Client].&amp;[Willow Henderson]" c="Willow Henderson"/>
              <i n="[Range].[Client].&amp;[Wilson Patton]" c="Wilson Patton"/>
              <i n="[Range].[Client].&amp;[Winnie Michael]" c="Winnie Michael"/>
              <i n="[Range].[Client].&amp;[Winston McIntosh]" c="Winston McIntosh"/>
              <i n="[Range].[Client].&amp;[Xavier Le]" c="Xavier Le"/>
              <i n="[Range].[Client].&amp;[Ximena Ford]" c="Ximena Ford"/>
              <i n="[Range].[Client].&amp;[Xzavier Good]" c="Xzavier Good"/>
              <i n="[Range].[Client].&amp;[Yasmin Manning]" c="Yasmin Manning"/>
              <i n="[Range].[Client].&amp;[Yusuf O’Connor]" c="Yusuf O’Connor"/>
              <i n="[Range].[Client].&amp;[Zahir Richard]" c="Zahir Richard"/>
              <i n="[Range].[Client].&amp;[Zahra Walls]" c="Zahra Walls"/>
              <i n="[Range].[Client].&amp;[Zain Webb]" c="Zain Webb"/>
              <i n="[Range].[Client].&amp;[Zaire Gray]" c="Zaire Gray"/>
              <i n="[Range].[Client].&amp;[Zakai Lynch]" c="Zakai Lynch"/>
              <i n="[Range].[Client].&amp;[Zakai Neal]" c="Zakai Neal"/>
              <i n="[Range].[Client].&amp;[Zane Mitchell]" c="Zane Mitchell"/>
              <i n="[Range].[Client].&amp;[Zara Porter]" c="Zara Porter"/>
              <i n="[Range].[Client].&amp;[Zaylee Mora]" c="Zaylee Mora"/>
              <i n="[Range].[Client].&amp;[Zayne Bryant]" c="Zayne Bryant"/>
              <i n="[Range].[Client].&amp;[Zechariah Glass]" c="Zechariah Glass"/>
              <i n="[Range].[Client].&amp;[Zeke Briggs]" c="Zeke Briggs"/>
              <i n="[Range].[Client].&amp;[Zev Fletcher]" c="Zev Fletcher"/>
              <i n="[Range].[Client].&amp;[Zion Schmitt]" c="Zion Schmitt"/>
              <i n="[Range].[Client].&amp;[Zoe Ellison]" c="Zoe Ellison"/>
              <i n="[Range].[Client].&amp;[Zoey Cameron]" c="Zoey Cameron"/>
              <i n="[Range].[Client].&amp;[Zora Berry]" c="Zora Berry"/>
              <i n="[Range].[Client].&amp;[Zoya Carter]" c="Zoya Carter"/>
              <i n="[Range].[Client].&amp;[Zyair Haynes]" c="Zyair Haynes"/>
              <i n="[Range].[Client].&amp;[Zyaire Cortez]" c="Zyaire Cortez"/>
              <i n="[Range].[Client].&amp;[Zyaire McKinney]" c="Zyaire McKinney"/>
              <i n="[Range].[Client].&amp;[Zyaire Powers]" c="Zyaire Powers"/>
              <i n="[Range].[Client].&amp;" c="(blank)" nd="1"/>
            </range>
          </ranges>
        </level>
      </levels>
      <selections count="1">
        <selection n="[Range].[Cli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Amount" xr10:uid="{8718AFBF-68EA-470E-86FF-5B11477532C6}" sourceName="[Range].[Loan Amount]">
  <pivotTables>
    <pivotTable tabId="11" name="PivotTable6"/>
  </pivotTables>
  <data>
    <olap pivotCacheId="923976544">
      <levels count="2">
        <level uniqueName="[Range].[Loan Amount].[(All)]" sourceCaption="(All)" count="0"/>
        <level uniqueName="[Range].[Loan Amount].[Loan Amount]" sourceCaption="Loan Amount" count="995">
          <ranges>
            <range startItem="0">
              <i n="[Range].[Loan Amount].&amp;[58]" c="58"/>
              <i n="[Range].[Loan Amount].&amp;[73]" c="73"/>
              <i n="[Range].[Loan Amount].&amp;[74]" c="74"/>
              <i n="[Range].[Loan Amount].&amp;[80]" c="80"/>
              <i n="[Range].[Loan Amount].&amp;[92]" c="92"/>
              <i n="[Range].[Loan Amount].&amp;[95]" c="95"/>
              <i n="[Range].[Loan Amount].&amp;[130]" c="130"/>
              <i n="[Range].[Loan Amount].&amp;[147]" c="147"/>
              <i n="[Range].[Loan Amount].&amp;[151]" c="151"/>
              <i n="[Range].[Loan Amount].&amp;[155]" c="155"/>
              <i n="[Range].[Loan Amount].&amp;[170]" c="170"/>
              <i n="[Range].[Loan Amount].&amp;[191]" c="191"/>
              <i n="[Range].[Loan Amount].&amp;[212]" c="212"/>
              <i n="[Range].[Loan Amount].&amp;[213]" c="213"/>
              <i n="[Range].[Loan Amount].&amp;[217]" c="217"/>
              <i n="[Range].[Loan Amount].&amp;[254]" c="254"/>
              <i n="[Range].[Loan Amount].&amp;[282]" c="282"/>
              <i n="[Range].[Loan Amount].&amp;[299]" c="299"/>
              <i n="[Range].[Loan Amount].&amp;[300]" c="300"/>
              <i n="[Range].[Loan Amount].&amp;[337]" c="337"/>
              <i n="[Range].[Loan Amount].&amp;[340]" c="340"/>
              <i n="[Range].[Loan Amount].&amp;[355]" c="355"/>
              <i n="[Range].[Loan Amount].&amp;[366]" c="366"/>
              <i n="[Range].[Loan Amount].&amp;[373]" c="373"/>
              <i n="[Range].[Loan Amount].&amp;[380]" c="380"/>
              <i n="[Range].[Loan Amount].&amp;[381]" c="381"/>
              <i n="[Range].[Loan Amount].&amp;[401]" c="401"/>
              <i n="[Range].[Loan Amount].&amp;[411]" c="411"/>
              <i n="[Range].[Loan Amount].&amp;[413]" c="413"/>
              <i n="[Range].[Loan Amount].&amp;[414]" c="414"/>
              <i n="[Range].[Loan Amount].&amp;[415]" c="415"/>
              <i n="[Range].[Loan Amount].&amp;[422]" c="422"/>
              <i n="[Range].[Loan Amount].&amp;[425]" c="425"/>
              <i n="[Range].[Loan Amount].&amp;[435]" c="435"/>
              <i n="[Range].[Loan Amount].&amp;[454]" c="454"/>
              <i n="[Range].[Loan Amount].&amp;[467]" c="467"/>
              <i n="[Range].[Loan Amount].&amp;[505]" c="505"/>
              <i n="[Range].[Loan Amount].&amp;[514]" c="514"/>
              <i n="[Range].[Loan Amount].&amp;[531]" c="531"/>
              <i n="[Range].[Loan Amount].&amp;[556]" c="556"/>
              <i n="[Range].[Loan Amount].&amp;[557]" c="557"/>
              <i n="[Range].[Loan Amount].&amp;[560]" c="560"/>
              <i n="[Range].[Loan Amount].&amp;[602]" c="602"/>
              <i n="[Range].[Loan Amount].&amp;[623]" c="623"/>
              <i n="[Range].[Loan Amount].&amp;[635]" c="635"/>
              <i n="[Range].[Loan Amount].&amp;[644]" c="644"/>
              <i n="[Range].[Loan Amount].&amp;[650]" c="650"/>
              <i n="[Range].[Loan Amount].&amp;[674]" c="674"/>
              <i n="[Range].[Loan Amount].&amp;[676]" c="676"/>
              <i n="[Range].[Loan Amount].&amp;[679]" c="679"/>
              <i n="[Range].[Loan Amount].&amp;[684]" c="684"/>
              <i n="[Range].[Loan Amount].&amp;[685]" c="685"/>
              <i n="[Range].[Loan Amount].&amp;[694]" c="694"/>
              <i n="[Range].[Loan Amount].&amp;[728]" c="728"/>
              <i n="[Range].[Loan Amount].&amp;[733]" c="733"/>
              <i n="[Range].[Loan Amount].&amp;[740]" c="740"/>
              <i n="[Range].[Loan Amount].&amp;[757]" c="757"/>
              <i n="[Range].[Loan Amount].&amp;[762]" c="762"/>
              <i n="[Range].[Loan Amount].&amp;[773]" c="773"/>
              <i n="[Range].[Loan Amount].&amp;[782]" c="782"/>
              <i n="[Range].[Loan Amount].&amp;[796]" c="796"/>
              <i n="[Range].[Loan Amount].&amp;[799]" c="799"/>
              <i n="[Range].[Loan Amount].&amp;[800]" c="800"/>
              <i n="[Range].[Loan Amount].&amp;[812]" c="812"/>
              <i n="[Range].[Loan Amount].&amp;[823]" c="823"/>
              <i n="[Range].[Loan Amount].&amp;[857]" c="857"/>
              <i n="[Range].[Loan Amount].&amp;[917]" c="917"/>
              <i n="[Range].[Loan Amount].&amp;[923]" c="923"/>
              <i n="[Range].[Loan Amount].&amp;[963]" c="963"/>
              <i n="[Range].[Loan Amount].&amp;[970]" c="970"/>
              <i n="[Range].[Loan Amount].&amp;[979]" c="979"/>
              <i n="[Range].[Loan Amount].&amp;[984]" c="984"/>
              <i n="[Range].[Loan Amount].&amp;[998]" c="998"/>
              <i n="[Range].[Loan Amount].&amp;[1015]" c="1015"/>
              <i n="[Range].[Loan Amount].&amp;[1023]" c="1023"/>
              <i n="[Range].[Loan Amount].&amp;[1058]" c="1058"/>
              <i n="[Range].[Loan Amount].&amp;[1071]" c="1071"/>
              <i n="[Range].[Loan Amount].&amp;[1115]" c="1115"/>
              <i n="[Range].[Loan Amount].&amp;[1125]" c="1125"/>
              <i n="[Range].[Loan Amount].&amp;[1130]" c="1130"/>
              <i n="[Range].[Loan Amount].&amp;[1145]" c="1145"/>
              <i n="[Range].[Loan Amount].&amp;[1149]" c="1149"/>
              <i n="[Range].[Loan Amount].&amp;[1183]" c="1183"/>
              <i n="[Range].[Loan Amount].&amp;[1194]" c="1194"/>
              <i n="[Range].[Loan Amount].&amp;[1197]" c="1197"/>
              <i n="[Range].[Loan Amount].&amp;[1211]" c="1211"/>
              <i n="[Range].[Loan Amount].&amp;[1212]" c="1212"/>
              <i n="[Range].[Loan Amount].&amp;[1225]" c="1225"/>
              <i n="[Range].[Loan Amount].&amp;[1229]" c="1229"/>
              <i n="[Range].[Loan Amount].&amp;[1244]" c="1244"/>
              <i n="[Range].[Loan Amount].&amp;[1247]" c="1247"/>
              <i n="[Range].[Loan Amount].&amp;[1256]" c="1256"/>
              <i n="[Range].[Loan Amount].&amp;[1264]" c="1264"/>
              <i n="[Range].[Loan Amount].&amp;[1274]" c="1274"/>
              <i n="[Range].[Loan Amount].&amp;[1288]" c="1288"/>
              <i n="[Range].[Loan Amount].&amp;[1290]" c="1290"/>
              <i n="[Range].[Loan Amount].&amp;[1292]" c="1292"/>
              <i n="[Range].[Loan Amount].&amp;[1307]" c="1307"/>
              <i n="[Range].[Loan Amount].&amp;[1317]" c="1317"/>
              <i n="[Range].[Loan Amount].&amp;[1326]" c="1326"/>
              <i n="[Range].[Loan Amount].&amp;[1346]" c="1346"/>
              <i n="[Range].[Loan Amount].&amp;[1370]" c="1370"/>
              <i n="[Range].[Loan Amount].&amp;[1375]" c="1375"/>
              <i n="[Range].[Loan Amount].&amp;[1382]" c="1382"/>
              <i n="[Range].[Loan Amount].&amp;[1383]" c="1383"/>
              <i n="[Range].[Loan Amount].&amp;[1389]" c="1389"/>
              <i n="[Range].[Loan Amount].&amp;[1407]" c="1407"/>
              <i n="[Range].[Loan Amount].&amp;[1454]" c="1454"/>
              <i n="[Range].[Loan Amount].&amp;[1467]" c="1467"/>
              <i n="[Range].[Loan Amount].&amp;[1474]" c="1474"/>
              <i n="[Range].[Loan Amount].&amp;[1547]" c="1547"/>
              <i n="[Range].[Loan Amount].&amp;[1628]" c="1628"/>
              <i n="[Range].[Loan Amount].&amp;[1637]" c="1637"/>
              <i n="[Range].[Loan Amount].&amp;[1734]" c="1734"/>
              <i n="[Range].[Loan Amount].&amp;[1847]" c="1847"/>
              <i n="[Range].[Loan Amount].&amp;[2914]" c="2914"/>
              <i n="[Range].[Loan Amount].&amp;[3071]" c="3071"/>
              <i n="[Range].[Loan Amount].&amp;[3114]" c="3114"/>
              <i n="[Range].[Loan Amount].&amp;[3257]" c="3257"/>
              <i n="[Range].[Loan Amount].&amp;[3556]" c="3556"/>
              <i n="[Range].[Loan Amount].&amp;[3707]" c="3707"/>
              <i n="[Range].[Loan Amount].&amp;[3813]" c="3813"/>
              <i n="[Range].[Loan Amount].&amp;[3904]" c="3904"/>
              <i n="[Range].[Loan Amount].&amp;[4121]" c="4121"/>
              <i n="[Range].[Loan Amount].&amp;[4458]" c="4458"/>
              <i n="[Range].[Loan Amount].&amp;[4656]" c="4656"/>
              <i n="[Range].[Loan Amount].&amp;[4869]" c="4869"/>
              <i n="[Range].[Loan Amount].&amp;[4932]" c="4932"/>
              <i n="[Range].[Loan Amount].&amp;[4975]" c="4975"/>
              <i n="[Range].[Loan Amount].&amp;[5001]" c="5001"/>
              <i n="[Range].[Loan Amount].&amp;[5048]" c="5048"/>
              <i n="[Range].[Loan Amount].&amp;[5202]" c="5202"/>
              <i n="[Range].[Loan Amount].&amp;[5314]" c="5314"/>
              <i n="[Range].[Loan Amount].&amp;[5566]" c="5566"/>
              <i n="[Range].[Loan Amount].&amp;[5771]" c="5771"/>
              <i n="[Range].[Loan Amount].&amp;[5983]" c="5983"/>
              <i n="[Range].[Loan Amount].&amp;[6160]" c="6160"/>
              <i n="[Range].[Loan Amount].&amp;[6260]" c="6260"/>
              <i n="[Range].[Loan Amount].&amp;[6287]" c="6287"/>
              <i n="[Range].[Loan Amount].&amp;[6539]" c="6539"/>
              <i n="[Range].[Loan Amount].&amp;[6601]" c="6601"/>
              <i n="[Range].[Loan Amount].&amp;[6671]" c="6671"/>
              <i n="[Range].[Loan Amount].&amp;[6816]" c="6816"/>
              <i n="[Range].[Loan Amount].&amp;[6849]" c="6849"/>
              <i n="[Range].[Loan Amount].&amp;[6994]" c="6994"/>
              <i n="[Range].[Loan Amount].&amp;[7222]" c="7222"/>
              <i n="[Range].[Loan Amount].&amp;[7336]" c="7336"/>
              <i n="[Range].[Loan Amount].&amp;[7602]" c="7602"/>
              <i n="[Range].[Loan Amount].&amp;[7646]" c="7646"/>
              <i n="[Range].[Loan Amount].&amp;[7785]" c="7785"/>
              <i n="[Range].[Loan Amount].&amp;[7799]" c="7799"/>
              <i n="[Range].[Loan Amount].&amp;[7863]" c="7863"/>
              <i n="[Range].[Loan Amount].&amp;[7985]" c="7985"/>
              <i n="[Range].[Loan Amount].&amp;[8283]" c="8283"/>
              <i n="[Range].[Loan Amount].&amp;[8392]" c="8392"/>
              <i n="[Range].[Loan Amount].&amp;[8484]" c="8484"/>
              <i n="[Range].[Loan Amount].&amp;[8501]" c="8501"/>
              <i n="[Range].[Loan Amount].&amp;[8509]" c="8509"/>
              <i n="[Range].[Loan Amount].&amp;[8673]" c="8673"/>
              <i n="[Range].[Loan Amount].&amp;[9223]" c="9223"/>
              <i n="[Range].[Loan Amount].&amp;[9558]" c="9558"/>
              <i n="[Range].[Loan Amount].&amp;[9594]" c="9594"/>
              <i n="[Range].[Loan Amount].&amp;[9630]" c="9630"/>
              <i n="[Range].[Loan Amount].&amp;[9639]" c="9639"/>
              <i n="[Range].[Loan Amount].&amp;[9868]" c="9868"/>
              <i n="[Range].[Loan Amount].&amp;[10560]" c="10560"/>
              <i n="[Range].[Loan Amount].&amp;[11024]" c="11024"/>
              <i n="[Range].[Loan Amount].&amp;[11120]" c="11120"/>
              <i n="[Range].[Loan Amount].&amp;[11298]" c="11298"/>
              <i n="[Range].[Loan Amount].&amp;[11304]" c="11304"/>
              <i n="[Range].[Loan Amount].&amp;[11414]" c="11414"/>
              <i n="[Range].[Loan Amount].&amp;[11504]" c="11504"/>
              <i n="[Range].[Loan Amount].&amp;[11563]" c="11563"/>
              <i n="[Range].[Loan Amount].&amp;[11658]" c="11658"/>
              <i n="[Range].[Loan Amount].&amp;[11723]" c="11723"/>
              <i n="[Range].[Loan Amount].&amp;[11857]" c="11857"/>
              <i n="[Range].[Loan Amount].&amp;[11893]" c="11893"/>
              <i n="[Range].[Loan Amount].&amp;[12321]" c="12321"/>
              <i n="[Range].[Loan Amount].&amp;[12424]" c="12424"/>
              <i n="[Range].[Loan Amount].&amp;[12548]" c="12548"/>
              <i n="[Range].[Loan Amount].&amp;[12674]" c="12674"/>
              <i n="[Range].[Loan Amount].&amp;[12779]" c="12779"/>
              <i n="[Range].[Loan Amount].&amp;[12859]" c="12859"/>
              <i n="[Range].[Loan Amount].&amp;[13076]" c="13076"/>
              <i n="[Range].[Loan Amount].&amp;[13197]" c="13197"/>
              <i n="[Range].[Loan Amount].&amp;[13380]" c="13380"/>
              <i n="[Range].[Loan Amount].&amp;[13834]" c="13834"/>
              <i n="[Range].[Loan Amount].&amp;[13989]" c="13989"/>
              <i n="[Range].[Loan Amount].&amp;[14096]" c="14096"/>
              <i n="[Range].[Loan Amount].&amp;[14148]" c="14148"/>
              <i n="[Range].[Loan Amount].&amp;[14206]" c="14206"/>
              <i n="[Range].[Loan Amount].&amp;[14404]" c="14404"/>
              <i n="[Range].[Loan Amount].&amp;[14505]" c="14505"/>
              <i n="[Range].[Loan Amount].&amp;[14613]" c="14613"/>
              <i n="[Range].[Loan Amount].&amp;[14617]" c="14617"/>
              <i n="[Range].[Loan Amount].&amp;[14654]" c="14654"/>
              <i n="[Range].[Loan Amount].&amp;[14769]" c="14769"/>
              <i n="[Range].[Loan Amount].&amp;[15103]" c="15103"/>
              <i n="[Range].[Loan Amount].&amp;[15104]" c="15104"/>
              <i n="[Range].[Loan Amount].&amp;[15119]" c="15119"/>
              <i n="[Range].[Loan Amount].&amp;[15163]" c="15163"/>
              <i n="[Range].[Loan Amount].&amp;[15303]" c="15303"/>
              <i n="[Range].[Loan Amount].&amp;[15325]" c="15325"/>
              <i n="[Range].[Loan Amount].&amp;[15389]" c="15389"/>
              <i n="[Range].[Loan Amount].&amp;[15399]" c="15399"/>
              <i n="[Range].[Loan Amount].&amp;[15424]" c="15424"/>
              <i n="[Range].[Loan Amount].&amp;[15506]" c="15506"/>
              <i n="[Range].[Loan Amount].&amp;[15521]" c="15521"/>
              <i n="[Range].[Loan Amount].&amp;[15547]" c="15547"/>
              <i n="[Range].[Loan Amount].&amp;[15554]" c="15554"/>
              <i n="[Range].[Loan Amount].&amp;[15615]" c="15615"/>
              <i n="[Range].[Loan Amount].&amp;[15671]" c="15671"/>
              <i n="[Range].[Loan Amount].&amp;[15779]" c="15779"/>
              <i n="[Range].[Loan Amount].&amp;[15859]" c="15859"/>
              <i n="[Range].[Loan Amount].&amp;[15944]" c="15944"/>
              <i n="[Range].[Loan Amount].&amp;[16325]" c="16325"/>
              <i n="[Range].[Loan Amount].&amp;[16472]" c="16472"/>
              <i n="[Range].[Loan Amount].&amp;[16488]" c="16488"/>
              <i n="[Range].[Loan Amount].&amp;[16498]" c="16498"/>
              <i n="[Range].[Loan Amount].&amp;[16511]" c="16511"/>
              <i n="[Range].[Loan Amount].&amp;[16674]" c="16674"/>
              <i n="[Range].[Loan Amount].&amp;[16815]" c="16815"/>
              <i n="[Range].[Loan Amount].&amp;[17097]" c="17097"/>
              <i n="[Range].[Loan Amount].&amp;[17240]" c="17240"/>
              <i n="[Range].[Loan Amount].&amp;[17619]" c="17619"/>
              <i n="[Range].[Loan Amount].&amp;[17759]" c="17759"/>
              <i n="[Range].[Loan Amount].&amp;[18049]" c="18049"/>
              <i n="[Range].[Loan Amount].&amp;[18080]" c="18080"/>
              <i n="[Range].[Loan Amount].&amp;[18108]" c="18108"/>
              <i n="[Range].[Loan Amount].&amp;[18186]" c="18186"/>
              <i n="[Range].[Loan Amount].&amp;[18362]" c="18362"/>
              <i n="[Range].[Loan Amount].&amp;[18524]" c="18524"/>
              <i n="[Range].[Loan Amount].&amp;[18546]" c="18546"/>
              <i n="[Range].[Loan Amount].&amp;[18691]" c="18691"/>
              <i n="[Range].[Loan Amount].&amp;[18750]" c="18750"/>
              <i n="[Range].[Loan Amount].&amp;[18938]" c="18938"/>
              <i n="[Range].[Loan Amount].&amp;[18963]" c="18963"/>
              <i n="[Range].[Loan Amount].&amp;[19096]" c="19096"/>
              <i n="[Range].[Loan Amount].&amp;[19239]" c="19239"/>
              <i n="[Range].[Loan Amount].&amp;[19526]" c="19526"/>
              <i n="[Range].[Loan Amount].&amp;[19582]" c="19582"/>
              <i n="[Range].[Loan Amount].&amp;[19645]" c="19645"/>
              <i n="[Range].[Loan Amount].&amp;[19706]" c="19706"/>
              <i n="[Range].[Loan Amount].&amp;[19901]" c="19901"/>
              <i n="[Range].[Loan Amount].&amp;[19929]" c="19929"/>
              <i n="[Range].[Loan Amount].&amp;[20002]" c="20002"/>
              <i n="[Range].[Loan Amount].&amp;[20069]" c="20069"/>
              <i n="[Range].[Loan Amount].&amp;[20118]" c="20118"/>
              <i n="[Range].[Loan Amount].&amp;[20127]" c="20127"/>
              <i n="[Range].[Loan Amount].&amp;[20251]" c="20251"/>
              <i n="[Range].[Loan Amount].&amp;[20358]" c="20358"/>
              <i n="[Range].[Loan Amount].&amp;[20365]" c="20365"/>
              <i n="[Range].[Loan Amount].&amp;[20375]" c="20375"/>
              <i n="[Range].[Loan Amount].&amp;[20385]" c="20385"/>
              <i n="[Range].[Loan Amount].&amp;[20515]" c="20515"/>
              <i n="[Range].[Loan Amount].&amp;[20653]" c="20653"/>
              <i n="[Range].[Loan Amount].&amp;[20716]" c="20716"/>
              <i n="[Range].[Loan Amount].&amp;[20736]" c="20736"/>
              <i n="[Range].[Loan Amount].&amp;[21013]" c="21013"/>
              <i n="[Range].[Loan Amount].&amp;[21023]" c="21023"/>
              <i n="[Range].[Loan Amount].&amp;[21075]" c="21075"/>
              <i n="[Range].[Loan Amount].&amp;[21143]" c="21143"/>
              <i n="[Range].[Loan Amount].&amp;[21312]" c="21312"/>
              <i n="[Range].[Loan Amount].&amp;[21424]" c="21424"/>
              <i n="[Range].[Loan Amount].&amp;[21486]" c="21486"/>
              <i n="[Range].[Loan Amount].&amp;[21649]" c="21649"/>
              <i n="[Range].[Loan Amount].&amp;[21717]" c="21717"/>
              <i n="[Range].[Loan Amount].&amp;[21780]" c="21780"/>
              <i n="[Range].[Loan Amount].&amp;[21810]" c="21810"/>
              <i n="[Range].[Loan Amount].&amp;[21853]" c="21853"/>
              <i n="[Range].[Loan Amount].&amp;[21868]" c="21868"/>
              <i n="[Range].[Loan Amount].&amp;[22150]" c="22150"/>
              <i n="[Range].[Loan Amount].&amp;[22238]" c="22238"/>
              <i n="[Range].[Loan Amount].&amp;[22312]" c="22312"/>
              <i n="[Range].[Loan Amount].&amp;[22324]" c="22324"/>
              <i n="[Range].[Loan Amount].&amp;[22397]" c="22397"/>
              <i n="[Range].[Loan Amount].&amp;[22630]" c="22630"/>
              <i n="[Range].[Loan Amount].&amp;[22650]" c="22650"/>
              <i n="[Range].[Loan Amount].&amp;[22907]" c="22907"/>
              <i n="[Range].[Loan Amount].&amp;[22962]" c="22962"/>
              <i n="[Range].[Loan Amount].&amp;[22966]" c="22966"/>
              <i n="[Range].[Loan Amount].&amp;[23128]" c="23128"/>
              <i n="[Range].[Loan Amount].&amp;[23169]" c="23169"/>
              <i n="[Range].[Loan Amount].&amp;[23220]" c="23220"/>
              <i n="[Range].[Loan Amount].&amp;[23409]" c="23409"/>
              <i n="[Range].[Loan Amount].&amp;[23517]" c="23517"/>
              <i n="[Range].[Loan Amount].&amp;[23830]" c="23830"/>
              <i n="[Range].[Loan Amount].&amp;[23952]" c="23952"/>
              <i n="[Range].[Loan Amount].&amp;[23984]" c="23984"/>
              <i n="[Range].[Loan Amount].&amp;[23996]" c="23996"/>
              <i n="[Range].[Loan Amount].&amp;[24006]" c="24006"/>
              <i n="[Range].[Loan Amount].&amp;[24040]" c="24040"/>
              <i n="[Range].[Loan Amount].&amp;[24155]" c="24155"/>
              <i n="[Range].[Loan Amount].&amp;[24331]" c="24331"/>
              <i n="[Range].[Loan Amount].&amp;[24522]" c="24522"/>
              <i n="[Range].[Loan Amount].&amp;[24542]" c="24542"/>
              <i n="[Range].[Loan Amount].&amp;[24598]" c="24598"/>
              <i n="[Range].[Loan Amount].&amp;[24610]" c="24610"/>
              <i n="[Range].[Loan Amount].&amp;[24713]" c="24713"/>
              <i n="[Range].[Loan Amount].&amp;[24716]" c="24716"/>
              <i n="[Range].[Loan Amount].&amp;[24763]" c="24763"/>
              <i n="[Range].[Loan Amount].&amp;[24780]" c="24780"/>
              <i n="[Range].[Loan Amount].&amp;[24804]" c="24804"/>
              <i n="[Range].[Loan Amount].&amp;[24881]" c="24881"/>
              <i n="[Range].[Loan Amount].&amp;[24979]" c="24979"/>
              <i n="[Range].[Loan Amount].&amp;[25117]" c="25117"/>
              <i n="[Range].[Loan Amount].&amp;[25221]" c="25221"/>
              <i n="[Range].[Loan Amount].&amp;[25300]" c="25300"/>
              <i n="[Range].[Loan Amount].&amp;[25431]" c="25431"/>
              <i n="[Range].[Loan Amount].&amp;[25468]" c="25468"/>
              <i n="[Range].[Loan Amount].&amp;[25748]" c="25748"/>
              <i n="[Range].[Loan Amount].&amp;[25904]" c="25904"/>
              <i n="[Range].[Loan Amount].&amp;[25939]" c="25939"/>
              <i n="[Range].[Loan Amount].&amp;[25985]" c="25985"/>
              <i n="[Range].[Loan Amount].&amp;[25987]" c="25987"/>
              <i n="[Range].[Loan Amount].&amp;[25989]" c="25989"/>
              <i n="[Range].[Loan Amount].&amp;[26167]" c="26167"/>
              <i n="[Range].[Loan Amount].&amp;[26245]" c="26245"/>
              <i n="[Range].[Loan Amount].&amp;[26410]" c="26410"/>
              <i n="[Range].[Loan Amount].&amp;[26475]" c="26475"/>
              <i n="[Range].[Loan Amount].&amp;[26771]" c="26771"/>
              <i n="[Range].[Loan Amount].&amp;[26795]" c="26795"/>
              <i n="[Range].[Loan Amount].&amp;[26892]" c="26892"/>
              <i n="[Range].[Loan Amount].&amp;[26956]" c="26956"/>
              <i n="[Range].[Loan Amount].&amp;[27092]" c="27092"/>
              <i n="[Range].[Loan Amount].&amp;[27131]" c="27131"/>
              <i n="[Range].[Loan Amount].&amp;[27226]" c="27226"/>
              <i n="[Range].[Loan Amount].&amp;[27313]" c="27313"/>
              <i n="[Range].[Loan Amount].&amp;[27407]" c="27407"/>
              <i n="[Range].[Loan Amount].&amp;[27631]" c="27631"/>
              <i n="[Range].[Loan Amount].&amp;[27712]" c="27712"/>
              <i n="[Range].[Loan Amount].&amp;[27720]" c="27720"/>
              <i n="[Range].[Loan Amount].&amp;[27951]" c="27951"/>
              <i n="[Range].[Loan Amount].&amp;[28094]" c="28094"/>
              <i n="[Range].[Loan Amount].&amp;[28323]" c="28323"/>
              <i n="[Range].[Loan Amount].&amp;[28368]" c="28368"/>
              <i n="[Range].[Loan Amount].&amp;[28404]" c="28404"/>
              <i n="[Range].[Loan Amount].&amp;[28511]" c="28511"/>
              <i n="[Range].[Loan Amount].&amp;[28527]" c="28527"/>
              <i n="[Range].[Loan Amount].&amp;[28558]" c="28558"/>
              <i n="[Range].[Loan Amount].&amp;[28649]" c="28649"/>
              <i n="[Range].[Loan Amount].&amp;[28699]" c="28699"/>
              <i n="[Range].[Loan Amount].&amp;[28730]" c="28730"/>
              <i n="[Range].[Loan Amount].&amp;[28833]" c="28833"/>
              <i n="[Range].[Loan Amount].&amp;[29115]" c="29115"/>
              <i n="[Range].[Loan Amount].&amp;[29127]" c="29127"/>
              <i n="[Range].[Loan Amount].&amp;[29178]" c="29178"/>
              <i n="[Range].[Loan Amount].&amp;[29209]" c="29209"/>
              <i n="[Range].[Loan Amount].&amp;[29286]" c="29286"/>
              <i n="[Range].[Loan Amount].&amp;[29550]" c="29550"/>
              <i n="[Range].[Loan Amount].&amp;[29655]" c="29655"/>
              <i n="[Range].[Loan Amount].&amp;[29683]" c="29683"/>
              <i n="[Range].[Loan Amount].&amp;[29714]" c="29714"/>
              <i n="[Range].[Loan Amount].&amp;[29864]" c="29864"/>
              <i n="[Range].[Loan Amount].&amp;[29961]" c="29961"/>
              <i n="[Range].[Loan Amount].&amp;[29982]" c="29982"/>
              <i n="[Range].[Loan Amount].&amp;[30115]" c="30115"/>
              <i n="[Range].[Loan Amount].&amp;[30124]" c="30124"/>
              <i n="[Range].[Loan Amount].&amp;[30313]" c="30313"/>
              <i n="[Range].[Loan Amount].&amp;[30325]" c="30325"/>
              <i n="[Range].[Loan Amount].&amp;[30539]" c="30539"/>
              <i n="[Range].[Loan Amount].&amp;[30678]" c="30678"/>
              <i n="[Range].[Loan Amount].&amp;[30817]" c="30817"/>
              <i n="[Range].[Loan Amount].&amp;[30910]" c="30910"/>
              <i n="[Range].[Loan Amount].&amp;[31074]" c="31074"/>
              <i n="[Range].[Loan Amount].&amp;[31542]" c="31542"/>
              <i n="[Range].[Loan Amount].&amp;[31620]" c="31620"/>
              <i n="[Range].[Loan Amount].&amp;[31898]" c="31898"/>
              <i n="[Range].[Loan Amount].&amp;[31963]" c="31963"/>
              <i n="[Range].[Loan Amount].&amp;[32013]" c="32013"/>
              <i n="[Range].[Loan Amount].&amp;[32103]" c="32103"/>
              <i n="[Range].[Loan Amount].&amp;[32173]" c="32173"/>
              <i n="[Range].[Loan Amount].&amp;[32219]" c="32219"/>
              <i n="[Range].[Loan Amount].&amp;[32283]" c="32283"/>
              <i n="[Range].[Loan Amount].&amp;[32326]" c="32326"/>
              <i n="[Range].[Loan Amount].&amp;[32334]" c="32334"/>
              <i n="[Range].[Loan Amount].&amp;[32375]" c="32375"/>
              <i n="[Range].[Loan Amount].&amp;[32417]" c="32417"/>
              <i n="[Range].[Loan Amount].&amp;[32621]" c="32621"/>
              <i n="[Range].[Loan Amount].&amp;[32640]" c="32640"/>
              <i n="[Range].[Loan Amount].&amp;[32690]" c="32690"/>
              <i n="[Range].[Loan Amount].&amp;[32701]" c="32701"/>
              <i n="[Range].[Loan Amount].&amp;[32732]" c="32732"/>
              <i n="[Range].[Loan Amount].&amp;[32901]" c="32901"/>
              <i n="[Range].[Loan Amount].&amp;[32905]" c="32905"/>
              <i n="[Range].[Loan Amount].&amp;[33025]" c="33025"/>
              <i n="[Range].[Loan Amount].&amp;[33036]" c="33036"/>
              <i n="[Range].[Loan Amount].&amp;[33076]" c="33076"/>
              <i n="[Range].[Loan Amount].&amp;[33302]" c="33302"/>
              <i n="[Range].[Loan Amount].&amp;[33320]" c="33320"/>
              <i n="[Range].[Loan Amount].&amp;[33360]" c="33360"/>
              <i n="[Range].[Loan Amount].&amp;[33498]" c="33498"/>
              <i n="[Range].[Loan Amount].&amp;[33859]" c="33859"/>
              <i n="[Range].[Loan Amount].&amp;[33921]" c="33921"/>
              <i n="[Range].[Loan Amount].&amp;[34093]" c="34093"/>
              <i n="[Range].[Loan Amount].&amp;[34117]" c="34117"/>
              <i n="[Range].[Loan Amount].&amp;[34265]" c="34265"/>
              <i n="[Range].[Loan Amount].&amp;[34277]" c="34277"/>
              <i n="[Range].[Loan Amount].&amp;[34312]" c="34312"/>
              <i n="[Range].[Loan Amount].&amp;[34415]" c="34415"/>
              <i n="[Range].[Loan Amount].&amp;[34449]" c="34449"/>
              <i n="[Range].[Loan Amount].&amp;[34505]" c="34505"/>
              <i n="[Range].[Loan Amount].&amp;[34509]" c="34509"/>
              <i n="[Range].[Loan Amount].&amp;[34608]" c="34608"/>
              <i n="[Range].[Loan Amount].&amp;[35189]" c="35189"/>
              <i n="[Range].[Loan Amount].&amp;[35256]" c="35256"/>
              <i n="[Range].[Loan Amount].&amp;[35452]" c="35452"/>
              <i n="[Range].[Loan Amount].&amp;[35620]" c="35620"/>
              <i n="[Range].[Loan Amount].&amp;[35634]" c="35634"/>
              <i n="[Range].[Loan Amount].&amp;[35637]" c="35637"/>
              <i n="[Range].[Loan Amount].&amp;[35814]" c="35814"/>
              <i n="[Range].[Loan Amount].&amp;[36075]" c="36075"/>
              <i n="[Range].[Loan Amount].&amp;[36088]" c="36088"/>
              <i n="[Range].[Loan Amount].&amp;[36186]" c="36186"/>
              <i n="[Range].[Loan Amount].&amp;[36377]" c="36377"/>
              <i n="[Range].[Loan Amount].&amp;[36406]" c="36406"/>
              <i n="[Range].[Loan Amount].&amp;[36483]" c="36483"/>
              <i n="[Range].[Loan Amount].&amp;[36689]" c="36689"/>
              <i n="[Range].[Loan Amount].&amp;[36875]" c="36875"/>
              <i n="[Range].[Loan Amount].&amp;[36961]" c="36961"/>
              <i n="[Range].[Loan Amount].&amp;[37006]" c="37006"/>
              <i n="[Range].[Loan Amount].&amp;[37169]" c="37169"/>
              <i n="[Range].[Loan Amount].&amp;[37264]" c="37264"/>
              <i n="[Range].[Loan Amount].&amp;[37387]" c="37387"/>
              <i n="[Range].[Loan Amount].&amp;[37396]" c="37396"/>
              <i n="[Range].[Loan Amount].&amp;[37399]" c="37399"/>
              <i n="[Range].[Loan Amount].&amp;[37651]" c="37651"/>
              <i n="[Range].[Loan Amount].&amp;[37778]" c="37778"/>
              <i n="[Range].[Loan Amount].&amp;[38139]" c="38139"/>
              <i n="[Range].[Loan Amount].&amp;[38193]" c="38193"/>
              <i n="[Range].[Loan Amount].&amp;[38325]" c="38325"/>
              <i n="[Range].[Loan Amount].&amp;[38433]" c="38433"/>
              <i n="[Range].[Loan Amount].&amp;[38481]" c="38481"/>
              <i n="[Range].[Loan Amount].&amp;[38921]" c="38921"/>
              <i n="[Range].[Loan Amount].&amp;[38999]" c="38999"/>
              <i n="[Range].[Loan Amount].&amp;[39087]" c="39087"/>
              <i n="[Range].[Loan Amount].&amp;[39101]" c="39101"/>
              <i n="[Range].[Loan Amount].&amp;[39141]" c="39141"/>
              <i n="[Range].[Loan Amount].&amp;[39221]" c="39221"/>
              <i n="[Range].[Loan Amount].&amp;[39253]" c="39253"/>
              <i n="[Range].[Loan Amount].&amp;[39525]" c="39525"/>
              <i n="[Range].[Loan Amount].&amp;[39737]" c="39737"/>
              <i n="[Range].[Loan Amount].&amp;[39751]" c="39751"/>
              <i n="[Range].[Loan Amount].&amp;[39799]" c="39799"/>
              <i n="[Range].[Loan Amount].&amp;[40185]" c="40185"/>
              <i n="[Range].[Loan Amount].&amp;[40349]" c="40349"/>
              <i n="[Range].[Loan Amount].&amp;[40411]" c="40411"/>
              <i n="[Range].[Loan Amount].&amp;[40497]" c="40497"/>
              <i n="[Range].[Loan Amount].&amp;[40557]" c="40557"/>
              <i n="[Range].[Loan Amount].&amp;[40564]" c="40564"/>
              <i n="[Range].[Loan Amount].&amp;[40638]" c="40638"/>
              <i n="[Range].[Loan Amount].&amp;[40800]" c="40800"/>
              <i n="[Range].[Loan Amount].&amp;[40984]" c="40984"/>
              <i n="[Range].[Loan Amount].&amp;[41237]" c="41237"/>
              <i n="[Range].[Loan Amount].&amp;[41271]" c="41271"/>
              <i n="[Range].[Loan Amount].&amp;[41458]" c="41458"/>
              <i n="[Range].[Loan Amount].&amp;[41984]" c="41984"/>
              <i n="[Range].[Loan Amount].&amp;[42027]" c="42027"/>
              <i n="[Range].[Loan Amount].&amp;[42184]" c="42184"/>
              <i n="[Range].[Loan Amount].&amp;[42696]" c="42696"/>
              <i n="[Range].[Loan Amount].&amp;[43851]" c="43851"/>
              <i n="[Range].[Loan Amount].&amp;[44237]" c="44237"/>
              <i n="[Range].[Loan Amount].&amp;[44272]" c="44272"/>
              <i n="[Range].[Loan Amount].&amp;[44777]" c="44777"/>
              <i n="[Range].[Loan Amount].&amp;[44840]" c="44840"/>
              <i n="[Range].[Loan Amount].&amp;[44854]" c="44854"/>
              <i n="[Range].[Loan Amount].&amp;[45058]" c="45058"/>
              <i n="[Range].[Loan Amount].&amp;[45110]" c="45110"/>
              <i n="[Range].[Loan Amount].&amp;[45225]" c="45225"/>
              <i n="[Range].[Loan Amount].&amp;[45229]" c="45229"/>
              <i n="[Range].[Loan Amount].&amp;[45299]" c="45299"/>
              <i n="[Range].[Loan Amount].&amp;[45538]" c="45538"/>
              <i n="[Range].[Loan Amount].&amp;[45622]" c="45622"/>
              <i n="[Range].[Loan Amount].&amp;[45627]" c="45627"/>
              <i n="[Range].[Loan Amount].&amp;[45958]" c="45958"/>
              <i n="[Range].[Loan Amount].&amp;[45989]" c="45989"/>
              <i n="[Range].[Loan Amount].&amp;[46158]" c="46158"/>
              <i n="[Range].[Loan Amount].&amp;[46186]" c="46186"/>
              <i n="[Range].[Loan Amount].&amp;[46539]" c="46539"/>
              <i n="[Range].[Loan Amount].&amp;[46683]" c="46683"/>
              <i n="[Range].[Loan Amount].&amp;[46840]" c="46840"/>
              <i n="[Range].[Loan Amount].&amp;[46970]" c="46970"/>
              <i n="[Range].[Loan Amount].&amp;[47325]" c="47325"/>
              <i n="[Range].[Loan Amount].&amp;[47384]" c="47384"/>
              <i n="[Range].[Loan Amount].&amp;[47487]" c="47487"/>
              <i n="[Range].[Loan Amount].&amp;[47803]" c="47803"/>
              <i n="[Range].[Loan Amount].&amp;[47997]" c="47997"/>
              <i n="[Range].[Loan Amount].&amp;[48020]" c="48020"/>
              <i n="[Range].[Loan Amount].&amp;[48126]" c="48126"/>
              <i n="[Range].[Loan Amount].&amp;[48149]" c="48149"/>
              <i n="[Range].[Loan Amount].&amp;[48287]" c="48287"/>
              <i n="[Range].[Loan Amount].&amp;[48758]" c="48758"/>
              <i n="[Range].[Loan Amount].&amp;[48991]" c="48991"/>
              <i n="[Range].[Loan Amount].&amp;[49075]" c="49075"/>
              <i n="[Range].[Loan Amount].&amp;[49385]" c="49385"/>
              <i n="[Range].[Loan Amount].&amp;[49896]" c="49896"/>
              <i n="[Range].[Loan Amount].&amp;[50236]" c="50236"/>
              <i n="[Range].[Loan Amount].&amp;[50531]" c="50531"/>
              <i n="[Range].[Loan Amount].&amp;[50575]" c="50575"/>
              <i n="[Range].[Loan Amount].&amp;[51104]" c="51104"/>
              <i n="[Range].[Loan Amount].&amp;[51794]" c="51794"/>
              <i n="[Range].[Loan Amount].&amp;[52050]" c="52050"/>
              <i n="[Range].[Loan Amount].&amp;[52356]" c="52356"/>
              <i n="[Range].[Loan Amount].&amp;[52368]" c="52368"/>
              <i n="[Range].[Loan Amount].&amp;[52518]" c="52518"/>
              <i n="[Range].[Loan Amount].&amp;[52637]" c="52637"/>
              <i n="[Range].[Loan Amount].&amp;[52669]" c="52669"/>
              <i n="[Range].[Loan Amount].&amp;[52822]" c="52822"/>
              <i n="[Range].[Loan Amount].&amp;[52921]" c="52921"/>
              <i n="[Range].[Loan Amount].&amp;[53039]" c="53039"/>
              <i n="[Range].[Loan Amount].&amp;[53196]" c="53196"/>
              <i n="[Range].[Loan Amount].&amp;[53281]" c="53281"/>
              <i n="[Range].[Loan Amount].&amp;[53699]" c="53699"/>
              <i n="[Range].[Loan Amount].&amp;[53886]" c="53886"/>
              <i n="[Range].[Loan Amount].&amp;[53944]" c="53944"/>
              <i n="[Range].[Loan Amount].&amp;[54223]" c="54223"/>
              <i n="[Range].[Loan Amount].&amp;[54348]" c="54348"/>
              <i n="[Range].[Loan Amount].&amp;[54695]" c="54695"/>
              <i n="[Range].[Loan Amount].&amp;[54842]" c="54842"/>
              <i n="[Range].[Loan Amount].&amp;[54861]" c="54861"/>
              <i n="[Range].[Loan Amount].&amp;[55794]" c="55794"/>
              <i n="[Range].[Loan Amount].&amp;[57107]" c="57107"/>
              <i n="[Range].[Loan Amount].&amp;[57633]" c="57633"/>
              <i n="[Range].[Loan Amount].&amp;[57865]" c="57865"/>
              <i n="[Range].[Loan Amount].&amp;[58338]" c="58338"/>
              <i n="[Range].[Loan Amount].&amp;[58539]" c="58539"/>
              <i n="[Range].[Loan Amount].&amp;[58548]" c="58548"/>
              <i n="[Range].[Loan Amount].&amp;[59411]" c="59411"/>
              <i n="[Range].[Loan Amount].&amp;[59420]" c="59420"/>
              <i n="[Range].[Loan Amount].&amp;[59752]" c="59752"/>
              <i n="[Range].[Loan Amount].&amp;[61140]" c="61140"/>
              <i n="[Range].[Loan Amount].&amp;[62277]" c="62277"/>
              <i n="[Range].[Loan Amount].&amp;[62402]" c="62402"/>
              <i n="[Range].[Loan Amount].&amp;[62527]" c="62527"/>
              <i n="[Range].[Loan Amount].&amp;[65578]" c="65578"/>
              <i n="[Range].[Loan Amount].&amp;[65935]" c="65935"/>
              <i n="[Range].[Loan Amount].&amp;[65978]" c="65978"/>
              <i n="[Range].[Loan Amount].&amp;[66141]" c="66141"/>
              <i n="[Range].[Loan Amount].&amp;[66734]" c="66734"/>
              <i n="[Range].[Loan Amount].&amp;[67761]" c="67761"/>
              <i n="[Range].[Loan Amount].&amp;[67829]" c="67829"/>
              <i n="[Range].[Loan Amount].&amp;[68124]" c="68124"/>
              <i n="[Range].[Loan Amount].&amp;[69412]" c="69412"/>
              <i n="[Range].[Loan Amount].&amp;[69941]" c="69941"/>
              <i n="[Range].[Loan Amount].&amp;[70139]" c="70139"/>
              <i n="[Range].[Loan Amount].&amp;[71133]" c="71133"/>
              <i n="[Range].[Loan Amount].&amp;[73873]" c="73873"/>
              <i n="[Range].[Loan Amount].&amp;[74110]" c="74110"/>
              <i n="[Range].[Loan Amount].&amp;[74683]" c="74683"/>
              <i n="[Range].[Loan Amount].&amp;[74888]" c="74888"/>
              <i n="[Range].[Loan Amount].&amp;[75082]" c="75082"/>
              <i n="[Range].[Loan Amount].&amp;[75841]" c="75841"/>
              <i n="[Range].[Loan Amount].&amp;[75918]" c="75918"/>
              <i n="[Range].[Loan Amount].&amp;[77026]" c="77026"/>
              <i n="[Range].[Loan Amount].&amp;[77365]" c="77365"/>
              <i n="[Range].[Loan Amount].&amp;[77879]" c="77879"/>
              <i n="[Range].[Loan Amount].&amp;[78812]" c="78812"/>
              <i n="[Range].[Loan Amount].&amp;[79380]" c="79380"/>
              <i n="[Range].[Loan Amount].&amp;[80949]" c="80949"/>
              <i n="[Range].[Loan Amount].&amp;[81701]" c="81701"/>
              <i n="[Range].[Loan Amount].&amp;[81744]" c="81744"/>
              <i n="[Range].[Loan Amount].&amp;[82105]" c="82105"/>
              <i n="[Range].[Loan Amount].&amp;[82224]" c="82224"/>
              <i n="[Range].[Loan Amount].&amp;[82449]" c="82449"/>
              <i n="[Range].[Loan Amount].&amp;[82878]" c="82878"/>
              <i n="[Range].[Loan Amount].&amp;[84271]" c="84271"/>
              <i n="[Range].[Loan Amount].&amp;[84693]" c="84693"/>
              <i n="[Range].[Loan Amount].&amp;[85840]" c="85840"/>
              <i n="[Range].[Loan Amount].&amp;[86335]" c="86335"/>
              <i n="[Range].[Loan Amount].&amp;[87500]" c="87500"/>
              <i n="[Range].[Loan Amount].&amp;[88998]" c="88998"/>
              <i n="[Range].[Loan Amount].&amp;[89366]" c="89366"/>
              <i n="[Range].[Loan Amount].&amp;[89835]" c="89835"/>
              <i n="[Range].[Loan Amount].&amp;[90739]" c="90739"/>
              <i n="[Range].[Loan Amount].&amp;[91176]" c="91176"/>
              <i n="[Range].[Loan Amount].&amp;[91370]" c="91370"/>
              <i n="[Range].[Loan Amount].&amp;[91395]" c="91395"/>
              <i n="[Range].[Loan Amount].&amp;[91855]" c="91855"/>
              <i n="[Range].[Loan Amount].&amp;[92516]" c="92516"/>
              <i n="[Range].[Loan Amount].&amp;[93325]" c="93325"/>
              <i n="[Range].[Loan Amount].&amp;[93917]" c="93917"/>
              <i n="[Range].[Loan Amount].&amp;[94312]" c="94312"/>
              <i n="[Range].[Loan Amount].&amp;[94737]" c="94737"/>
              <i n="[Range].[Loan Amount].&amp;[97126]" c="97126"/>
              <i n="[Range].[Loan Amount].&amp;[97290]" c="97290"/>
              <i n="[Range].[Loan Amount].&amp;[97687]" c="97687"/>
              <i n="[Range].[Loan Amount].&amp;[97740]" c="97740"/>
              <i n="[Range].[Loan Amount].&amp;[98054]" c="98054"/>
              <i n="[Range].[Loan Amount].&amp;[98133]" c="98133"/>
              <i n="[Range].[Loan Amount].&amp;[98267]" c="98267"/>
              <i n="[Range].[Loan Amount].&amp;[98404]" c="98404"/>
              <i n="[Range].[Loan Amount].&amp;[98819]" c="98819"/>
              <i n="[Range].[Loan Amount].&amp;[99042]" c="99042"/>
              <i n="[Range].[Loan Amount].&amp;[100084]" c="100084"/>
              <i n="[Range].[Loan Amount].&amp;[100995]" c="100995"/>
              <i n="[Range].[Loan Amount].&amp;[101132]" c="101132"/>
              <i n="[Range].[Loan Amount].&amp;[101501]" c="101501"/>
              <i n="[Range].[Loan Amount].&amp;[102830]" c="102830"/>
              <i n="[Range].[Loan Amount].&amp;[103234]" c="103234"/>
              <i n="[Range].[Loan Amount].&amp;[104801]" c="104801"/>
              <i n="[Range].[Loan Amount].&amp;[107657]" c="107657"/>
              <i n="[Range].[Loan Amount].&amp;[107791]" c="107791"/>
              <i n="[Range].[Loan Amount].&amp;[110705]" c="110705"/>
              <i n="[Range].[Loan Amount].&amp;[110723]" c="110723"/>
              <i n="[Range].[Loan Amount].&amp;[110972]" c="110972"/>
              <i n="[Range].[Loan Amount].&amp;[112267]" c="112267"/>
              <i n="[Range].[Loan Amount].&amp;[115583]" c="115583"/>
              <i n="[Range].[Loan Amount].&amp;[117633]" c="117633"/>
              <i n="[Range].[Loan Amount].&amp;[119262]" c="119262"/>
              <i n="[Range].[Loan Amount].&amp;[119705]" c="119705"/>
              <i n="[Range].[Loan Amount].&amp;[120887]" c="120887"/>
              <i n="[Range].[Loan Amount].&amp;[122426]" c="122426"/>
              <i n="[Range].[Loan Amount].&amp;[123174]" c="123174"/>
              <i n="[Range].[Loan Amount].&amp;[126577]" c="126577"/>
              <i n="[Range].[Loan Amount].&amp;[127429]" c="127429"/>
              <i n="[Range].[Loan Amount].&amp;[128607]" c="128607"/>
              <i n="[Range].[Loan Amount].&amp;[130678]" c="130678"/>
              <i n="[Range].[Loan Amount].&amp;[131092]" c="131092"/>
              <i n="[Range].[Loan Amount].&amp;[132713]" c="132713"/>
              <i n="[Range].[Loan Amount].&amp;[133512]" c="133512"/>
              <i n="[Range].[Loan Amount].&amp;[133970]" c="133970"/>
              <i n="[Range].[Loan Amount].&amp;[139981]" c="139981"/>
              <i n="[Range].[Loan Amount].&amp;[142842]" c="142842"/>
              <i n="[Range].[Loan Amount].&amp;[144253]" c="144253"/>
              <i n="[Range].[Loan Amount].&amp;[145784]" c="145784"/>
              <i n="[Range].[Loan Amount].&amp;[147219]" c="147219"/>
              <i n="[Range].[Loan Amount].&amp;[147496]" c="147496"/>
              <i n="[Range].[Loan Amount].&amp;[149312]" c="149312"/>
              <i n="[Range].[Loan Amount].&amp;[150391]" c="150391"/>
              <i n="[Range].[Loan Amount].&amp;[150910]" c="150910"/>
              <i n="[Range].[Loan Amount].&amp;[152682]" c="152682"/>
              <i n="[Range].[Loan Amount].&amp;[153233]" c="153233"/>
              <i n="[Range].[Loan Amount].&amp;[154270]" c="154270"/>
              <i n="[Range].[Loan Amount].&amp;[155708]" c="155708"/>
              <i n="[Range].[Loan Amount].&amp;[158931]" c="158931"/>
              <i n="[Range].[Loan Amount].&amp;[159688]" c="159688"/>
              <i n="[Range].[Loan Amount].&amp;[160153]" c="160153"/>
              <i n="[Range].[Loan Amount].&amp;[160498]" c="160498"/>
              <i n="[Range].[Loan Amount].&amp;[163642]" c="163642"/>
              <i n="[Range].[Loan Amount].&amp;[163650]" c="163650"/>
              <i n="[Range].[Loan Amount].&amp;[163821]" c="163821"/>
              <i n="[Range].[Loan Amount].&amp;[167038]" c="167038"/>
              <i n="[Range].[Loan Amount].&amp;[168632]" c="168632"/>
              <i n="[Range].[Loan Amount].&amp;[169252]" c="169252"/>
              <i n="[Range].[Loan Amount].&amp;[170482]" c="170482"/>
              <i n="[Range].[Loan Amount].&amp;[173998]" c="173998"/>
              <i n="[Range].[Loan Amount].&amp;[174061]" c="174061"/>
              <i n="[Range].[Loan Amount].&amp;[174960]" c="174960"/>
              <i n="[Range].[Loan Amount].&amp;[176109]" c="176109"/>
              <i n="[Range].[Loan Amount].&amp;[176483]" c="176483"/>
              <i n="[Range].[Loan Amount].&amp;[179043]" c="179043"/>
              <i n="[Range].[Loan Amount].&amp;[179303]" c="179303"/>
              <i n="[Range].[Loan Amount].&amp;[181080]" c="181080"/>
              <i n="[Range].[Loan Amount].&amp;[183473]" c="183473"/>
              <i n="[Range].[Loan Amount].&amp;[185205]" c="185205"/>
              <i n="[Range].[Loan Amount].&amp;[186053]" c="186053"/>
              <i n="[Range].[Loan Amount].&amp;[189371]" c="189371"/>
              <i n="[Range].[Loan Amount].&amp;[189786]" c="189786"/>
              <i n="[Range].[Loan Amount].&amp;[189877]" c="189877"/>
              <i n="[Range].[Loan Amount].&amp;[190170]" c="190170"/>
              <i n="[Range].[Loan Amount].&amp;[191848]" c="191848"/>
              <i n="[Range].[Loan Amount].&amp;[192652]" c="192652"/>
              <i n="[Range].[Loan Amount].&amp;[193813]" c="193813"/>
              <i n="[Range].[Loan Amount].&amp;[194020]" c="194020"/>
              <i n="[Range].[Loan Amount].&amp;[195333]" c="195333"/>
              <i n="[Range].[Loan Amount].&amp;[198027]" c="198027"/>
              <i n="[Range].[Loan Amount].&amp;[201927]" c="201927"/>
              <i n="[Range].[Loan Amount].&amp;[202112]" c="202112"/>
              <i n="[Range].[Loan Amount].&amp;[202533]" c="202533"/>
              <i n="[Range].[Loan Amount].&amp;[202619]" c="202619"/>
              <i n="[Range].[Loan Amount].&amp;[205683]" c="205683"/>
              <i n="[Range].[Loan Amount].&amp;[207560]" c="207560"/>
              <i n="[Range].[Loan Amount].&amp;[208876]" c="208876"/>
              <i n="[Range].[Loan Amount].&amp;[210519]" c="210519"/>
              <i n="[Range].[Loan Amount].&amp;[212570]" c="212570"/>
              <i n="[Range].[Loan Amount].&amp;[213298]" c="213298"/>
              <i n="[Range].[Loan Amount].&amp;[214094]" c="214094"/>
              <i n="[Range].[Loan Amount].&amp;[216411]" c="216411"/>
              <i n="[Range].[Loan Amount].&amp;[217341]" c="217341"/>
              <i n="[Range].[Loan Amount].&amp;[218890]" c="218890"/>
              <i n="[Range].[Loan Amount].&amp;[220432]" c="220432"/>
              <i n="[Range].[Loan Amount].&amp;[221281]" c="221281"/>
              <i n="[Range].[Loan Amount].&amp;[222437]" c="222437"/>
              <i n="[Range].[Loan Amount].&amp;[223611]" c="223611"/>
              <i n="[Range].[Loan Amount].&amp;[224512]" c="224512"/>
              <i n="[Range].[Loan Amount].&amp;[230810]" c="230810"/>
              <i n="[Range].[Loan Amount].&amp;[231774]" c="231774"/>
              <i n="[Range].[Loan Amount].&amp;[232263]" c="232263"/>
              <i n="[Range].[Loan Amount].&amp;[235995]" c="235995"/>
              <i n="[Range].[Loan Amount].&amp;[236482]" c="236482"/>
              <i n="[Range].[Loan Amount].&amp;[237718]" c="237718"/>
              <i n="[Range].[Loan Amount].&amp;[238644]" c="238644"/>
              <i n="[Range].[Loan Amount].&amp;[239630]" c="239630"/>
              <i n="[Range].[Loan Amount].&amp;[239762]" c="239762"/>
              <i n="[Range].[Loan Amount].&amp;[240403]" c="240403"/>
              <i n="[Range].[Loan Amount].&amp;[240727]" c="240727"/>
              <i n="[Range].[Loan Amount].&amp;[244240]" c="244240"/>
              <i n="[Range].[Loan Amount].&amp;[249108]" c="249108"/>
              <i n="[Range].[Loan Amount].&amp;[249159]" c="249159"/>
              <i n="[Range].[Loan Amount].&amp;[250587]" c="250587"/>
              <i n="[Range].[Loan Amount].&amp;[255504]" c="255504"/>
              <i n="[Range].[Loan Amount].&amp;[256715]" c="256715"/>
              <i n="[Range].[Loan Amount].&amp;[256816]" c="256816"/>
              <i n="[Range].[Loan Amount].&amp;[257160]" c="257160"/>
              <i n="[Range].[Loan Amount].&amp;[260853]" c="260853"/>
              <i n="[Range].[Loan Amount].&amp;[262251]" c="262251"/>
              <i n="[Range].[Loan Amount].&amp;[267883]" c="267883"/>
              <i n="[Range].[Loan Amount].&amp;[268302]" c="268302"/>
              <i n="[Range].[Loan Amount].&amp;[268973]" c="268973"/>
              <i n="[Range].[Loan Amount].&amp;[270440]" c="270440"/>
              <i n="[Range].[Loan Amount].&amp;[271330]" c="271330"/>
              <i n="[Range].[Loan Amount].&amp;[272432]" c="272432"/>
              <i n="[Range].[Loan Amount].&amp;[274145]" c="274145"/>
              <i n="[Range].[Loan Amount].&amp;[277096]" c="277096"/>
              <i n="[Range].[Loan Amount].&amp;[277812]" c="277812"/>
              <i n="[Range].[Loan Amount].&amp;[281875]" c="281875"/>
              <i n="[Range].[Loan Amount].&amp;[283370]" c="283370"/>
              <i n="[Range].[Loan Amount].&amp;[288143]" c="288143"/>
              <i n="[Range].[Loan Amount].&amp;[291056]" c="291056"/>
              <i n="[Range].[Loan Amount].&amp;[293660]" c="293660"/>
              <i n="[Range].[Loan Amount].&amp;[293733]" c="293733"/>
              <i n="[Range].[Loan Amount].&amp;[294247]" c="294247"/>
              <i n="[Range].[Loan Amount].&amp;[294774]" c="294774"/>
              <i n="[Range].[Loan Amount].&amp;[297547]" c="297547"/>
              <i n="[Range].[Loan Amount].&amp;[297844]" c="297844"/>
              <i n="[Range].[Loan Amount].&amp;[298469]" c="298469"/>
              <i n="[Range].[Loan Amount].&amp;[307053]" c="307053"/>
              <i n="[Range].[Loan Amount].&amp;[307867]" c="307867"/>
              <i n="[Range].[Loan Amount].&amp;[313403]" c="313403"/>
              <i n="[Range].[Loan Amount].&amp;[313648]" c="313648"/>
              <i n="[Range].[Loan Amount].&amp;[316237]" c="316237"/>
              <i n="[Range].[Loan Amount].&amp;[316418]" c="316418"/>
              <i n="[Range].[Loan Amount].&amp;[317742]" c="317742"/>
              <i n="[Range].[Loan Amount].&amp;[319887]" c="319887"/>
              <i n="[Range].[Loan Amount].&amp;[320729]" c="320729"/>
              <i n="[Range].[Loan Amount].&amp;[323556]" c="323556"/>
              <i n="[Range].[Loan Amount].&amp;[325912]" c="325912"/>
              <i n="[Range].[Loan Amount].&amp;[326050]" c="326050"/>
              <i n="[Range].[Loan Amount].&amp;[327268]" c="327268"/>
              <i n="[Range].[Loan Amount].&amp;[327343]" c="327343"/>
              <i n="[Range].[Loan Amount].&amp;[327767]" c="327767"/>
              <i n="[Range].[Loan Amount].&amp;[328007]" c="328007"/>
              <i n="[Range].[Loan Amount].&amp;[330999]" c="330999"/>
              <i n="[Range].[Loan Amount].&amp;[331958]" c="331958"/>
              <i n="[Range].[Loan Amount].&amp;[331971]" c="331971"/>
              <i n="[Range].[Loan Amount].&amp;[334908]" c="334908"/>
              <i n="[Range].[Loan Amount].&amp;[337778]" c="337778"/>
              <i n="[Range].[Loan Amount].&amp;[337988]" c="337988"/>
              <i n="[Range].[Loan Amount].&amp;[338669]" c="338669"/>
              <i n="[Range].[Loan Amount].&amp;[338776]" c="338776"/>
              <i n="[Range].[Loan Amount].&amp;[339400]" c="339400"/>
              <i n="[Range].[Loan Amount].&amp;[340596]" c="340596"/>
              <i n="[Range].[Loan Amount].&amp;[343981]" c="343981"/>
              <i n="[Range].[Loan Amount].&amp;[349002]" c="349002"/>
              <i n="[Range].[Loan Amount].&amp;[352016]" c="352016"/>
              <i n="[Range].[Loan Amount].&amp;[354869]" c="354869"/>
              <i n="[Range].[Loan Amount].&amp;[355502]" c="355502"/>
              <i n="[Range].[Loan Amount].&amp;[358285]" c="358285"/>
              <i n="[Range].[Loan Amount].&amp;[359023]" c="359023"/>
              <i n="[Range].[Loan Amount].&amp;[361407]" c="361407"/>
              <i n="[Range].[Loan Amount].&amp;[367000]" c="367000"/>
              <i n="[Range].[Loan Amount].&amp;[373231]" c="373231"/>
              <i n="[Range].[Loan Amount].&amp;[373796]" c="373796"/>
              <i n="[Range].[Loan Amount].&amp;[373871]" c="373871"/>
              <i n="[Range].[Loan Amount].&amp;[374472]" c="374472"/>
              <i n="[Range].[Loan Amount].&amp;[375606]" c="375606"/>
              <i n="[Range].[Loan Amount].&amp;[377752]" c="377752"/>
              <i n="[Range].[Loan Amount].&amp;[378314]" c="378314"/>
              <i n="[Range].[Loan Amount].&amp;[378733]" c="378733"/>
              <i n="[Range].[Loan Amount].&amp;[378987]" c="378987"/>
              <i n="[Range].[Loan Amount].&amp;[384844]" c="384844"/>
              <i n="[Range].[Loan Amount].&amp;[386000]" c="386000"/>
              <i n="[Range].[Loan Amount].&amp;[386480]" c="386480"/>
              <i n="[Range].[Loan Amount].&amp;[390351]" c="390351"/>
              <i n="[Range].[Loan Amount].&amp;[393912]" c="393912"/>
              <i n="[Range].[Loan Amount].&amp;[394397]" c="394397"/>
              <i n="[Range].[Loan Amount].&amp;[399876]" c="399876"/>
              <i n="[Range].[Loan Amount].&amp;[400293]" c="400293"/>
              <i n="[Range].[Loan Amount].&amp;[400437]" c="400437"/>
              <i n="[Range].[Loan Amount].&amp;[400810]" c="400810"/>
              <i n="[Range].[Loan Amount].&amp;[400824]" c="400824"/>
              <i n="[Range].[Loan Amount].&amp;[401947]" c="401947"/>
              <i n="[Range].[Loan Amount].&amp;[402463]" c="402463"/>
              <i n="[Range].[Loan Amount].&amp;[404087]" c="404087"/>
              <i n="[Range].[Loan Amount].&amp;[406524]" c="406524"/>
              <i n="[Range].[Loan Amount].&amp;[407605]" c="407605"/>
              <i n="[Range].[Loan Amount].&amp;[410444]" c="410444"/>
              <i n="[Range].[Loan Amount].&amp;[412605]" c="412605"/>
              <i n="[Range].[Loan Amount].&amp;[415631]" c="415631"/>
              <i n="[Range].[Loan Amount].&amp;[418530]" c="418530"/>
              <i n="[Range].[Loan Amount].&amp;[418669]" c="418669"/>
              <i n="[Range].[Loan Amount].&amp;[418748]" c="418748"/>
              <i n="[Range].[Loan Amount].&amp;[419652]" c="419652"/>
              <i n="[Range].[Loan Amount].&amp;[420896]" c="420896"/>
              <i n="[Range].[Loan Amount].&amp;[421743]" c="421743"/>
              <i n="[Range].[Loan Amount].&amp;[425217]" c="425217"/>
              <i n="[Range].[Loan Amount].&amp;[425960]" c="425960"/>
              <i n="[Range].[Loan Amount].&amp;[427142]" c="427142"/>
              <i n="[Range].[Loan Amount].&amp;[427817]" c="427817"/>
              <i n="[Range].[Loan Amount].&amp;[427919]" c="427919"/>
              <i n="[Range].[Loan Amount].&amp;[429120]" c="429120"/>
              <i n="[Range].[Loan Amount].&amp;[429201]" c="429201"/>
              <i n="[Range].[Loan Amount].&amp;[429430]" c="429430"/>
              <i n="[Range].[Loan Amount].&amp;[435189]" c="435189"/>
              <i n="[Range].[Loan Amount].&amp;[436741]" c="436741"/>
              <i n="[Range].[Loan Amount].&amp;[436773]" c="436773"/>
              <i n="[Range].[Loan Amount].&amp;[437637]" c="437637"/>
              <i n="[Range].[Loan Amount].&amp;[441362]" c="441362"/>
              <i n="[Range].[Loan Amount].&amp;[442422]" c="442422"/>
              <i n="[Range].[Loan Amount].&amp;[443094]" c="443094"/>
              <i n="[Range].[Loan Amount].&amp;[443758]" c="443758"/>
              <i n="[Range].[Loan Amount].&amp;[443994]" c="443994"/>
              <i n="[Range].[Loan Amount].&amp;[446572]" c="446572"/>
              <i n="[Range].[Loan Amount].&amp;[448853]" c="448853"/>
              <i n="[Range].[Loan Amount].&amp;[448987]" c="448987"/>
              <i n="[Range].[Loan Amount].&amp;[452407]" c="452407"/>
              <i n="[Range].[Loan Amount].&amp;[453766]" c="453766"/>
              <i n="[Range].[Loan Amount].&amp;[455242]" c="455242"/>
              <i n="[Range].[Loan Amount].&amp;[456177]" c="456177"/>
              <i n="[Range].[Loan Amount].&amp;[457117]" c="457117"/>
              <i n="[Range].[Loan Amount].&amp;[459837]" c="459837"/>
              <i n="[Range].[Loan Amount].&amp;[460094]" c="460094"/>
              <i n="[Range].[Loan Amount].&amp;[460249]" c="460249"/>
              <i n="[Range].[Loan Amount].&amp;[461499]" c="461499"/>
              <i n="[Range].[Loan Amount].&amp;[462813]" c="462813"/>
              <i n="[Range].[Loan Amount].&amp;[466118]" c="466118"/>
              <i n="[Range].[Loan Amount].&amp;[466661]" c="466661"/>
              <i n="[Range].[Loan Amount].&amp;[468551]" c="468551"/>
              <i n="[Range].[Loan Amount].&amp;[470386]" c="470386"/>
              <i n="[Range].[Loan Amount].&amp;[474674]" c="474674"/>
              <i n="[Range].[Loan Amount].&amp;[475478]" c="475478"/>
              <i n="[Range].[Loan Amount].&amp;[479041]" c="479041"/>
              <i n="[Range].[Loan Amount].&amp;[483567]" c="483567"/>
              <i n="[Range].[Loan Amount].&amp;[488442]" c="488442"/>
              <i n="[Range].[Loan Amount].&amp;[490447]" c="490447"/>
              <i n="[Range].[Loan Amount].&amp;[491563]" c="491563"/>
              <i n="[Range].[Loan Amount].&amp;[492269]" c="492269"/>
              <i n="[Range].[Loan Amount].&amp;[493910]" c="493910"/>
              <i n="[Range].[Loan Amount].&amp;[494060]" c="494060"/>
              <i n="[Range].[Loan Amount].&amp;[495342]" c="495342"/>
              <i n="[Range].[Loan Amount].&amp;[495367]" c="495367"/>
              <i n="[Range].[Loan Amount].&amp;[499901]" c="499901"/>
              <i n="[Range].[Loan Amount].&amp;[505226]" c="505226"/>
              <i n="[Range].[Loan Amount].&amp;[507708]" c="507708"/>
              <i n="[Range].[Loan Amount].&amp;[512353]" c="512353"/>
              <i n="[Range].[Loan Amount].&amp;[523327]" c="523327"/>
              <i n="[Range].[Loan Amount].&amp;[524340]" c="524340"/>
              <i n="[Range].[Loan Amount].&amp;[526532]" c="526532"/>
              <i n="[Range].[Loan Amount].&amp;[534956]" c="534956"/>
              <i n="[Range].[Loan Amount].&amp;[541667]" c="541667"/>
              <i n="[Range].[Loan Amount].&amp;[544070]" c="544070"/>
              <i n="[Range].[Loan Amount].&amp;[546571]" c="546571"/>
              <i n="[Range].[Loan Amount].&amp;[553092]" c="553092"/>
              <i n="[Range].[Loan Amount].&amp;[567698]" c="567698"/>
              <i n="[Range].[Loan Amount].&amp;[573339]" c="573339"/>
              <i n="[Range].[Loan Amount].&amp;[574723]" c="574723"/>
              <i n="[Range].[Loan Amount].&amp;[579468]" c="579468"/>
              <i n="[Range].[Loan Amount].&amp;[583290]" c="583290"/>
              <i n="[Range].[Loan Amount].&amp;[593884]" c="593884"/>
              <i n="[Range].[Loan Amount].&amp;[599551]" c="599551"/>
              <i n="[Range].[Loan Amount].&amp;[601157]" c="601157"/>
              <i n="[Range].[Loan Amount].&amp;[608670]" c="608670"/>
              <i n="[Range].[Loan Amount].&amp;[609985]" c="609985"/>
              <i n="[Range].[Loan Amount].&amp;[616617]" c="616617"/>
              <i n="[Range].[Loan Amount].&amp;[635477]" c="635477"/>
              <i n="[Range].[Loan Amount].&amp;[646912]" c="646912"/>
              <i n="[Range].[Loan Amount].&amp;[647413]" c="647413"/>
              <i n="[Range].[Loan Amount].&amp;[657029]" c="657029"/>
              <i n="[Range].[Loan Amount].&amp;[658270]" c="658270"/>
              <i n="[Range].[Loan Amount].&amp;[675983]" c="675983"/>
              <i n="[Range].[Loan Amount].&amp;[683724]" c="683724"/>
              <i n="[Range].[Loan Amount].&amp;[687580]" c="687580"/>
              <i n="[Range].[Loan Amount].&amp;[687712]" c="687712"/>
              <i n="[Range].[Loan Amount].&amp;[690999]" c="690999"/>
              <i n="[Range].[Loan Amount].&amp;[691356]" c="691356"/>
              <i n="[Range].[Loan Amount].&amp;[699648]" c="699648"/>
              <i n="[Range].[Loan Amount].&amp;[742334]" c="742334"/>
              <i n="[Range].[Loan Amount].&amp;[743329]" c="743329"/>
              <i n="[Range].[Loan Amount].&amp;[749646]" c="749646"/>
              <i n="[Range].[Loan Amount].&amp;[751284]" c="751284"/>
              <i n="[Range].[Loan Amount].&amp;[759052]" c="759052"/>
              <i n="[Range].[Loan Amount].&amp;[760427]" c="760427"/>
              <i n="[Range].[Loan Amount].&amp;[764805]" c="764805"/>
              <i n="[Range].[Loan Amount].&amp;[773585]" c="773585"/>
              <i n="[Range].[Loan Amount].&amp;[776443]" c="776443"/>
              <i n="[Range].[Loan Amount].&amp;[780852]" c="780852"/>
              <i n="[Range].[Loan Amount].&amp;[787061]" c="787061"/>
              <i n="[Range].[Loan Amount].&amp;[807779]" c="807779"/>
              <i n="[Range].[Loan Amount].&amp;[825832]" c="825832"/>
              <i n="[Range].[Loan Amount].&amp;[826834]" c="826834"/>
              <i n="[Range].[Loan Amount].&amp;[835308]" c="835308"/>
              <i n="[Range].[Loan Amount].&amp;[843462]" c="843462"/>
              <i n="[Range].[Loan Amount].&amp;[849933]" c="849933"/>
              <i n="[Range].[Loan Amount].&amp;[850251]" c="850251"/>
              <i n="[Range].[Loan Amount].&amp;[850757]" c="850757"/>
              <i n="[Range].[Loan Amount].&amp;[854228]" c="854228"/>
              <i n="[Range].[Loan Amount].&amp;[857504]" c="857504"/>
              <i n="[Range].[Loan Amount].&amp;[889777]" c="889777"/>
              <i n="[Range].[Loan Amount].&amp;[895194]" c="895194"/>
              <i n="[Range].[Loan Amount].&amp;[913730]" c="913730"/>
              <i n="[Range].[Loan Amount].&amp;[923910]" c="923910"/>
              <i n="[Range].[Loan Amount].&amp;[924744]" c="924744"/>
              <i n="[Range].[Loan Amount].&amp;[929703]" c="929703"/>
              <i n="[Range].[Loan Amount].&amp;[937837]" c="937837"/>
              <i n="[Range].[Loan Amount].&amp;[948369]" c="948369"/>
              <i n="[Range].[Loan Amount].&amp;[955996]" c="955996"/>
              <i n="[Range].[Loan Amount].&amp;[961372]" c="961372"/>
              <i n="[Range].[Loan Amount].&amp;[980114]" c="980114"/>
              <i n="[Range].[Loan Amount].&amp;[983946]" c="983946"/>
              <i n="[Range].[Loan Amount].&amp;[1020173]" c="1020173"/>
              <i n="[Range].[Loan Amount].&amp;[1048987]" c="1048987"/>
              <i n="[Range].[Loan Amount].&amp;[1301526]" c="1301526"/>
              <i n="[Range].[Loan Amount].&amp;[1327991]" c="1327991"/>
              <i n="[Range].[Loan Amount].&amp;[1329384]" c="1329384"/>
              <i n="[Range].[Loan Amount].&amp;[1375200]" c="1375200"/>
              <i n="[Range].[Loan Amount].&amp;[1382977]" c="1382977"/>
              <i n="[Range].[Loan Amount].&amp;[1407847]" c="1407847"/>
              <i n="[Range].[Loan Amount].&amp;[1424984]" c="1424984"/>
              <i n="[Range].[Loan Amount].&amp;[1458953]" c="1458953"/>
              <i n="[Range].[Loan Amount].&amp;[1461218]" c="1461218"/>
              <i n="[Range].[Loan Amount].&amp;[1468854]" c="1468854"/>
              <i n="[Range].[Loan Amount].&amp;[1483314]" c="1483314"/>
              <i n="[Range].[Loan Amount].&amp;[1538197]" c="1538197"/>
              <i n="[Range].[Loan Amount].&amp;[1576256]" c="1576256"/>
              <i n="[Range].[Loan Amount].&amp;[1623753]" c="1623753"/>
              <i n="[Range].[Loan Amount].&amp;[1683656]" c="1683656"/>
              <i n="[Range].[Loan Amount].&amp;[1748590]" c="1748590"/>
              <i n="[Range].[Loan Amount].&amp;[1883271]" c="1883271"/>
              <i n="[Range].[Loan Amount].&amp;[1914611]" c="1914611"/>
              <i n="[Range].[Loan Amount].&amp;[1961749]" c="1961749"/>
              <i n="[Range].[Loan Amount].&amp;[1963813]" c="1963813"/>
              <i n="[Range].[Loan Amount].&amp;[1970019]" c="1970019"/>
              <i n="[Range].[Loan Amount].&amp;[1974880]" c="1974880"/>
              <i n="[Range].[Loan Amount].&amp;[1988669]" c="1988669"/>
              <i n="[Range].[Loan Amount].&amp;[2020670]" c="2020670"/>
              <i n="[Range].[Loan Amount].&amp;[2128928]" c="2128928"/>
              <i n="[Range].[Loan Amount].&amp;[2299564]" c="2299564"/>
              <i n="[Range].[Loan Amount].&amp;[2402785]" c="2402785"/>
              <i n="[Range].[Loan Amount].&amp;[2414959]" c="2414959"/>
              <i n="[Range].[Loan Amount].&amp;[2462029]" c="2462029"/>
              <i n="[Range].[Loan Amount].&amp;[2473551]" c="2473551"/>
              <i n="[Range].[Loan Amount].&amp;[2482924]" c="2482924"/>
              <i n="[Range].[Loan Amount].&amp;[2557049]" c="2557049"/>
              <i n="[Range].[Loan Amount].&amp;[2564832]" c="2564832"/>
              <i n="[Range].[Loan Amount].&amp;[2599752]" c="2599752"/>
              <i n="[Range].[Loan Amount].&amp;[2604107]" c="2604107"/>
              <i n="[Range].[Loan Amount].&amp;[2724934]" c="2724934"/>
              <i n="[Range].[Loan Amount].&amp;[2743459]" c="2743459"/>
              <i n="[Range].[Loan Amount].&amp;[2789959]" c="2789959"/>
              <i n="[Range].[Loan Amount].&amp;[2843925]" c="2843925"/>
              <i n="[Range].[Loan Amount].&amp;[2878976]" c="2878976"/>
              <i n="[Range].[Loan Amount].&amp;[3093237]" c="3093237"/>
              <i n="[Range].[Loan Amount].&amp;[3100702]" c="3100702"/>
              <i n="[Range].[Loan Amount].&amp;[3136588]" c="3136588"/>
              <i n="[Range].[Loan Amount].&amp;[3179064]" c="3179064"/>
              <i n="[Range].[Loan Amount].&amp;[3307896]" c="3307896"/>
              <i n="[Range].[Loan Amount].&amp;[3316493]" c="3316493"/>
              <i n="[Range].[Loan Amount].&amp;[3354124]" c="3354124"/>
              <i n="[Range].[Loan Amount].&amp;[3469064]" c="3469064"/>
              <i n="[Range].[Loan Amount].&amp;[3477084]" c="3477084"/>
              <i n="[Range].[Loan Amount].&amp;[3503544]" c="3503544"/>
              <i n="[Range].[Loan Amount].&amp;[3504155]" c="3504155"/>
              <i n="[Range].[Loan Amount].&amp;[3562193]" c="3562193"/>
              <i n="[Range].[Loan Amount].&amp;[3568030]" c="3568030"/>
              <i n="[Range].[Loan Amount].&amp;[3611934]" c="3611934"/>
              <i n="[Range].[Loan Amount].&amp;[3614953]" c="3614953"/>
              <i n="[Range].[Loan Amount].&amp;[3640716]" c="3640716"/>
              <i n="[Range].[Loan Amount].&amp;[3740478]" c="3740478"/>
              <i n="[Range].[Loan Amount].&amp;[3770688]" c="3770688"/>
              <i n="[Range].[Loan Amount].&amp;[3777348]" c="3777348"/>
              <i n="[Range].[Loan Amount].&amp;[3780558]" c="3780558"/>
              <i n="[Range].[Loan Amount].&amp;[3805086]" c="3805086"/>
              <i n="[Range].[Loan Amount].&amp;[3864990]" c="3864990"/>
              <i n="[Range].[Loan Amount].&amp;[3897092]" c="3897092"/>
              <i n="[Range].[Loan Amount].&amp;[3920084]" c="3920084"/>
              <i n="[Range].[Loan Amount].&amp;[3975290]" c="3975290"/>
              <i n="[Range].[Loan Amount].&amp;[3986835]" c="3986835"/>
              <i n="[Range].[Loan Amount].&amp;[4016551]" c="4016551"/>
              <i n="[Range].[Loan Amount].&amp;[4075679]" c="4075679"/>
              <i n="[Range].[Loan Amount].&amp;[4106319]" c="4106319"/>
              <i n="[Range].[Loan Amount].&amp;[4158723]" c="4158723"/>
              <i n="[Range].[Loan Amount].&amp;[4211767]" c="4211767"/>
              <i n="[Range].[Loan Amount].&amp;[4271655]" c="4271655"/>
              <i n="[Range].[Loan Amount].&amp;[4336209]" c="4336209"/>
              <i n="[Range].[Loan Amount].&amp;[4351676]" c="4351676"/>
              <i n="[Range].[Loan Amount].&amp;[4418343]" c="4418343"/>
              <i n="[Range].[Loan Amount].&amp;[4439261]" c="4439261"/>
              <i n="[Range].[Loan Amount].&amp;[4451379]" c="4451379"/>
              <i n="[Range].[Loan Amount].&amp;[4464264]" c="4464264"/>
              <i n="[Range].[Loan Amount].&amp;[4529196]" c="4529196"/>
              <i n="[Range].[Loan Amount].&amp;[4551078]" c="4551078"/>
              <i n="[Range].[Loan Amount].&amp;[4607956]" c="4607956"/>
              <i n="[Range].[Loan Amount].&amp;[4835464]" c="4835464"/>
              <i n="[Range].[Loan Amount].&amp;[4854120]" c="4854120"/>
              <i n="[Range].[Loan Amount].&amp;" c="(blank)" nd="1"/>
            </range>
          </ranges>
        </level>
      </levels>
      <selections count="1">
        <selection n="[Range].[Loan Amou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xr10:uid="{EC362EEC-9BA1-4289-9168-5F39FF485215}" cache="Slicer_Client" caption="Client" level="1" rowHeight="257175"/>
  <slicer name="Loan Amount" xr10:uid="{32634EB1-AF90-4CD8-B72F-17834E6601B9}" cache="Slicer_Loan_Amount" caption="Loan Amount" startItem="377"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01"/>
  <sheetViews>
    <sheetView workbookViewId="0">
      <pane xSplit="4" ySplit="1" topLeftCell="E2" activePane="bottomRight" state="frozen"/>
      <selection pane="topRight" activeCell="E1" sqref="E1"/>
      <selection pane="bottomLeft" activeCell="A2" sqref="A2"/>
      <selection pane="bottomRight"/>
    </sheetView>
  </sheetViews>
  <sheetFormatPr defaultColWidth="8.625" defaultRowHeight="15.75" x14ac:dyDescent="0.25"/>
  <cols>
    <col min="1" max="1" width="4.625" customWidth="1"/>
    <col min="2" max="2" width="19" bestFit="1" customWidth="1"/>
    <col min="3" max="3" width="8.875" customWidth="1"/>
    <col min="4" max="4" width="7.5" customWidth="1"/>
    <col min="5" max="5" width="5.125" customWidth="1"/>
    <col min="6" max="6" width="6" customWidth="1"/>
    <col min="7" max="7" width="9.75" customWidth="1"/>
    <col min="8" max="8" width="12.625" style="21" bestFit="1" customWidth="1"/>
    <col min="9" max="9" width="13.625" style="28" bestFit="1" customWidth="1"/>
    <col min="10" max="10" width="10.5" style="28" bestFit="1" customWidth="1"/>
    <col min="11" max="11" width="10.375" style="26" bestFit="1" customWidth="1"/>
    <col min="12" max="12" width="12.375" style="26" bestFit="1" customWidth="1"/>
    <col min="13" max="13" width="18.875" customWidth="1"/>
    <col min="14" max="14" width="15.5" bestFit="1" customWidth="1"/>
    <col min="15" max="15" width="16.125" bestFit="1" customWidth="1"/>
    <col min="16" max="16" width="15.875" style="16" bestFit="1" customWidth="1"/>
    <col min="17" max="16384" width="8.625" style="16"/>
  </cols>
  <sheetData>
    <row r="1" spans="1:16" s="3" customFormat="1" ht="26.45" customHeight="1" x14ac:dyDescent="0.25">
      <c r="A1" s="2" t="s">
        <v>9</v>
      </c>
      <c r="B1" s="2" t="s">
        <v>0</v>
      </c>
      <c r="C1" s="2" t="s">
        <v>1017</v>
      </c>
      <c r="D1" s="2" t="s">
        <v>8</v>
      </c>
      <c r="E1" s="2" t="s">
        <v>7</v>
      </c>
      <c r="F1" s="2" t="s">
        <v>1</v>
      </c>
      <c r="G1" s="2" t="s">
        <v>2</v>
      </c>
      <c r="H1" s="17" t="s">
        <v>3</v>
      </c>
      <c r="I1" s="27" t="s">
        <v>4</v>
      </c>
      <c r="J1" s="27" t="s">
        <v>6</v>
      </c>
      <c r="K1" s="22" t="s">
        <v>5</v>
      </c>
      <c r="L1" s="22" t="s">
        <v>1019</v>
      </c>
      <c r="M1" s="2" t="s">
        <v>1028</v>
      </c>
      <c r="N1" s="2" t="s">
        <v>14</v>
      </c>
      <c r="O1" s="13" t="s">
        <v>13</v>
      </c>
      <c r="P1" s="2" t="s">
        <v>12</v>
      </c>
    </row>
    <row r="2" spans="1:16" s="8" customFormat="1" x14ac:dyDescent="0.25">
      <c r="A2" s="7">
        <v>1</v>
      </c>
      <c r="B2" s="7" t="s">
        <v>1018</v>
      </c>
      <c r="C2" s="7" t="s">
        <v>1039</v>
      </c>
      <c r="D2" s="7">
        <v>1</v>
      </c>
      <c r="E2" s="7">
        <v>1</v>
      </c>
      <c r="F2" s="7">
        <v>1</v>
      </c>
      <c r="G2" s="7" t="s">
        <v>1020</v>
      </c>
      <c r="H2" s="18">
        <v>22324</v>
      </c>
      <c r="I2" s="12">
        <v>44340</v>
      </c>
      <c r="J2" s="12">
        <v>44858</v>
      </c>
      <c r="K2" s="23">
        <v>1854</v>
      </c>
      <c r="L2" s="23">
        <v>20470</v>
      </c>
      <c r="M2" s="7" t="s">
        <v>1032</v>
      </c>
      <c r="N2" s="7" t="str">
        <f ca="1">_xlfn.IFNA(VLOOKUP("2"&amp;B2,CountSpecific!E:F,2,0),"")</f>
        <v>Is not committed, but promises to pay</v>
      </c>
      <c r="O2" s="14" t="str">
        <f ca="1">_xlfn.IFNA(VLOOKUP("3"&amp;B2,CountSpecific!E:F,2,0),"")</f>
        <v>Will repay more despite owing</v>
      </c>
      <c r="P2" s="7" t="str">
        <f ca="1">_xlfn.IFNA(VLOOKUP("4"&amp;B2,CountSpecific!E:F,2,0),"")</f>
        <v>Promised to pay</v>
      </c>
    </row>
    <row r="3" spans="1:16" s="8" customFormat="1" x14ac:dyDescent="0.25">
      <c r="A3" s="7">
        <v>2</v>
      </c>
      <c r="B3" s="7" t="s">
        <v>18</v>
      </c>
      <c r="C3" s="7" t="s">
        <v>1039</v>
      </c>
      <c r="D3" s="7">
        <v>2</v>
      </c>
      <c r="E3" s="7">
        <v>2</v>
      </c>
      <c r="F3" s="7">
        <v>2</v>
      </c>
      <c r="G3" s="7" t="s">
        <v>1021</v>
      </c>
      <c r="H3" s="18">
        <v>93325</v>
      </c>
      <c r="I3" s="12">
        <v>45059</v>
      </c>
      <c r="J3" s="12">
        <v>45151</v>
      </c>
      <c r="K3" s="23">
        <v>31112</v>
      </c>
      <c r="L3" s="23">
        <v>62213</v>
      </c>
      <c r="M3" s="7" t="s">
        <v>1034</v>
      </c>
      <c r="N3" s="7" t="str">
        <f ca="1">_xlfn.IFNA(VLOOKUP("2"&amp;B3,CountSpecific!E:F,2,0),"")</f>
        <v>Client is willing to proceed with repayments</v>
      </c>
      <c r="O3" s="14" t="str">
        <f ca="1">_xlfn.IFNA(VLOOKUP("3"&amp;B3,CountSpecific!E:F,2,0),"")</f>
        <v/>
      </c>
      <c r="P3" s="7" t="str">
        <f ca="1">_xlfn.IFNA(VLOOKUP("4"&amp;B3,CountSpecific!E:F,2,0),"")</f>
        <v/>
      </c>
    </row>
    <row r="4" spans="1:16" s="10" customFormat="1" x14ac:dyDescent="0.25">
      <c r="A4" s="9">
        <v>3</v>
      </c>
      <c r="B4" s="9" t="s">
        <v>19</v>
      </c>
      <c r="C4" s="7" t="s">
        <v>1039</v>
      </c>
      <c r="D4" s="7">
        <v>3</v>
      </c>
      <c r="E4" s="9">
        <v>3</v>
      </c>
      <c r="F4" s="7">
        <v>3</v>
      </c>
      <c r="G4" s="9" t="s">
        <v>1022</v>
      </c>
      <c r="H4" s="19">
        <v>16472</v>
      </c>
      <c r="I4" s="12">
        <v>45394</v>
      </c>
      <c r="J4" s="12">
        <v>46034</v>
      </c>
      <c r="K4" s="24">
        <v>5804</v>
      </c>
      <c r="L4" s="23">
        <v>10668</v>
      </c>
      <c r="M4" s="9" t="s">
        <v>1035</v>
      </c>
      <c r="N4" s="9" t="str">
        <f ca="1">_xlfn.IFNA(VLOOKUP("2"&amp;B4,CountSpecific!E:F,2,0),"")</f>
        <v/>
      </c>
      <c r="O4" s="15" t="str">
        <f ca="1">_xlfn.IFNA(VLOOKUP("3"&amp;B4,CountSpecific!E:F,2,0),"")</f>
        <v/>
      </c>
      <c r="P4" s="9" t="str">
        <f ca="1">_xlfn.IFNA(VLOOKUP("4"&amp;B4,CountSpecific!E:F,2,0),"")</f>
        <v/>
      </c>
    </row>
    <row r="5" spans="1:16" s="8" customFormat="1" x14ac:dyDescent="0.25">
      <c r="A5" s="7">
        <v>4</v>
      </c>
      <c r="B5" s="7" t="s">
        <v>20</v>
      </c>
      <c r="C5" s="7" t="s">
        <v>1039</v>
      </c>
      <c r="D5" s="7">
        <v>4</v>
      </c>
      <c r="E5" s="7">
        <v>4</v>
      </c>
      <c r="F5" s="7">
        <v>4</v>
      </c>
      <c r="G5" s="7" t="s">
        <v>1023</v>
      </c>
      <c r="H5" s="18">
        <v>340</v>
      </c>
      <c r="I5" s="12">
        <v>45223</v>
      </c>
      <c r="J5" s="12">
        <v>45467</v>
      </c>
      <c r="K5" s="23">
        <v>152</v>
      </c>
      <c r="L5" s="23">
        <v>188</v>
      </c>
      <c r="M5" s="7" t="s">
        <v>1038</v>
      </c>
      <c r="N5" s="7" t="str">
        <f ca="1">_xlfn.IFNA(VLOOKUP("2"&amp;B5,CountSpecific!E:F,2,0),"")</f>
        <v>Promised to pay</v>
      </c>
      <c r="O5" s="14" t="str">
        <f ca="1">_xlfn.IFNA(VLOOKUP("3"&amp;B5,CountSpecific!E:F,2,0),"")</f>
        <v>Lost his job, but able to pay once employed</v>
      </c>
      <c r="P5" s="7" t="str">
        <f ca="1">_xlfn.IFNA(VLOOKUP("4"&amp;B5,CountSpecific!E:F,2,0),"")</f>
        <v/>
      </c>
    </row>
    <row r="6" spans="1:16" s="8" customFormat="1" x14ac:dyDescent="0.25">
      <c r="A6" s="7">
        <v>5</v>
      </c>
      <c r="B6" s="7" t="s">
        <v>21</v>
      </c>
      <c r="C6" s="7" t="s">
        <v>1039</v>
      </c>
      <c r="D6" s="7">
        <v>5</v>
      </c>
      <c r="E6" s="7">
        <v>5</v>
      </c>
      <c r="F6" s="7">
        <v>5</v>
      </c>
      <c r="G6" s="7" t="s">
        <v>1024</v>
      </c>
      <c r="H6" s="18">
        <v>683724</v>
      </c>
      <c r="I6" s="12">
        <v>44906</v>
      </c>
      <c r="J6" s="12">
        <v>45607</v>
      </c>
      <c r="K6" s="23">
        <v>482448</v>
      </c>
      <c r="L6" s="23">
        <v>201276</v>
      </c>
      <c r="M6" s="7" t="s">
        <v>1037</v>
      </c>
      <c r="N6" s="7" t="str">
        <f ca="1">_xlfn.IFNA(VLOOKUP("2"&amp;B6,CountSpecific!E:F,2,0),"")</f>
        <v/>
      </c>
      <c r="O6" s="14" t="str">
        <f ca="1">_xlfn.IFNA(VLOOKUP("3"&amp;B6,CountSpecific!E:F,2,0),"")</f>
        <v/>
      </c>
      <c r="P6" s="7" t="str">
        <f ca="1">_xlfn.IFNA(VLOOKUP("4"&amp;B6,CountSpecific!E:F,2,0),"")</f>
        <v/>
      </c>
    </row>
    <row r="7" spans="1:16" s="8" customFormat="1" x14ac:dyDescent="0.25">
      <c r="A7" s="7">
        <v>6</v>
      </c>
      <c r="B7" s="7" t="s">
        <v>22</v>
      </c>
      <c r="C7" s="7" t="s">
        <v>1039</v>
      </c>
      <c r="D7" s="7">
        <v>6</v>
      </c>
      <c r="E7" s="9">
        <v>6</v>
      </c>
      <c r="F7" s="7">
        <v>6</v>
      </c>
      <c r="G7" s="7" t="s">
        <v>1025</v>
      </c>
      <c r="H7" s="18">
        <v>192652</v>
      </c>
      <c r="I7" s="12">
        <v>44716</v>
      </c>
      <c r="J7" s="12">
        <v>44777</v>
      </c>
      <c r="K7" s="23">
        <v>185259</v>
      </c>
      <c r="L7" s="23">
        <v>7393</v>
      </c>
      <c r="M7" s="7"/>
      <c r="N7" s="7" t="str">
        <f ca="1">_xlfn.IFNA(VLOOKUP("2"&amp;B7,CountSpecific!E:F,2,0),"")</f>
        <v/>
      </c>
      <c r="O7" s="14" t="str">
        <f ca="1">_xlfn.IFNA(VLOOKUP("3"&amp;B7,CountSpecific!E:F,2,0),"")</f>
        <v/>
      </c>
      <c r="P7" s="7" t="str">
        <f ca="1">_xlfn.IFNA(VLOOKUP("4"&amp;B7,CountSpecific!E:F,2,0),"")</f>
        <v/>
      </c>
    </row>
    <row r="8" spans="1:16" s="8" customFormat="1" x14ac:dyDescent="0.25">
      <c r="A8" s="7">
        <v>7</v>
      </c>
      <c r="B8" s="7" t="s">
        <v>23</v>
      </c>
      <c r="C8" s="7" t="s">
        <v>1039</v>
      </c>
      <c r="D8" s="7">
        <v>7</v>
      </c>
      <c r="E8" s="7">
        <v>7</v>
      </c>
      <c r="F8" s="7">
        <v>7</v>
      </c>
      <c r="G8" s="7" t="s">
        <v>1016</v>
      </c>
      <c r="H8" s="18">
        <v>13989</v>
      </c>
      <c r="I8" s="12">
        <v>45334</v>
      </c>
      <c r="J8" s="12">
        <v>45850</v>
      </c>
      <c r="K8" s="23">
        <v>3966</v>
      </c>
      <c r="L8" s="23">
        <v>10023</v>
      </c>
      <c r="M8" s="7"/>
      <c r="N8" s="7" t="str">
        <f ca="1">_xlfn.IFNA(VLOOKUP("2"&amp;B8,CountSpecific!E:F,2,0),"")</f>
        <v/>
      </c>
      <c r="O8" s="14" t="str">
        <f ca="1">_xlfn.IFNA(VLOOKUP("3"&amp;B8,CountSpecific!E:F,2,0),"")</f>
        <v/>
      </c>
      <c r="P8" s="7" t="str">
        <f ca="1">_xlfn.IFNA(VLOOKUP("4"&amp;B8,CountSpecific!E:F,2,0),"")</f>
        <v/>
      </c>
    </row>
    <row r="9" spans="1:16" s="8" customFormat="1" x14ac:dyDescent="0.25">
      <c r="A9" s="7">
        <v>8</v>
      </c>
      <c r="B9" s="7" t="s">
        <v>24</v>
      </c>
      <c r="C9" s="7" t="s">
        <v>1039</v>
      </c>
      <c r="D9" s="7">
        <v>8</v>
      </c>
      <c r="E9" s="7">
        <v>8</v>
      </c>
      <c r="F9" s="7">
        <v>8</v>
      </c>
      <c r="G9" s="7" t="s">
        <v>1020</v>
      </c>
      <c r="H9" s="18">
        <v>99042</v>
      </c>
      <c r="I9" s="12">
        <v>44450</v>
      </c>
      <c r="J9" s="12">
        <v>45118</v>
      </c>
      <c r="K9" s="23">
        <v>59886</v>
      </c>
      <c r="L9" s="23">
        <v>39156</v>
      </c>
      <c r="M9" s="7"/>
      <c r="N9" s="7" t="str">
        <f ca="1">_xlfn.IFNA(VLOOKUP("2"&amp;B9,CountSpecific!E:F,2,0),"")</f>
        <v/>
      </c>
      <c r="O9" s="14" t="str">
        <f ca="1">_xlfn.IFNA(VLOOKUP("3"&amp;B9,CountSpecific!E:F,2,0),"")</f>
        <v/>
      </c>
      <c r="P9" s="7" t="str">
        <f ca="1">_xlfn.IFNA(VLOOKUP("4"&amp;B9,CountSpecific!E:F,2,0),"")</f>
        <v/>
      </c>
    </row>
    <row r="10" spans="1:16" s="8" customFormat="1" x14ac:dyDescent="0.25">
      <c r="A10" s="7">
        <v>9</v>
      </c>
      <c r="B10" s="7" t="s">
        <v>25</v>
      </c>
      <c r="C10" s="7" t="s">
        <v>1039</v>
      </c>
      <c r="D10" s="7">
        <v>9</v>
      </c>
      <c r="E10" s="9">
        <v>9</v>
      </c>
      <c r="F10" s="7">
        <v>9</v>
      </c>
      <c r="G10" s="7" t="s">
        <v>1020</v>
      </c>
      <c r="H10" s="18">
        <v>133970</v>
      </c>
      <c r="I10" s="12">
        <v>45468</v>
      </c>
      <c r="J10" s="12">
        <v>45986</v>
      </c>
      <c r="K10" s="23">
        <v>58161</v>
      </c>
      <c r="L10" s="23">
        <v>75809</v>
      </c>
      <c r="M10" s="7"/>
      <c r="N10" s="7" t="str">
        <f ca="1">_xlfn.IFNA(VLOOKUP("2"&amp;B10,CountSpecific!E:F,2,0),"")</f>
        <v/>
      </c>
      <c r="O10" s="14" t="str">
        <f ca="1">_xlfn.IFNA(VLOOKUP("3"&amp;B10,CountSpecific!E:F,2,0),"")</f>
        <v/>
      </c>
      <c r="P10" s="7" t="str">
        <f ca="1">_xlfn.IFNA(VLOOKUP("4"&amp;B10,CountSpecific!E:F,2,0),"")</f>
        <v/>
      </c>
    </row>
    <row r="11" spans="1:16" s="8" customFormat="1" x14ac:dyDescent="0.25">
      <c r="A11" s="7">
        <v>10</v>
      </c>
      <c r="B11" s="7" t="s">
        <v>26</v>
      </c>
      <c r="C11" s="7" t="s">
        <v>1039</v>
      </c>
      <c r="D11" s="7">
        <v>10</v>
      </c>
      <c r="E11" s="7">
        <v>10</v>
      </c>
      <c r="F11" s="7">
        <v>10</v>
      </c>
      <c r="G11" s="7" t="s">
        <v>1026</v>
      </c>
      <c r="H11" s="18">
        <v>4211767</v>
      </c>
      <c r="I11" s="12">
        <v>45418</v>
      </c>
      <c r="J11" s="12">
        <v>45510</v>
      </c>
      <c r="K11" s="23">
        <v>3550946</v>
      </c>
      <c r="L11" s="23">
        <v>660821</v>
      </c>
      <c r="M11" s="7"/>
      <c r="N11" s="7" t="str">
        <f ca="1">_xlfn.IFNA(VLOOKUP("2"&amp;B11,CountSpecific!E:F,2,0),"")</f>
        <v/>
      </c>
      <c r="O11" s="14" t="str">
        <f ca="1">_xlfn.IFNA(VLOOKUP("3"&amp;B11,CountSpecific!E:F,2,0),"")</f>
        <v/>
      </c>
      <c r="P11" s="7" t="str">
        <f ca="1">_xlfn.IFNA(VLOOKUP("4"&amp;B11,CountSpecific!E:F,2,0),"")</f>
        <v/>
      </c>
    </row>
    <row r="12" spans="1:16" customFormat="1" x14ac:dyDescent="0.25">
      <c r="A12" s="7">
        <v>11</v>
      </c>
      <c r="B12" s="11" t="s">
        <v>27</v>
      </c>
      <c r="C12" s="7" t="s">
        <v>1039</v>
      </c>
      <c r="D12" s="7">
        <v>11</v>
      </c>
      <c r="E12" s="7">
        <v>11</v>
      </c>
      <c r="F12" s="7">
        <v>11</v>
      </c>
      <c r="G12" s="11" t="s">
        <v>1027</v>
      </c>
      <c r="H12" s="20">
        <v>19929</v>
      </c>
      <c r="I12" s="12">
        <v>45557</v>
      </c>
      <c r="J12" s="12">
        <v>45891</v>
      </c>
      <c r="K12" s="25">
        <v>17110</v>
      </c>
      <c r="L12" s="23">
        <v>2819</v>
      </c>
      <c r="M12" s="11"/>
      <c r="N12" s="7" t="str">
        <f ca="1">_xlfn.IFNA(VLOOKUP("2"&amp;B12,CountSpecific!E:F,2,0),"")</f>
        <v/>
      </c>
      <c r="O12" s="14" t="str">
        <f ca="1">_xlfn.IFNA(VLOOKUP("3"&amp;B12,CountSpecific!E:F,2,0),"")</f>
        <v/>
      </c>
      <c r="P12" s="7" t="str">
        <f ca="1">_xlfn.IFNA(VLOOKUP("4"&amp;B12,CountSpecific!E:F,2,0),"")</f>
        <v/>
      </c>
    </row>
    <row r="13" spans="1:16" customFormat="1" x14ac:dyDescent="0.25">
      <c r="A13" s="7">
        <v>12</v>
      </c>
      <c r="B13" s="11" t="s">
        <v>28</v>
      </c>
      <c r="C13" s="7" t="s">
        <v>1039</v>
      </c>
      <c r="D13" s="7">
        <v>12</v>
      </c>
      <c r="E13" s="9">
        <v>12</v>
      </c>
      <c r="F13" s="7">
        <v>12</v>
      </c>
      <c r="G13" s="11" t="s">
        <v>1024</v>
      </c>
      <c r="H13" s="20">
        <v>609985</v>
      </c>
      <c r="I13" s="12">
        <v>44664</v>
      </c>
      <c r="J13" s="12">
        <v>45273</v>
      </c>
      <c r="K13" s="25">
        <v>354138</v>
      </c>
      <c r="L13" s="23">
        <v>255847</v>
      </c>
      <c r="M13" s="11"/>
      <c r="N13" s="7" t="str">
        <f ca="1">_xlfn.IFNA(VLOOKUP("2"&amp;B13,CountSpecific!E:F,2,0),"")</f>
        <v/>
      </c>
      <c r="O13" s="14" t="str">
        <f ca="1">_xlfn.IFNA(VLOOKUP("3"&amp;B13,CountSpecific!E:F,2,0),"")</f>
        <v/>
      </c>
      <c r="P13" s="7" t="str">
        <f ca="1">_xlfn.IFNA(VLOOKUP("4"&amp;B13,CountSpecific!E:F,2,0),"")</f>
        <v/>
      </c>
    </row>
    <row r="14" spans="1:16" customFormat="1" x14ac:dyDescent="0.25">
      <c r="A14" s="7">
        <v>13</v>
      </c>
      <c r="B14" s="11" t="s">
        <v>29</v>
      </c>
      <c r="C14" s="7" t="s">
        <v>1039</v>
      </c>
      <c r="D14" s="7">
        <v>13</v>
      </c>
      <c r="E14" s="7">
        <v>13</v>
      </c>
      <c r="F14" s="7">
        <v>13</v>
      </c>
      <c r="G14" s="11" t="s">
        <v>1022</v>
      </c>
      <c r="H14" s="20">
        <v>5566</v>
      </c>
      <c r="I14" s="12">
        <v>43882</v>
      </c>
      <c r="J14" s="12">
        <v>44186</v>
      </c>
      <c r="K14" s="25">
        <v>2183</v>
      </c>
      <c r="L14" s="23">
        <v>3383</v>
      </c>
      <c r="M14" s="11"/>
      <c r="N14" s="7" t="str">
        <f ca="1">_xlfn.IFNA(VLOOKUP("2"&amp;B14,CountSpecific!E:F,2,0),"")</f>
        <v/>
      </c>
      <c r="O14" s="14" t="str">
        <f ca="1">_xlfn.IFNA(VLOOKUP("3"&amp;B14,CountSpecific!E:F,2,0),"")</f>
        <v/>
      </c>
      <c r="P14" s="7" t="str">
        <f ca="1">_xlfn.IFNA(VLOOKUP("4"&amp;B14,CountSpecific!E:F,2,0),"")</f>
        <v/>
      </c>
    </row>
    <row r="15" spans="1:16" customFormat="1" x14ac:dyDescent="0.25">
      <c r="A15" s="7">
        <v>14</v>
      </c>
      <c r="B15" s="11" t="s">
        <v>30</v>
      </c>
      <c r="C15" s="7" t="s">
        <v>1039</v>
      </c>
      <c r="D15" s="7">
        <v>14</v>
      </c>
      <c r="E15" s="7">
        <v>14</v>
      </c>
      <c r="F15" s="7">
        <v>14</v>
      </c>
      <c r="G15" s="11" t="s">
        <v>1023</v>
      </c>
      <c r="H15" s="20">
        <v>1130</v>
      </c>
      <c r="I15" s="12">
        <v>45534</v>
      </c>
      <c r="J15" s="12">
        <v>46142</v>
      </c>
      <c r="K15" s="25">
        <v>490</v>
      </c>
      <c r="L15" s="23">
        <v>640</v>
      </c>
      <c r="M15" s="11"/>
      <c r="N15" s="7" t="str">
        <f ca="1">_xlfn.IFNA(VLOOKUP("2"&amp;B15,CountSpecific!E:F,2,0),"")</f>
        <v/>
      </c>
      <c r="O15" s="14" t="str">
        <f ca="1">_xlfn.IFNA(VLOOKUP("3"&amp;B15,CountSpecific!E:F,2,0),"")</f>
        <v/>
      </c>
      <c r="P15" s="7" t="str">
        <f ca="1">_xlfn.IFNA(VLOOKUP("4"&amp;B15,CountSpecific!E:F,2,0),"")</f>
        <v/>
      </c>
    </row>
    <row r="16" spans="1:16" customFormat="1" x14ac:dyDescent="0.25">
      <c r="A16" s="7">
        <v>15</v>
      </c>
      <c r="B16" s="11" t="s">
        <v>31</v>
      </c>
      <c r="C16" s="7" t="s">
        <v>1039</v>
      </c>
      <c r="D16" s="7">
        <v>15</v>
      </c>
      <c r="E16" s="9">
        <v>15</v>
      </c>
      <c r="F16" s="7">
        <v>15</v>
      </c>
      <c r="G16" s="11" t="s">
        <v>1020</v>
      </c>
      <c r="H16" s="20">
        <v>104801</v>
      </c>
      <c r="I16" s="12">
        <v>45257</v>
      </c>
      <c r="J16" s="12">
        <v>45957</v>
      </c>
      <c r="K16" s="25">
        <v>5117</v>
      </c>
      <c r="L16" s="23">
        <v>99684</v>
      </c>
      <c r="M16" s="11" t="s">
        <v>1040</v>
      </c>
      <c r="N16" s="7" t="str">
        <f ca="1">_xlfn.IFNA(VLOOKUP("2"&amp;B16,CountSpecific!E:F,2,0),"")</f>
        <v/>
      </c>
      <c r="O16" s="14" t="str">
        <f ca="1">_xlfn.IFNA(VLOOKUP("3"&amp;B16,CountSpecific!E:F,2,0),"")</f>
        <v/>
      </c>
      <c r="P16" s="7" t="str">
        <f ca="1">_xlfn.IFNA(VLOOKUP("4"&amp;B16,CountSpecific!E:F,2,0),"")</f>
        <v/>
      </c>
    </row>
    <row r="17" spans="1:16" customFormat="1" x14ac:dyDescent="0.25">
      <c r="A17" s="7">
        <v>16</v>
      </c>
      <c r="B17" s="11" t="s">
        <v>32</v>
      </c>
      <c r="C17" s="7" t="s">
        <v>1039</v>
      </c>
      <c r="D17" s="7">
        <v>16</v>
      </c>
      <c r="E17" s="7">
        <v>16</v>
      </c>
      <c r="F17" s="7">
        <v>16</v>
      </c>
      <c r="G17" s="11" t="s">
        <v>1021</v>
      </c>
      <c r="H17" s="20">
        <v>15389</v>
      </c>
      <c r="I17" s="12">
        <v>45149</v>
      </c>
      <c r="J17" s="12">
        <v>45788</v>
      </c>
      <c r="K17" s="25">
        <v>8919</v>
      </c>
      <c r="L17" s="23">
        <v>6470</v>
      </c>
      <c r="M17" s="11"/>
      <c r="N17" s="7" t="str">
        <f ca="1">_xlfn.IFNA(VLOOKUP("2"&amp;B17,CountSpecific!E:F,2,0),"")</f>
        <v/>
      </c>
      <c r="O17" s="14" t="str">
        <f ca="1">_xlfn.IFNA(VLOOKUP("3"&amp;B17,CountSpecific!E:F,2,0),"")</f>
        <v/>
      </c>
      <c r="P17" s="7" t="str">
        <f ca="1">_xlfn.IFNA(VLOOKUP("4"&amp;B17,CountSpecific!E:F,2,0),"")</f>
        <v/>
      </c>
    </row>
    <row r="18" spans="1:16" customFormat="1" x14ac:dyDescent="0.25">
      <c r="A18" s="7">
        <v>17</v>
      </c>
      <c r="B18" s="11" t="s">
        <v>33</v>
      </c>
      <c r="C18" s="7" t="s">
        <v>1039</v>
      </c>
      <c r="D18" s="7">
        <v>17</v>
      </c>
      <c r="E18" s="7">
        <v>17</v>
      </c>
      <c r="F18" s="7">
        <v>17</v>
      </c>
      <c r="G18" s="11" t="s">
        <v>1016</v>
      </c>
      <c r="H18" s="20">
        <v>6671</v>
      </c>
      <c r="I18" s="12">
        <v>44241</v>
      </c>
      <c r="J18" s="12">
        <v>44848</v>
      </c>
      <c r="K18" s="25">
        <v>766</v>
      </c>
      <c r="L18" s="23">
        <v>5905</v>
      </c>
      <c r="M18" s="11"/>
      <c r="N18" s="7" t="str">
        <f ca="1">_xlfn.IFNA(VLOOKUP("2"&amp;B18,CountSpecific!E:F,2,0),"")</f>
        <v/>
      </c>
      <c r="O18" s="14" t="str">
        <f ca="1">_xlfn.IFNA(VLOOKUP("3"&amp;B18,CountSpecific!E:F,2,0),"")</f>
        <v/>
      </c>
      <c r="P18" s="7" t="str">
        <f ca="1">_xlfn.IFNA(VLOOKUP("4"&amp;B18,CountSpecific!E:F,2,0),"")</f>
        <v/>
      </c>
    </row>
    <row r="19" spans="1:16" customFormat="1" x14ac:dyDescent="0.25">
      <c r="A19" s="7">
        <v>18</v>
      </c>
      <c r="B19" s="11" t="s">
        <v>34</v>
      </c>
      <c r="C19" s="7" t="s">
        <v>1039</v>
      </c>
      <c r="D19" s="7">
        <v>18</v>
      </c>
      <c r="E19" s="9">
        <v>18</v>
      </c>
      <c r="F19" s="7">
        <v>18</v>
      </c>
      <c r="G19" s="11" t="s">
        <v>1027</v>
      </c>
      <c r="H19" s="20">
        <v>46970</v>
      </c>
      <c r="I19" s="12">
        <v>44235</v>
      </c>
      <c r="J19" s="12">
        <v>44689</v>
      </c>
      <c r="K19" s="25">
        <v>13624</v>
      </c>
      <c r="L19" s="23">
        <v>33346</v>
      </c>
      <c r="M19" s="11"/>
      <c r="N19" s="7" t="str">
        <f ca="1">_xlfn.IFNA(VLOOKUP("2"&amp;B19,CountSpecific!E:F,2,0),"")</f>
        <v/>
      </c>
      <c r="O19" s="14" t="str">
        <f ca="1">_xlfn.IFNA(VLOOKUP("3"&amp;B19,CountSpecific!E:F,2,0),"")</f>
        <v/>
      </c>
      <c r="P19" s="7" t="str">
        <f ca="1">_xlfn.IFNA(VLOOKUP("4"&amp;B19,CountSpecific!E:F,2,0),"")</f>
        <v/>
      </c>
    </row>
    <row r="20" spans="1:16" customFormat="1" x14ac:dyDescent="0.25">
      <c r="A20" s="7">
        <v>19</v>
      </c>
      <c r="B20" s="11" t="s">
        <v>35</v>
      </c>
      <c r="C20" s="7" t="s">
        <v>1039</v>
      </c>
      <c r="D20" s="7">
        <v>19</v>
      </c>
      <c r="E20" s="7">
        <v>19</v>
      </c>
      <c r="F20" s="7">
        <v>19</v>
      </c>
      <c r="G20" s="11" t="s">
        <v>1027</v>
      </c>
      <c r="H20" s="20">
        <v>32334</v>
      </c>
      <c r="I20" s="12">
        <v>44247</v>
      </c>
      <c r="J20" s="12">
        <v>44671</v>
      </c>
      <c r="K20" s="25">
        <v>27498</v>
      </c>
      <c r="L20" s="23">
        <v>4836</v>
      </c>
      <c r="M20" s="11"/>
      <c r="N20" s="7" t="str">
        <f ca="1">_xlfn.IFNA(VLOOKUP("2"&amp;B20,CountSpecific!E:F,2,0),"")</f>
        <v/>
      </c>
      <c r="O20" s="14" t="str">
        <f ca="1">_xlfn.IFNA(VLOOKUP("3"&amp;B20,CountSpecific!E:F,2,0),"")</f>
        <v/>
      </c>
      <c r="P20" s="7" t="str">
        <f ca="1">_xlfn.IFNA(VLOOKUP("4"&amp;B20,CountSpecific!E:F,2,0),"")</f>
        <v/>
      </c>
    </row>
    <row r="21" spans="1:16" customFormat="1" x14ac:dyDescent="0.25">
      <c r="A21" s="7">
        <v>20</v>
      </c>
      <c r="B21" s="11" t="s">
        <v>36</v>
      </c>
      <c r="C21" s="7" t="s">
        <v>1039</v>
      </c>
      <c r="D21" s="7">
        <v>20</v>
      </c>
      <c r="E21" s="7">
        <v>20</v>
      </c>
      <c r="F21" s="7">
        <v>20</v>
      </c>
      <c r="G21" s="11" t="s">
        <v>1026</v>
      </c>
      <c r="H21" s="20">
        <v>541667</v>
      </c>
      <c r="I21" s="12">
        <v>44136</v>
      </c>
      <c r="J21" s="12">
        <v>44378</v>
      </c>
      <c r="K21" s="25">
        <v>340862</v>
      </c>
      <c r="L21" s="23">
        <v>200805</v>
      </c>
      <c r="M21" s="11"/>
      <c r="N21" s="7" t="str">
        <f ca="1">_xlfn.IFNA(VLOOKUP("2"&amp;B21,CountSpecific!E:F,2,0),"")</f>
        <v/>
      </c>
      <c r="O21" s="14" t="str">
        <f ca="1">_xlfn.IFNA(VLOOKUP("3"&amp;B21,CountSpecific!E:F,2,0),"")</f>
        <v/>
      </c>
      <c r="P21" s="7" t="str">
        <f ca="1">_xlfn.IFNA(VLOOKUP("4"&amp;B21,CountSpecific!E:F,2,0),"")</f>
        <v/>
      </c>
    </row>
    <row r="22" spans="1:16" customFormat="1" x14ac:dyDescent="0.25">
      <c r="A22" s="7">
        <v>21</v>
      </c>
      <c r="B22" s="11" t="s">
        <v>37</v>
      </c>
      <c r="C22" s="7" t="s">
        <v>1039</v>
      </c>
      <c r="D22" s="7">
        <v>21</v>
      </c>
      <c r="E22" s="9">
        <v>21</v>
      </c>
      <c r="F22" s="7">
        <v>21</v>
      </c>
      <c r="G22" s="11" t="s">
        <v>1022</v>
      </c>
      <c r="H22" s="20">
        <v>21075</v>
      </c>
      <c r="I22" s="12">
        <v>45647</v>
      </c>
      <c r="J22" s="12">
        <v>45798</v>
      </c>
      <c r="K22" s="25">
        <v>1819</v>
      </c>
      <c r="L22" s="23">
        <v>19256</v>
      </c>
      <c r="M22" s="11"/>
      <c r="N22" s="7" t="str">
        <f ca="1">_xlfn.IFNA(VLOOKUP("2"&amp;B22,CountSpecific!E:F,2,0),"")</f>
        <v/>
      </c>
      <c r="O22" s="14" t="str">
        <f ca="1">_xlfn.IFNA(VLOOKUP("3"&amp;B22,CountSpecific!E:F,2,0),"")</f>
        <v/>
      </c>
      <c r="P22" s="7" t="str">
        <f ca="1">_xlfn.IFNA(VLOOKUP("4"&amp;B22,CountSpecific!E:F,2,0),"")</f>
        <v/>
      </c>
    </row>
    <row r="23" spans="1:16" customFormat="1" x14ac:dyDescent="0.25">
      <c r="A23" s="7">
        <v>22</v>
      </c>
      <c r="B23" s="11" t="s">
        <v>38</v>
      </c>
      <c r="C23" s="7" t="s">
        <v>1039</v>
      </c>
      <c r="D23" s="7">
        <v>22</v>
      </c>
      <c r="E23" s="7">
        <v>22</v>
      </c>
      <c r="F23" s="7">
        <v>22</v>
      </c>
      <c r="G23" s="11" t="s">
        <v>1024</v>
      </c>
      <c r="H23" s="20">
        <v>534956</v>
      </c>
      <c r="I23" s="12">
        <v>44932</v>
      </c>
      <c r="J23" s="12">
        <v>45022</v>
      </c>
      <c r="K23" s="25">
        <v>145572</v>
      </c>
      <c r="L23" s="23">
        <v>389384</v>
      </c>
      <c r="M23" s="11"/>
      <c r="N23" s="7" t="str">
        <f ca="1">_xlfn.IFNA(VLOOKUP("2"&amp;B23,CountSpecific!E:F,2,0),"")</f>
        <v/>
      </c>
      <c r="O23" s="14" t="str">
        <f ca="1">_xlfn.IFNA(VLOOKUP("3"&amp;B23,CountSpecific!E:F,2,0),"")</f>
        <v/>
      </c>
      <c r="P23" s="7" t="str">
        <f ca="1">_xlfn.IFNA(VLOOKUP("4"&amp;B23,CountSpecific!E:F,2,0),"")</f>
        <v/>
      </c>
    </row>
    <row r="24" spans="1:16" customFormat="1" x14ac:dyDescent="0.25">
      <c r="A24" s="7">
        <v>23</v>
      </c>
      <c r="B24" s="11" t="s">
        <v>39</v>
      </c>
      <c r="C24" s="7" t="s">
        <v>1039</v>
      </c>
      <c r="D24" s="7">
        <v>23</v>
      </c>
      <c r="E24" s="7">
        <v>23</v>
      </c>
      <c r="F24" s="7">
        <v>23</v>
      </c>
      <c r="G24" s="11" t="s">
        <v>1016</v>
      </c>
      <c r="H24" s="20">
        <v>40497</v>
      </c>
      <c r="I24" s="12">
        <v>44115</v>
      </c>
      <c r="J24" s="12">
        <v>44511</v>
      </c>
      <c r="K24" s="25">
        <v>21508</v>
      </c>
      <c r="L24" s="23">
        <v>18989</v>
      </c>
      <c r="M24" s="11"/>
      <c r="N24" s="7" t="str">
        <f ca="1">_xlfn.IFNA(VLOOKUP("2"&amp;B24,CountSpecific!E:F,2,0),"")</f>
        <v/>
      </c>
      <c r="O24" s="14" t="str">
        <f ca="1">_xlfn.IFNA(VLOOKUP("3"&amp;B24,CountSpecific!E:F,2,0),"")</f>
        <v/>
      </c>
      <c r="P24" s="7" t="str">
        <f ca="1">_xlfn.IFNA(VLOOKUP("4"&amp;B24,CountSpecific!E:F,2,0),"")</f>
        <v/>
      </c>
    </row>
    <row r="25" spans="1:16" customFormat="1" x14ac:dyDescent="0.25">
      <c r="A25" s="7">
        <v>24</v>
      </c>
      <c r="B25" s="11" t="s">
        <v>40</v>
      </c>
      <c r="C25" s="7" t="s">
        <v>1039</v>
      </c>
      <c r="D25" s="7">
        <v>24</v>
      </c>
      <c r="E25" s="9">
        <v>24</v>
      </c>
      <c r="F25" s="7">
        <v>24</v>
      </c>
      <c r="G25" s="11" t="s">
        <v>1027</v>
      </c>
      <c r="H25" s="20">
        <v>54842</v>
      </c>
      <c r="I25" s="12">
        <v>45104</v>
      </c>
      <c r="J25" s="12">
        <v>45287</v>
      </c>
      <c r="K25" s="25">
        <v>3908</v>
      </c>
      <c r="L25" s="23">
        <v>50934</v>
      </c>
      <c r="M25" s="11"/>
      <c r="N25" s="7" t="str">
        <f ca="1">_xlfn.IFNA(VLOOKUP("2"&amp;B25,CountSpecific!E:F,2,0),"")</f>
        <v/>
      </c>
      <c r="O25" s="14" t="str">
        <f ca="1">_xlfn.IFNA(VLOOKUP("3"&amp;B25,CountSpecific!E:F,2,0),"")</f>
        <v/>
      </c>
      <c r="P25" s="7" t="str">
        <f ca="1">_xlfn.IFNA(VLOOKUP("4"&amp;B25,CountSpecific!E:F,2,0),"")</f>
        <v/>
      </c>
    </row>
    <row r="26" spans="1:16" customFormat="1" x14ac:dyDescent="0.25">
      <c r="A26" s="7">
        <v>25</v>
      </c>
      <c r="B26" s="11" t="s">
        <v>41</v>
      </c>
      <c r="C26" s="7" t="s">
        <v>1039</v>
      </c>
      <c r="D26" s="7">
        <v>25</v>
      </c>
      <c r="E26" s="7">
        <v>25</v>
      </c>
      <c r="F26" s="7">
        <v>25</v>
      </c>
      <c r="G26" s="11" t="s">
        <v>1027</v>
      </c>
      <c r="H26" s="20">
        <v>37396</v>
      </c>
      <c r="I26" s="12">
        <v>45055</v>
      </c>
      <c r="J26" s="12">
        <v>45239</v>
      </c>
      <c r="K26" s="25">
        <v>8978</v>
      </c>
      <c r="L26" s="23">
        <v>28418</v>
      </c>
      <c r="M26" s="11"/>
      <c r="N26" s="7" t="str">
        <f ca="1">_xlfn.IFNA(VLOOKUP("2"&amp;B26,CountSpecific!E:F,2,0),"")</f>
        <v/>
      </c>
      <c r="O26" s="14" t="str">
        <f ca="1">_xlfn.IFNA(VLOOKUP("3"&amp;B26,CountSpecific!E:F,2,0),"")</f>
        <v/>
      </c>
      <c r="P26" s="7" t="str">
        <f ca="1">_xlfn.IFNA(VLOOKUP("4"&amp;B26,CountSpecific!E:F,2,0),"")</f>
        <v/>
      </c>
    </row>
    <row r="27" spans="1:16" customFormat="1" x14ac:dyDescent="0.25">
      <c r="A27" s="7">
        <v>26</v>
      </c>
      <c r="B27" s="11" t="s">
        <v>42</v>
      </c>
      <c r="C27" s="7" t="s">
        <v>1039</v>
      </c>
      <c r="D27" s="7">
        <v>26</v>
      </c>
      <c r="E27" s="7">
        <v>26</v>
      </c>
      <c r="F27" s="7">
        <v>26</v>
      </c>
      <c r="G27" s="11" t="s">
        <v>1024</v>
      </c>
      <c r="H27" s="20">
        <v>429120</v>
      </c>
      <c r="I27" s="12">
        <v>45038</v>
      </c>
      <c r="J27" s="12">
        <v>45191</v>
      </c>
      <c r="K27" s="25">
        <v>413104</v>
      </c>
      <c r="L27" s="23">
        <v>16016</v>
      </c>
      <c r="M27" s="11"/>
      <c r="N27" s="7" t="str">
        <f ca="1">_xlfn.IFNA(VLOOKUP("2"&amp;B27,CountSpecific!E:F,2,0),"")</f>
        <v/>
      </c>
      <c r="O27" s="14" t="str">
        <f ca="1">_xlfn.IFNA(VLOOKUP("3"&amp;B27,CountSpecific!E:F,2,0),"")</f>
        <v/>
      </c>
      <c r="P27" s="7" t="str">
        <f ca="1">_xlfn.IFNA(VLOOKUP("4"&amp;B27,CountSpecific!E:F,2,0),"")</f>
        <v/>
      </c>
    </row>
    <row r="28" spans="1:16" customFormat="1" x14ac:dyDescent="0.25">
      <c r="A28" s="7">
        <v>27</v>
      </c>
      <c r="B28" s="11" t="s">
        <v>43</v>
      </c>
      <c r="C28" s="7" t="s">
        <v>1039</v>
      </c>
      <c r="D28" s="7">
        <v>27</v>
      </c>
      <c r="E28" s="9">
        <v>27</v>
      </c>
      <c r="F28" s="7">
        <v>27</v>
      </c>
      <c r="G28" s="11" t="s">
        <v>1024</v>
      </c>
      <c r="H28" s="20">
        <v>980114</v>
      </c>
      <c r="I28" s="12">
        <v>43917</v>
      </c>
      <c r="J28" s="12">
        <v>44466</v>
      </c>
      <c r="K28" s="25">
        <v>439120</v>
      </c>
      <c r="L28" s="23">
        <v>540994</v>
      </c>
      <c r="M28" s="11"/>
      <c r="N28" s="7" t="str">
        <f ca="1">_xlfn.IFNA(VLOOKUP("2"&amp;B28,CountSpecific!E:F,2,0),"")</f>
        <v/>
      </c>
      <c r="O28" s="14" t="str">
        <f ca="1">_xlfn.IFNA(VLOOKUP("3"&amp;B28,CountSpecific!E:F,2,0),"")</f>
        <v/>
      </c>
      <c r="P28" s="7" t="str">
        <f ca="1">_xlfn.IFNA(VLOOKUP("4"&amp;B28,CountSpecific!E:F,2,0),"")</f>
        <v/>
      </c>
    </row>
    <row r="29" spans="1:16" customFormat="1" x14ac:dyDescent="0.25">
      <c r="A29" s="7">
        <v>28</v>
      </c>
      <c r="B29" s="11" t="s">
        <v>44</v>
      </c>
      <c r="C29" s="7" t="s">
        <v>1039</v>
      </c>
      <c r="D29" s="7">
        <v>28</v>
      </c>
      <c r="E29" s="7">
        <v>28</v>
      </c>
      <c r="F29" s="7">
        <v>28</v>
      </c>
      <c r="G29" s="11" t="s">
        <v>1026</v>
      </c>
      <c r="H29" s="20">
        <v>657029</v>
      </c>
      <c r="I29" s="12">
        <v>44251</v>
      </c>
      <c r="J29" s="12">
        <v>44401</v>
      </c>
      <c r="K29" s="25">
        <v>344694</v>
      </c>
      <c r="L29" s="23">
        <v>312335</v>
      </c>
      <c r="M29" s="11"/>
      <c r="N29" s="7" t="str">
        <f ca="1">_xlfn.IFNA(VLOOKUP("2"&amp;B29,CountSpecific!E:F,2,0),"")</f>
        <v/>
      </c>
      <c r="O29" s="14" t="str">
        <f ca="1">_xlfn.IFNA(VLOOKUP("3"&amp;B29,CountSpecific!E:F,2,0),"")</f>
        <v/>
      </c>
      <c r="P29" s="7" t="str">
        <f ca="1">_xlfn.IFNA(VLOOKUP("4"&amp;B29,CountSpecific!E:F,2,0),"")</f>
        <v/>
      </c>
    </row>
    <row r="30" spans="1:16" customFormat="1" x14ac:dyDescent="0.25">
      <c r="A30" s="7">
        <v>29</v>
      </c>
      <c r="B30" s="11" t="s">
        <v>45</v>
      </c>
      <c r="C30" s="7" t="s">
        <v>1039</v>
      </c>
      <c r="D30" s="7">
        <v>29</v>
      </c>
      <c r="E30" s="7">
        <v>29</v>
      </c>
      <c r="F30" s="7">
        <v>29</v>
      </c>
      <c r="G30" s="11" t="s">
        <v>1024</v>
      </c>
      <c r="H30" s="20">
        <v>608670</v>
      </c>
      <c r="I30" s="12">
        <v>45041</v>
      </c>
      <c r="J30" s="12">
        <v>45316</v>
      </c>
      <c r="K30" s="25">
        <v>221930</v>
      </c>
      <c r="L30" s="23">
        <v>386740</v>
      </c>
      <c r="M30" s="11"/>
      <c r="N30" s="7" t="str">
        <f ca="1">_xlfn.IFNA(VLOOKUP("2"&amp;B30,CountSpecific!E:F,2,0),"")</f>
        <v/>
      </c>
      <c r="O30" s="14" t="str">
        <f ca="1">_xlfn.IFNA(VLOOKUP("3"&amp;B30,CountSpecific!E:F,2,0),"")</f>
        <v/>
      </c>
      <c r="P30" s="7" t="str">
        <f ca="1">_xlfn.IFNA(VLOOKUP("4"&amp;B30,CountSpecific!E:F,2,0),"")</f>
        <v/>
      </c>
    </row>
    <row r="31" spans="1:16" customFormat="1" x14ac:dyDescent="0.25">
      <c r="A31" s="7">
        <v>30</v>
      </c>
      <c r="B31" s="11" t="s">
        <v>46</v>
      </c>
      <c r="C31" s="7" t="s">
        <v>1039</v>
      </c>
      <c r="D31" s="7">
        <v>30</v>
      </c>
      <c r="E31" s="9">
        <v>30</v>
      </c>
      <c r="F31" s="7">
        <v>30</v>
      </c>
      <c r="G31" s="11" t="s">
        <v>1020</v>
      </c>
      <c r="H31" s="20">
        <v>69941</v>
      </c>
      <c r="I31" s="12">
        <v>45279</v>
      </c>
      <c r="J31" s="12">
        <v>45584</v>
      </c>
      <c r="K31" s="25">
        <v>47144</v>
      </c>
      <c r="L31" s="23">
        <v>22797</v>
      </c>
      <c r="M31" s="11"/>
      <c r="N31" s="7" t="str">
        <f ca="1">_xlfn.IFNA(VLOOKUP("2"&amp;B31,CountSpecific!E:F,2,0),"")</f>
        <v/>
      </c>
      <c r="O31" s="14" t="str">
        <f ca="1">_xlfn.IFNA(VLOOKUP("3"&amp;B31,CountSpecific!E:F,2,0),"")</f>
        <v/>
      </c>
      <c r="P31" s="7" t="str">
        <f ca="1">_xlfn.IFNA(VLOOKUP("4"&amp;B31,CountSpecific!E:F,2,0),"")</f>
        <v/>
      </c>
    </row>
    <row r="32" spans="1:16" customFormat="1" x14ac:dyDescent="0.25">
      <c r="A32" s="7">
        <v>31</v>
      </c>
      <c r="B32" s="11" t="s">
        <v>47</v>
      </c>
      <c r="C32" s="7" t="s">
        <v>1039</v>
      </c>
      <c r="D32" s="7">
        <v>31</v>
      </c>
      <c r="E32" s="7">
        <v>31</v>
      </c>
      <c r="F32" s="7">
        <v>31</v>
      </c>
      <c r="G32" s="11" t="s">
        <v>1025</v>
      </c>
      <c r="H32" s="20">
        <v>475478</v>
      </c>
      <c r="I32" s="12">
        <v>45117</v>
      </c>
      <c r="J32" s="12">
        <v>45332</v>
      </c>
      <c r="K32" s="25">
        <v>191226</v>
      </c>
      <c r="L32" s="23">
        <v>284252</v>
      </c>
      <c r="M32" s="11"/>
      <c r="N32" s="7" t="str">
        <f ca="1">_xlfn.IFNA(VLOOKUP("2"&amp;B32,CountSpecific!E:F,2,0),"")</f>
        <v/>
      </c>
      <c r="O32" s="14" t="str">
        <f ca="1">_xlfn.IFNA(VLOOKUP("3"&amp;B32,CountSpecific!E:F,2,0),"")</f>
        <v/>
      </c>
      <c r="P32" s="7" t="str">
        <f ca="1">_xlfn.IFNA(VLOOKUP("4"&amp;B32,CountSpecific!E:F,2,0),"")</f>
        <v/>
      </c>
    </row>
    <row r="33" spans="1:16" customFormat="1" x14ac:dyDescent="0.25">
      <c r="A33" s="7">
        <v>32</v>
      </c>
      <c r="B33" s="11" t="s">
        <v>48</v>
      </c>
      <c r="C33" s="7" t="s">
        <v>1039</v>
      </c>
      <c r="D33" s="7">
        <v>32</v>
      </c>
      <c r="E33" s="7">
        <v>32</v>
      </c>
      <c r="F33" s="7">
        <v>32</v>
      </c>
      <c r="G33" s="11" t="s">
        <v>1020</v>
      </c>
      <c r="H33" s="20">
        <v>179303</v>
      </c>
      <c r="I33" s="12">
        <v>43981</v>
      </c>
      <c r="J33" s="12">
        <v>44530</v>
      </c>
      <c r="K33" s="25">
        <v>171617</v>
      </c>
      <c r="L33" s="23">
        <v>7686</v>
      </c>
      <c r="M33" s="11"/>
      <c r="N33" s="7" t="str">
        <f ca="1">_xlfn.IFNA(VLOOKUP("2"&amp;B33,CountSpecific!E:F,2,0),"")</f>
        <v/>
      </c>
      <c r="O33" s="14" t="str">
        <f ca="1">_xlfn.IFNA(VLOOKUP("3"&amp;B33,CountSpecific!E:F,2,0),"")</f>
        <v/>
      </c>
      <c r="P33" s="7" t="str">
        <f ca="1">_xlfn.IFNA(VLOOKUP("4"&amp;B33,CountSpecific!E:F,2,0),"")</f>
        <v/>
      </c>
    </row>
    <row r="34" spans="1:16" customFormat="1" x14ac:dyDescent="0.25">
      <c r="A34" s="7">
        <v>33</v>
      </c>
      <c r="B34" s="11" t="s">
        <v>49</v>
      </c>
      <c r="C34" s="7" t="s">
        <v>1039</v>
      </c>
      <c r="D34" s="7">
        <v>33</v>
      </c>
      <c r="E34" s="9">
        <v>33</v>
      </c>
      <c r="F34" s="7">
        <v>33</v>
      </c>
      <c r="G34" s="11" t="s">
        <v>1024</v>
      </c>
      <c r="H34" s="20">
        <v>236482</v>
      </c>
      <c r="I34" s="12">
        <v>44847</v>
      </c>
      <c r="J34" s="12">
        <v>45151</v>
      </c>
      <c r="K34" s="25">
        <v>119010</v>
      </c>
      <c r="L34" s="23">
        <v>117472</v>
      </c>
      <c r="M34" s="11"/>
      <c r="N34" s="7" t="str">
        <f ca="1">_xlfn.IFNA(VLOOKUP("2"&amp;B34,CountSpecific!E:F,2,0),"")</f>
        <v/>
      </c>
      <c r="O34" s="14" t="str">
        <f ca="1">_xlfn.IFNA(VLOOKUP("3"&amp;B34,CountSpecific!E:F,2,0),"")</f>
        <v/>
      </c>
      <c r="P34" s="7" t="str">
        <f ca="1">_xlfn.IFNA(VLOOKUP("4"&amp;B34,CountSpecific!E:F,2,0),"")</f>
        <v/>
      </c>
    </row>
    <row r="35" spans="1:16" customFormat="1" x14ac:dyDescent="0.25">
      <c r="A35" s="7">
        <v>34</v>
      </c>
      <c r="B35" s="11" t="s">
        <v>50</v>
      </c>
      <c r="C35" s="7" t="s">
        <v>1039</v>
      </c>
      <c r="D35" s="7">
        <v>34</v>
      </c>
      <c r="E35" s="7">
        <v>34</v>
      </c>
      <c r="F35" s="7">
        <v>34</v>
      </c>
      <c r="G35" s="11" t="s">
        <v>1024</v>
      </c>
      <c r="H35" s="20">
        <v>616617</v>
      </c>
      <c r="I35" s="12">
        <v>44180</v>
      </c>
      <c r="J35" s="12">
        <v>44331</v>
      </c>
      <c r="K35" s="25">
        <v>190231</v>
      </c>
      <c r="L35" s="23">
        <v>426386</v>
      </c>
      <c r="M35" s="11"/>
      <c r="N35" s="7" t="str">
        <f ca="1">_xlfn.IFNA(VLOOKUP("2"&amp;B35,CountSpecific!E:F,2,0),"")</f>
        <v/>
      </c>
      <c r="O35" s="14" t="str">
        <f ca="1">_xlfn.IFNA(VLOOKUP("3"&amp;B35,CountSpecific!E:F,2,0),"")</f>
        <v/>
      </c>
      <c r="P35" s="7" t="str">
        <f ca="1">_xlfn.IFNA(VLOOKUP("4"&amp;B35,CountSpecific!E:F,2,0),"")</f>
        <v/>
      </c>
    </row>
    <row r="36" spans="1:16" customFormat="1" x14ac:dyDescent="0.25">
      <c r="A36" s="7">
        <v>35</v>
      </c>
      <c r="B36" s="11" t="s">
        <v>51</v>
      </c>
      <c r="C36" s="7" t="s">
        <v>1039</v>
      </c>
      <c r="D36" s="7">
        <v>35</v>
      </c>
      <c r="E36" s="7">
        <v>35</v>
      </c>
      <c r="F36" s="7">
        <v>35</v>
      </c>
      <c r="G36" s="11" t="s">
        <v>1025</v>
      </c>
      <c r="H36" s="20">
        <v>205683</v>
      </c>
      <c r="I36" s="12">
        <v>45052</v>
      </c>
      <c r="J36" s="12">
        <v>45357</v>
      </c>
      <c r="K36" s="25">
        <v>6030</v>
      </c>
      <c r="L36" s="23">
        <v>199653</v>
      </c>
      <c r="M36" s="11"/>
      <c r="N36" s="7" t="str">
        <f ca="1">_xlfn.IFNA(VLOOKUP("2"&amp;B36,CountSpecific!E:F,2,0),"")</f>
        <v/>
      </c>
      <c r="O36" s="14" t="str">
        <f ca="1">_xlfn.IFNA(VLOOKUP("3"&amp;B36,CountSpecific!E:F,2,0),"")</f>
        <v/>
      </c>
      <c r="P36" s="7" t="str">
        <f ca="1">_xlfn.IFNA(VLOOKUP("4"&amp;B36,CountSpecific!E:F,2,0),"")</f>
        <v/>
      </c>
    </row>
    <row r="37" spans="1:16" customFormat="1" x14ac:dyDescent="0.25">
      <c r="A37" s="7">
        <v>36</v>
      </c>
      <c r="B37" s="11" t="s">
        <v>52</v>
      </c>
      <c r="C37" s="7" t="s">
        <v>1039</v>
      </c>
      <c r="D37" s="7">
        <v>36</v>
      </c>
      <c r="E37" s="9">
        <v>36</v>
      </c>
      <c r="F37" s="7">
        <v>36</v>
      </c>
      <c r="G37" s="11" t="s">
        <v>1021</v>
      </c>
      <c r="H37" s="20">
        <v>82878</v>
      </c>
      <c r="I37" s="12">
        <v>44668</v>
      </c>
      <c r="J37" s="12">
        <v>45216</v>
      </c>
      <c r="K37" s="25">
        <v>79550</v>
      </c>
      <c r="L37" s="23">
        <v>3328</v>
      </c>
      <c r="M37" s="11"/>
      <c r="N37" s="7" t="str">
        <f ca="1">_xlfn.IFNA(VLOOKUP("2"&amp;B37,CountSpecific!E:F,2,0),"")</f>
        <v/>
      </c>
      <c r="O37" s="14" t="str">
        <f ca="1">_xlfn.IFNA(VLOOKUP("3"&amp;B37,CountSpecific!E:F,2,0),"")</f>
        <v/>
      </c>
      <c r="P37" s="7" t="str">
        <f ca="1">_xlfn.IFNA(VLOOKUP("4"&amp;B37,CountSpecific!E:F,2,0),"")</f>
        <v/>
      </c>
    </row>
    <row r="38" spans="1:16" customFormat="1" x14ac:dyDescent="0.25">
      <c r="A38" s="7">
        <v>37</v>
      </c>
      <c r="B38" s="11" t="s">
        <v>53</v>
      </c>
      <c r="C38" s="7" t="s">
        <v>1039</v>
      </c>
      <c r="D38" s="7">
        <v>37</v>
      </c>
      <c r="E38" s="7">
        <v>37</v>
      </c>
      <c r="F38" s="7">
        <v>37</v>
      </c>
      <c r="G38" s="11" t="s">
        <v>1024</v>
      </c>
      <c r="H38" s="20">
        <v>574723</v>
      </c>
      <c r="I38" s="12">
        <v>45332</v>
      </c>
      <c r="J38" s="12">
        <v>45879</v>
      </c>
      <c r="K38" s="25">
        <v>414726</v>
      </c>
      <c r="L38" s="23">
        <v>159997</v>
      </c>
      <c r="M38" s="11"/>
      <c r="N38" s="7" t="str">
        <f ca="1">_xlfn.IFNA(VLOOKUP("2"&amp;B38,CountSpecific!E:F,2,0),"")</f>
        <v/>
      </c>
      <c r="O38" s="14" t="str">
        <f ca="1">_xlfn.IFNA(VLOOKUP("3"&amp;B38,CountSpecific!E:F,2,0),"")</f>
        <v/>
      </c>
      <c r="P38" s="7" t="str">
        <f ca="1">_xlfn.IFNA(VLOOKUP("4"&amp;B38,CountSpecific!E:F,2,0),"")</f>
        <v/>
      </c>
    </row>
    <row r="39" spans="1:16" customFormat="1" x14ac:dyDescent="0.25">
      <c r="A39" s="7">
        <v>38</v>
      </c>
      <c r="B39" s="11" t="s">
        <v>54</v>
      </c>
      <c r="C39" s="7" t="s">
        <v>1039</v>
      </c>
      <c r="D39" s="7">
        <v>38</v>
      </c>
      <c r="E39" s="7">
        <v>38</v>
      </c>
      <c r="F39" s="7">
        <v>38</v>
      </c>
      <c r="G39" s="11" t="s">
        <v>1027</v>
      </c>
      <c r="H39" s="20">
        <v>19526</v>
      </c>
      <c r="I39" s="12">
        <v>44172</v>
      </c>
      <c r="J39" s="12">
        <v>44811</v>
      </c>
      <c r="K39" s="25">
        <v>11764</v>
      </c>
      <c r="L39" s="23">
        <v>7762</v>
      </c>
      <c r="M39" s="11"/>
      <c r="N39" s="7" t="str">
        <f ca="1">_xlfn.IFNA(VLOOKUP("2"&amp;B39,CountSpecific!E:F,2,0),"")</f>
        <v/>
      </c>
      <c r="O39" s="14" t="str">
        <f ca="1">_xlfn.IFNA(VLOOKUP("3"&amp;B39,CountSpecific!E:F,2,0),"")</f>
        <v/>
      </c>
      <c r="P39" s="7" t="str">
        <f ca="1">_xlfn.IFNA(VLOOKUP("4"&amp;B39,CountSpecific!E:F,2,0),"")</f>
        <v/>
      </c>
    </row>
    <row r="40" spans="1:16" customFormat="1" x14ac:dyDescent="0.25">
      <c r="A40" s="7">
        <v>39</v>
      </c>
      <c r="B40" s="11" t="s">
        <v>55</v>
      </c>
      <c r="C40" s="7" t="s">
        <v>1039</v>
      </c>
      <c r="D40" s="7">
        <v>39</v>
      </c>
      <c r="E40" s="9">
        <v>39</v>
      </c>
      <c r="F40" s="7">
        <v>39</v>
      </c>
      <c r="G40" s="11" t="s">
        <v>1022</v>
      </c>
      <c r="H40" s="20">
        <v>34093</v>
      </c>
      <c r="I40" s="12">
        <v>44755</v>
      </c>
      <c r="J40" s="12">
        <v>44908</v>
      </c>
      <c r="K40" s="25">
        <v>5348</v>
      </c>
      <c r="L40" s="23">
        <v>28745</v>
      </c>
      <c r="M40" s="11"/>
      <c r="N40" s="7" t="str">
        <f ca="1">_xlfn.IFNA(VLOOKUP("2"&amp;B40,CountSpecific!E:F,2,0),"")</f>
        <v/>
      </c>
      <c r="O40" s="14" t="str">
        <f ca="1">_xlfn.IFNA(VLOOKUP("3"&amp;B40,CountSpecific!E:F,2,0),"")</f>
        <v/>
      </c>
      <c r="P40" s="7" t="str">
        <f ca="1">_xlfn.IFNA(VLOOKUP("4"&amp;B40,CountSpecific!E:F,2,0),"")</f>
        <v/>
      </c>
    </row>
    <row r="41" spans="1:16" customFormat="1" x14ac:dyDescent="0.25">
      <c r="A41" s="7">
        <v>40</v>
      </c>
      <c r="B41" s="11" t="s">
        <v>56</v>
      </c>
      <c r="C41" s="7" t="s">
        <v>1039</v>
      </c>
      <c r="D41" s="7">
        <v>40</v>
      </c>
      <c r="E41" s="7">
        <v>40</v>
      </c>
      <c r="F41" s="7">
        <v>40</v>
      </c>
      <c r="G41" s="11" t="s">
        <v>1020</v>
      </c>
      <c r="H41" s="20">
        <v>257160</v>
      </c>
      <c r="I41" s="12">
        <v>45692</v>
      </c>
      <c r="J41" s="12">
        <v>45842</v>
      </c>
      <c r="K41" s="25">
        <v>34713</v>
      </c>
      <c r="L41" s="23">
        <v>222447</v>
      </c>
      <c r="M41" s="11"/>
      <c r="N41" s="7" t="str">
        <f ca="1">_xlfn.IFNA(VLOOKUP("2"&amp;B41,CountSpecific!E:F,2,0),"")</f>
        <v/>
      </c>
      <c r="O41" s="14" t="str">
        <f ca="1">_xlfn.IFNA(VLOOKUP("3"&amp;B41,CountSpecific!E:F,2,0),"")</f>
        <v/>
      </c>
      <c r="P41" s="7" t="str">
        <f ca="1">_xlfn.IFNA(VLOOKUP("4"&amp;B41,CountSpecific!E:F,2,0),"")</f>
        <v/>
      </c>
    </row>
    <row r="42" spans="1:16" customFormat="1" x14ac:dyDescent="0.25">
      <c r="A42" s="7">
        <v>41</v>
      </c>
      <c r="B42" s="11" t="s">
        <v>57</v>
      </c>
      <c r="C42" s="7" t="s">
        <v>1039</v>
      </c>
      <c r="D42" s="7">
        <v>41</v>
      </c>
      <c r="E42" s="7">
        <v>41</v>
      </c>
      <c r="F42" s="7">
        <v>41</v>
      </c>
      <c r="G42" s="11" t="s">
        <v>1026</v>
      </c>
      <c r="H42" s="20">
        <v>2843925</v>
      </c>
      <c r="I42" s="12">
        <v>43953</v>
      </c>
      <c r="J42" s="12">
        <v>44502</v>
      </c>
      <c r="K42" s="25">
        <v>2004052</v>
      </c>
      <c r="L42" s="23">
        <v>839873</v>
      </c>
      <c r="M42" s="11"/>
      <c r="N42" s="7" t="str">
        <f ca="1">_xlfn.IFNA(VLOOKUP("2"&amp;B42,CountSpecific!E:F,2,0),"")</f>
        <v/>
      </c>
      <c r="O42" s="14" t="str">
        <f ca="1">_xlfn.IFNA(VLOOKUP("3"&amp;B42,CountSpecific!E:F,2,0),"")</f>
        <v/>
      </c>
      <c r="P42" s="7" t="str">
        <f ca="1">_xlfn.IFNA(VLOOKUP("4"&amp;B42,CountSpecific!E:F,2,0),"")</f>
        <v/>
      </c>
    </row>
    <row r="43" spans="1:16" customFormat="1" x14ac:dyDescent="0.25">
      <c r="A43" s="7">
        <v>42</v>
      </c>
      <c r="B43" s="11" t="s">
        <v>58</v>
      </c>
      <c r="C43" s="7" t="s">
        <v>1039</v>
      </c>
      <c r="D43" s="7">
        <v>42</v>
      </c>
      <c r="E43" s="9">
        <v>42</v>
      </c>
      <c r="F43" s="7">
        <v>42</v>
      </c>
      <c r="G43" s="11" t="s">
        <v>1023</v>
      </c>
      <c r="H43" s="20">
        <v>728</v>
      </c>
      <c r="I43" s="12">
        <v>44084</v>
      </c>
      <c r="J43" s="12">
        <v>44783</v>
      </c>
      <c r="K43" s="25">
        <v>523</v>
      </c>
      <c r="L43" s="23">
        <v>205</v>
      </c>
      <c r="M43" s="11"/>
      <c r="N43" s="7" t="str">
        <f ca="1">_xlfn.IFNA(VLOOKUP("2"&amp;B43,CountSpecific!E:F,2,0),"")</f>
        <v/>
      </c>
      <c r="O43" s="14" t="str">
        <f ca="1">_xlfn.IFNA(VLOOKUP("3"&amp;B43,CountSpecific!E:F,2,0),"")</f>
        <v/>
      </c>
      <c r="P43" s="7" t="str">
        <f ca="1">_xlfn.IFNA(VLOOKUP("4"&amp;B43,CountSpecific!E:F,2,0),"")</f>
        <v/>
      </c>
    </row>
    <row r="44" spans="1:16" customFormat="1" x14ac:dyDescent="0.25">
      <c r="A44" s="7">
        <v>43</v>
      </c>
      <c r="B44" s="11" t="s">
        <v>59</v>
      </c>
      <c r="C44" s="7" t="s">
        <v>1039</v>
      </c>
      <c r="D44" s="7">
        <v>43</v>
      </c>
      <c r="E44" s="7">
        <v>43</v>
      </c>
      <c r="F44" s="7">
        <v>43</v>
      </c>
      <c r="G44" s="11" t="s">
        <v>1026</v>
      </c>
      <c r="H44" s="20">
        <v>3920084</v>
      </c>
      <c r="I44" s="12">
        <v>44537</v>
      </c>
      <c r="J44" s="12">
        <v>44902</v>
      </c>
      <c r="K44" s="25">
        <v>3705171</v>
      </c>
      <c r="L44" s="23">
        <v>214913</v>
      </c>
      <c r="M44" s="11"/>
      <c r="N44" s="7" t="str">
        <f ca="1">_xlfn.IFNA(VLOOKUP("2"&amp;B44,CountSpecific!E:F,2,0),"")</f>
        <v/>
      </c>
      <c r="O44" s="14" t="str">
        <f ca="1">_xlfn.IFNA(VLOOKUP("3"&amp;B44,CountSpecific!E:F,2,0),"")</f>
        <v/>
      </c>
      <c r="P44" s="7" t="str">
        <f ca="1">_xlfn.IFNA(VLOOKUP("4"&amp;B44,CountSpecific!E:F,2,0),"")</f>
        <v/>
      </c>
    </row>
    <row r="45" spans="1:16" customFormat="1" x14ac:dyDescent="0.25">
      <c r="A45" s="7">
        <v>44</v>
      </c>
      <c r="B45" s="11" t="s">
        <v>60</v>
      </c>
      <c r="C45" s="7" t="s">
        <v>1039</v>
      </c>
      <c r="D45" s="7">
        <v>44</v>
      </c>
      <c r="E45" s="7">
        <v>44</v>
      </c>
      <c r="F45" s="7">
        <v>44</v>
      </c>
      <c r="G45" s="11" t="s">
        <v>1022</v>
      </c>
      <c r="H45" s="20">
        <v>13380</v>
      </c>
      <c r="I45" s="12">
        <v>45090</v>
      </c>
      <c r="J45" s="12">
        <v>45548</v>
      </c>
      <c r="K45" s="25">
        <v>5706</v>
      </c>
      <c r="L45" s="23">
        <v>7674</v>
      </c>
      <c r="M45" s="11"/>
      <c r="N45" s="7" t="str">
        <f ca="1">_xlfn.IFNA(VLOOKUP("2"&amp;B45,CountSpecific!E:F,2,0),"")</f>
        <v/>
      </c>
      <c r="O45" s="14" t="str">
        <f ca="1">_xlfn.IFNA(VLOOKUP("3"&amp;B45,CountSpecific!E:F,2,0),"")</f>
        <v/>
      </c>
      <c r="P45" s="7" t="str">
        <f ca="1">_xlfn.IFNA(VLOOKUP("4"&amp;B45,CountSpecific!E:F,2,0),"")</f>
        <v/>
      </c>
    </row>
    <row r="46" spans="1:16" customFormat="1" x14ac:dyDescent="0.25">
      <c r="A46" s="7">
        <v>45</v>
      </c>
      <c r="B46" s="11" t="s">
        <v>61</v>
      </c>
      <c r="C46" s="7" t="s">
        <v>1039</v>
      </c>
      <c r="D46" s="7">
        <v>45</v>
      </c>
      <c r="E46" s="9">
        <v>45</v>
      </c>
      <c r="F46" s="7">
        <v>45</v>
      </c>
      <c r="G46" s="11" t="s">
        <v>1027</v>
      </c>
      <c r="H46" s="20">
        <v>22397</v>
      </c>
      <c r="I46" s="12">
        <v>45456</v>
      </c>
      <c r="J46" s="12">
        <v>45882</v>
      </c>
      <c r="K46" s="25">
        <v>20246</v>
      </c>
      <c r="L46" s="23">
        <v>2151</v>
      </c>
      <c r="M46" s="11"/>
      <c r="N46" s="7" t="str">
        <f ca="1">_xlfn.IFNA(VLOOKUP("2"&amp;B46,CountSpecific!E:F,2,0),"")</f>
        <v/>
      </c>
      <c r="O46" s="14" t="str">
        <f ca="1">_xlfn.IFNA(VLOOKUP("3"&amp;B46,CountSpecific!E:F,2,0),"")</f>
        <v/>
      </c>
      <c r="P46" s="7" t="str">
        <f ca="1">_xlfn.IFNA(VLOOKUP("4"&amp;B46,CountSpecific!E:F,2,0),"")</f>
        <v/>
      </c>
    </row>
    <row r="47" spans="1:16" customFormat="1" x14ac:dyDescent="0.25">
      <c r="A47" s="7">
        <v>46</v>
      </c>
      <c r="B47" s="11" t="s">
        <v>62</v>
      </c>
      <c r="C47" s="7" t="s">
        <v>1039</v>
      </c>
      <c r="D47" s="7">
        <v>46</v>
      </c>
      <c r="E47" s="7">
        <v>46</v>
      </c>
      <c r="F47" s="7">
        <v>46</v>
      </c>
      <c r="G47" s="11" t="s">
        <v>1023</v>
      </c>
      <c r="H47" s="20">
        <v>1211</v>
      </c>
      <c r="I47" s="12">
        <v>44516</v>
      </c>
      <c r="J47" s="12">
        <v>44546</v>
      </c>
      <c r="K47" s="25">
        <v>109</v>
      </c>
      <c r="L47" s="23">
        <v>1102</v>
      </c>
      <c r="M47" s="11"/>
      <c r="N47" s="7" t="str">
        <f ca="1">_xlfn.IFNA(VLOOKUP("2"&amp;B47,CountSpecific!E:F,2,0),"")</f>
        <v/>
      </c>
      <c r="O47" s="14" t="str">
        <f ca="1">_xlfn.IFNA(VLOOKUP("3"&amp;B47,CountSpecific!E:F,2,0),"")</f>
        <v/>
      </c>
      <c r="P47" s="7" t="str">
        <f ca="1">_xlfn.IFNA(VLOOKUP("4"&amp;B47,CountSpecific!E:F,2,0),"")</f>
        <v/>
      </c>
    </row>
    <row r="48" spans="1:16" customFormat="1" x14ac:dyDescent="0.25">
      <c r="A48" s="7">
        <v>47</v>
      </c>
      <c r="B48" s="11" t="s">
        <v>63</v>
      </c>
      <c r="C48" s="7" t="s">
        <v>1039</v>
      </c>
      <c r="D48" s="7">
        <v>47</v>
      </c>
      <c r="E48" s="7">
        <v>47</v>
      </c>
      <c r="F48" s="7">
        <v>47</v>
      </c>
      <c r="G48" s="11" t="s">
        <v>1026</v>
      </c>
      <c r="H48" s="20">
        <v>3780558</v>
      </c>
      <c r="I48" s="12">
        <v>45448</v>
      </c>
      <c r="J48" s="12">
        <v>45966</v>
      </c>
      <c r="K48" s="25">
        <v>2160371</v>
      </c>
      <c r="L48" s="23">
        <v>1620187</v>
      </c>
      <c r="M48" s="11"/>
      <c r="N48" s="7" t="str">
        <f ca="1">_xlfn.IFNA(VLOOKUP("2"&amp;B48,CountSpecific!E:F,2,0),"")</f>
        <v/>
      </c>
      <c r="O48" s="14" t="str">
        <f ca="1">_xlfn.IFNA(VLOOKUP("3"&amp;B48,CountSpecific!E:F,2,0),"")</f>
        <v/>
      </c>
      <c r="P48" s="7" t="str">
        <f ca="1">_xlfn.IFNA(VLOOKUP("4"&amp;B48,CountSpecific!E:F,2,0),"")</f>
        <v/>
      </c>
    </row>
    <row r="49" spans="1:16" customFormat="1" x14ac:dyDescent="0.25">
      <c r="A49" s="7">
        <v>48</v>
      </c>
      <c r="B49" s="11" t="s">
        <v>64</v>
      </c>
      <c r="C49" s="7" t="s">
        <v>1039</v>
      </c>
      <c r="D49" s="7">
        <v>48</v>
      </c>
      <c r="E49" s="9">
        <v>48</v>
      </c>
      <c r="F49" s="7">
        <v>48</v>
      </c>
      <c r="G49" s="11" t="s">
        <v>1026</v>
      </c>
      <c r="H49" s="20">
        <v>1461218</v>
      </c>
      <c r="I49" s="12">
        <v>43938</v>
      </c>
      <c r="J49" s="12">
        <v>44152</v>
      </c>
      <c r="K49" s="25">
        <v>1176663</v>
      </c>
      <c r="L49" s="23">
        <v>284555</v>
      </c>
      <c r="M49" s="11"/>
      <c r="N49" s="7" t="str">
        <f ca="1">_xlfn.IFNA(VLOOKUP("2"&amp;B49,CountSpecific!E:F,2,0),"")</f>
        <v/>
      </c>
      <c r="O49" s="14" t="str">
        <f ca="1">_xlfn.IFNA(VLOOKUP("3"&amp;B49,CountSpecific!E:F,2,0),"")</f>
        <v/>
      </c>
      <c r="P49" s="7" t="str">
        <f ca="1">_xlfn.IFNA(VLOOKUP("4"&amp;B49,CountSpecific!E:F,2,0),"")</f>
        <v/>
      </c>
    </row>
    <row r="50" spans="1:16" customFormat="1" x14ac:dyDescent="0.25">
      <c r="A50" s="7">
        <v>49</v>
      </c>
      <c r="B50" s="11" t="s">
        <v>65</v>
      </c>
      <c r="C50" s="7" t="s">
        <v>1039</v>
      </c>
      <c r="D50" s="7">
        <v>49</v>
      </c>
      <c r="E50" s="7">
        <v>49</v>
      </c>
      <c r="F50" s="7">
        <v>49</v>
      </c>
      <c r="G50" s="11" t="s">
        <v>1024</v>
      </c>
      <c r="H50" s="20">
        <v>443758</v>
      </c>
      <c r="I50" s="12">
        <v>45157</v>
      </c>
      <c r="J50" s="12">
        <v>45827</v>
      </c>
      <c r="K50" s="25">
        <v>172489</v>
      </c>
      <c r="L50" s="23">
        <v>271269</v>
      </c>
      <c r="M50" s="11"/>
      <c r="N50" s="7" t="str">
        <f ca="1">_xlfn.IFNA(VLOOKUP("2"&amp;B50,CountSpecific!E:F,2,0),"")</f>
        <v/>
      </c>
      <c r="O50" s="14" t="str">
        <f ca="1">_xlfn.IFNA(VLOOKUP("3"&amp;B50,CountSpecific!E:F,2,0),"")</f>
        <v/>
      </c>
      <c r="P50" s="7" t="str">
        <f ca="1">_xlfn.IFNA(VLOOKUP("4"&amp;B50,CountSpecific!E:F,2,0),"")</f>
        <v/>
      </c>
    </row>
    <row r="51" spans="1:16" customFormat="1" x14ac:dyDescent="0.25">
      <c r="A51" s="7">
        <v>50</v>
      </c>
      <c r="B51" s="11" t="s">
        <v>66</v>
      </c>
      <c r="C51" s="7" t="s">
        <v>1039</v>
      </c>
      <c r="D51" s="7">
        <v>50</v>
      </c>
      <c r="E51" s="7">
        <v>50</v>
      </c>
      <c r="F51" s="7">
        <v>50</v>
      </c>
      <c r="G51" s="11" t="s">
        <v>1022</v>
      </c>
      <c r="H51" s="20">
        <v>11563</v>
      </c>
      <c r="I51" s="12">
        <v>44024</v>
      </c>
      <c r="J51" s="12">
        <v>44632</v>
      </c>
      <c r="K51" s="25">
        <v>7252</v>
      </c>
      <c r="L51" s="23">
        <v>4311</v>
      </c>
      <c r="M51" s="11"/>
      <c r="N51" s="7" t="str">
        <f ca="1">_xlfn.IFNA(VLOOKUP("2"&amp;B51,CountSpecific!E:F,2,0),"")</f>
        <v/>
      </c>
      <c r="O51" s="14" t="str">
        <f ca="1">_xlfn.IFNA(VLOOKUP("3"&amp;B51,CountSpecific!E:F,2,0),"")</f>
        <v/>
      </c>
      <c r="P51" s="7" t="str">
        <f ca="1">_xlfn.IFNA(VLOOKUP("4"&amp;B51,CountSpecific!E:F,2,0),"")</f>
        <v/>
      </c>
    </row>
    <row r="52" spans="1:16" customFormat="1" x14ac:dyDescent="0.25">
      <c r="A52" s="7">
        <v>51</v>
      </c>
      <c r="B52" s="11" t="s">
        <v>67</v>
      </c>
      <c r="C52" s="7" t="s">
        <v>1039</v>
      </c>
      <c r="D52" s="7">
        <v>51</v>
      </c>
      <c r="E52" s="9">
        <v>51</v>
      </c>
      <c r="F52" s="7">
        <v>51</v>
      </c>
      <c r="G52" s="11" t="s">
        <v>1023</v>
      </c>
      <c r="H52" s="20">
        <v>1256</v>
      </c>
      <c r="I52" s="12">
        <v>44236</v>
      </c>
      <c r="J52" s="12">
        <v>44690</v>
      </c>
      <c r="K52" s="25">
        <v>516</v>
      </c>
      <c r="L52" s="23">
        <v>740</v>
      </c>
      <c r="M52" s="11"/>
      <c r="N52" s="7" t="str">
        <f ca="1">_xlfn.IFNA(VLOOKUP("2"&amp;B52,CountSpecific!E:F,2,0),"")</f>
        <v/>
      </c>
      <c r="O52" s="14" t="str">
        <f ca="1">_xlfn.IFNA(VLOOKUP("3"&amp;B52,CountSpecific!E:F,2,0),"")</f>
        <v/>
      </c>
      <c r="P52" s="7" t="str">
        <f ca="1">_xlfn.IFNA(VLOOKUP("4"&amp;B52,CountSpecific!E:F,2,0),"")</f>
        <v/>
      </c>
    </row>
    <row r="53" spans="1:16" customFormat="1" x14ac:dyDescent="0.25">
      <c r="A53" s="7">
        <v>52</v>
      </c>
      <c r="B53" s="11" t="s">
        <v>68</v>
      </c>
      <c r="C53" s="7" t="s">
        <v>1039</v>
      </c>
      <c r="D53" s="7">
        <v>52</v>
      </c>
      <c r="E53" s="7">
        <v>52</v>
      </c>
      <c r="F53" s="7">
        <v>52</v>
      </c>
      <c r="G53" s="11" t="s">
        <v>1016</v>
      </c>
      <c r="H53" s="20">
        <v>3071</v>
      </c>
      <c r="I53" s="12">
        <v>44747</v>
      </c>
      <c r="J53" s="12">
        <v>45327</v>
      </c>
      <c r="K53" s="25">
        <v>2668</v>
      </c>
      <c r="L53" s="23">
        <v>403</v>
      </c>
      <c r="M53" s="11"/>
      <c r="N53" s="7" t="str">
        <f ca="1">_xlfn.IFNA(VLOOKUP("2"&amp;B53,CountSpecific!E:F,2,0),"")</f>
        <v/>
      </c>
      <c r="O53" s="14" t="str">
        <f ca="1">_xlfn.IFNA(VLOOKUP("3"&amp;B53,CountSpecific!E:F,2,0),"")</f>
        <v/>
      </c>
      <c r="P53" s="7" t="str">
        <f ca="1">_xlfn.IFNA(VLOOKUP("4"&amp;B53,CountSpecific!E:F,2,0),"")</f>
        <v/>
      </c>
    </row>
    <row r="54" spans="1:16" customFormat="1" x14ac:dyDescent="0.25">
      <c r="A54" s="7">
        <v>53</v>
      </c>
      <c r="B54" s="11" t="s">
        <v>69</v>
      </c>
      <c r="C54" s="7" t="s">
        <v>1039</v>
      </c>
      <c r="D54" s="7">
        <v>53</v>
      </c>
      <c r="E54" s="7">
        <v>53</v>
      </c>
      <c r="F54" s="7">
        <v>53</v>
      </c>
      <c r="G54" s="11" t="s">
        <v>1025</v>
      </c>
      <c r="H54" s="20">
        <v>327343</v>
      </c>
      <c r="I54" s="12">
        <v>45410</v>
      </c>
      <c r="J54" s="12">
        <v>45866</v>
      </c>
      <c r="K54" s="25">
        <v>166873</v>
      </c>
      <c r="L54" s="23">
        <v>160470</v>
      </c>
      <c r="M54" s="11"/>
      <c r="N54" s="7" t="str">
        <f ca="1">_xlfn.IFNA(VLOOKUP("2"&amp;B54,CountSpecific!E:F,2,0),"")</f>
        <v/>
      </c>
      <c r="O54" s="14" t="str">
        <f ca="1">_xlfn.IFNA(VLOOKUP("3"&amp;B54,CountSpecific!E:F,2,0),"")</f>
        <v/>
      </c>
      <c r="P54" s="7" t="str">
        <f ca="1">_xlfn.IFNA(VLOOKUP("4"&amp;B54,CountSpecific!E:F,2,0),"")</f>
        <v/>
      </c>
    </row>
    <row r="55" spans="1:16" customFormat="1" x14ac:dyDescent="0.25">
      <c r="A55" s="7">
        <v>54</v>
      </c>
      <c r="B55" s="11" t="s">
        <v>70</v>
      </c>
      <c r="C55" s="7" t="s">
        <v>1039</v>
      </c>
      <c r="D55" s="7">
        <v>54</v>
      </c>
      <c r="E55" s="9">
        <v>54</v>
      </c>
      <c r="F55" s="7">
        <v>54</v>
      </c>
      <c r="G55" s="11" t="s">
        <v>1026</v>
      </c>
      <c r="H55" s="20">
        <v>690999</v>
      </c>
      <c r="I55" s="12">
        <v>43835</v>
      </c>
      <c r="J55" s="12">
        <v>44382</v>
      </c>
      <c r="K55" s="25">
        <v>25347</v>
      </c>
      <c r="L55" s="23">
        <v>665652</v>
      </c>
      <c r="M55" s="11"/>
      <c r="N55" s="7" t="str">
        <f ca="1">_xlfn.IFNA(VLOOKUP("2"&amp;B55,CountSpecific!E:F,2,0),"")</f>
        <v/>
      </c>
      <c r="O55" s="14" t="str">
        <f ca="1">_xlfn.IFNA(VLOOKUP("3"&amp;B55,CountSpecific!E:F,2,0),"")</f>
        <v/>
      </c>
      <c r="P55" s="7" t="str">
        <f ca="1">_xlfn.IFNA(VLOOKUP("4"&amp;B55,CountSpecific!E:F,2,0),"")</f>
        <v/>
      </c>
    </row>
    <row r="56" spans="1:16" customFormat="1" x14ac:dyDescent="0.25">
      <c r="A56" s="7">
        <v>55</v>
      </c>
      <c r="B56" s="11" t="s">
        <v>71</v>
      </c>
      <c r="C56" s="7" t="s">
        <v>1039</v>
      </c>
      <c r="D56" s="7">
        <v>55</v>
      </c>
      <c r="E56" s="7">
        <v>55</v>
      </c>
      <c r="F56" s="7">
        <v>55</v>
      </c>
      <c r="G56" s="11" t="s">
        <v>1020</v>
      </c>
      <c r="H56" s="20">
        <v>448987</v>
      </c>
      <c r="I56" s="12">
        <v>44591</v>
      </c>
      <c r="J56" s="12">
        <v>45290</v>
      </c>
      <c r="K56" s="25">
        <v>116125</v>
      </c>
      <c r="L56" s="23">
        <v>332862</v>
      </c>
      <c r="M56" s="11"/>
      <c r="N56" s="7" t="str">
        <f ca="1">_xlfn.IFNA(VLOOKUP("2"&amp;B56,CountSpecific!E:F,2,0),"")</f>
        <v/>
      </c>
      <c r="O56" s="14" t="str">
        <f ca="1">_xlfn.IFNA(VLOOKUP("3"&amp;B56,CountSpecific!E:F,2,0),"")</f>
        <v/>
      </c>
      <c r="P56" s="7" t="str">
        <f ca="1">_xlfn.IFNA(VLOOKUP("4"&amp;B56,CountSpecific!E:F,2,0),"")</f>
        <v/>
      </c>
    </row>
    <row r="57" spans="1:16" customFormat="1" x14ac:dyDescent="0.25">
      <c r="A57" s="7">
        <v>56</v>
      </c>
      <c r="B57" s="11" t="s">
        <v>72</v>
      </c>
      <c r="C57" s="7" t="s">
        <v>1039</v>
      </c>
      <c r="D57" s="7">
        <v>56</v>
      </c>
      <c r="E57" s="7">
        <v>56</v>
      </c>
      <c r="F57" s="7">
        <v>56</v>
      </c>
      <c r="G57" s="11" t="s">
        <v>1025</v>
      </c>
      <c r="H57" s="20">
        <v>189877</v>
      </c>
      <c r="I57" s="12">
        <v>44785</v>
      </c>
      <c r="J57" s="12">
        <v>45394</v>
      </c>
      <c r="K57" s="25">
        <v>159893</v>
      </c>
      <c r="L57" s="23">
        <v>29984</v>
      </c>
      <c r="M57" s="11"/>
      <c r="N57" s="7" t="str">
        <f ca="1">_xlfn.IFNA(VLOOKUP("2"&amp;B57,CountSpecific!E:F,2,0),"")</f>
        <v/>
      </c>
      <c r="O57" s="14" t="str">
        <f ca="1">_xlfn.IFNA(VLOOKUP("3"&amp;B57,CountSpecific!E:F,2,0),"")</f>
        <v/>
      </c>
      <c r="P57" s="7" t="str">
        <f ca="1">_xlfn.IFNA(VLOOKUP("4"&amp;B57,CountSpecific!E:F,2,0),"")</f>
        <v/>
      </c>
    </row>
    <row r="58" spans="1:16" customFormat="1" x14ac:dyDescent="0.25">
      <c r="A58" s="7">
        <v>57</v>
      </c>
      <c r="B58" s="11" t="s">
        <v>73</v>
      </c>
      <c r="C58" s="7" t="s">
        <v>1039</v>
      </c>
      <c r="D58" s="7">
        <v>57</v>
      </c>
      <c r="E58" s="9">
        <v>57</v>
      </c>
      <c r="F58" s="7">
        <v>57</v>
      </c>
      <c r="G58" s="11" t="s">
        <v>1020</v>
      </c>
      <c r="H58" s="20">
        <v>170482</v>
      </c>
      <c r="I58" s="12">
        <v>44449</v>
      </c>
      <c r="J58" s="12">
        <v>44602</v>
      </c>
      <c r="K58" s="25">
        <v>81816</v>
      </c>
      <c r="L58" s="23">
        <v>88666</v>
      </c>
      <c r="M58" s="11"/>
      <c r="N58" s="7" t="str">
        <f ca="1">_xlfn.IFNA(VLOOKUP("2"&amp;B58,CountSpecific!E:F,2,0),"")</f>
        <v/>
      </c>
      <c r="O58" s="14" t="str">
        <f ca="1">_xlfn.IFNA(VLOOKUP("3"&amp;B58,CountSpecific!E:F,2,0),"")</f>
        <v/>
      </c>
      <c r="P58" s="7" t="str">
        <f ca="1">_xlfn.IFNA(VLOOKUP("4"&amp;B58,CountSpecific!E:F,2,0),"")</f>
        <v/>
      </c>
    </row>
    <row r="59" spans="1:16" customFormat="1" x14ac:dyDescent="0.25">
      <c r="A59" s="7">
        <v>58</v>
      </c>
      <c r="B59" s="11" t="s">
        <v>74</v>
      </c>
      <c r="C59" s="7" t="s">
        <v>1039</v>
      </c>
      <c r="D59" s="7">
        <v>58</v>
      </c>
      <c r="E59" s="7">
        <v>58</v>
      </c>
      <c r="F59" s="7">
        <v>58</v>
      </c>
      <c r="G59" s="11" t="s">
        <v>1020</v>
      </c>
      <c r="H59" s="20">
        <v>316237</v>
      </c>
      <c r="I59" s="12">
        <v>44405</v>
      </c>
      <c r="J59" s="12">
        <v>44589</v>
      </c>
      <c r="K59" s="25">
        <v>296198</v>
      </c>
      <c r="L59" s="23">
        <v>20039</v>
      </c>
      <c r="M59" s="11"/>
      <c r="N59" s="7" t="str">
        <f ca="1">_xlfn.IFNA(VLOOKUP("2"&amp;B59,CountSpecific!E:F,2,0),"")</f>
        <v/>
      </c>
      <c r="O59" s="14" t="str">
        <f ca="1">_xlfn.IFNA(VLOOKUP("3"&amp;B59,CountSpecific!E:F,2,0),"")</f>
        <v/>
      </c>
      <c r="P59" s="7" t="str">
        <f ca="1">_xlfn.IFNA(VLOOKUP("4"&amp;B59,CountSpecific!E:F,2,0),"")</f>
        <v/>
      </c>
    </row>
    <row r="60" spans="1:16" customFormat="1" x14ac:dyDescent="0.25">
      <c r="A60" s="7">
        <v>59</v>
      </c>
      <c r="B60" s="11" t="s">
        <v>75</v>
      </c>
      <c r="C60" s="7" t="s">
        <v>1039</v>
      </c>
      <c r="D60" s="7">
        <v>59</v>
      </c>
      <c r="E60" s="7">
        <v>59</v>
      </c>
      <c r="F60" s="7">
        <v>59</v>
      </c>
      <c r="G60" s="11" t="s">
        <v>1020</v>
      </c>
      <c r="H60" s="20">
        <v>145784</v>
      </c>
      <c r="I60" s="12">
        <v>45147</v>
      </c>
      <c r="J60" s="12">
        <v>45817</v>
      </c>
      <c r="K60" s="25">
        <v>129902</v>
      </c>
      <c r="L60" s="23">
        <v>15882</v>
      </c>
      <c r="M60" s="11"/>
      <c r="N60" s="7" t="str">
        <f ca="1">_xlfn.IFNA(VLOOKUP("2"&amp;B60,CountSpecific!E:F,2,0),"")</f>
        <v/>
      </c>
      <c r="O60" s="14" t="str">
        <f ca="1">_xlfn.IFNA(VLOOKUP("3"&amp;B60,CountSpecific!E:F,2,0),"")</f>
        <v/>
      </c>
      <c r="P60" s="7" t="str">
        <f ca="1">_xlfn.IFNA(VLOOKUP("4"&amp;B60,CountSpecific!E:F,2,0),"")</f>
        <v/>
      </c>
    </row>
    <row r="61" spans="1:16" customFormat="1" x14ac:dyDescent="0.25">
      <c r="A61" s="7">
        <v>60</v>
      </c>
      <c r="B61" s="11" t="s">
        <v>76</v>
      </c>
      <c r="C61" s="7" t="s">
        <v>1039</v>
      </c>
      <c r="D61" s="7">
        <v>60</v>
      </c>
      <c r="E61" s="9">
        <v>60</v>
      </c>
      <c r="F61" s="7">
        <v>60</v>
      </c>
      <c r="G61" s="11" t="s">
        <v>1021</v>
      </c>
      <c r="H61" s="20">
        <v>32375</v>
      </c>
      <c r="I61" s="12">
        <v>44066</v>
      </c>
      <c r="J61" s="12">
        <v>44584</v>
      </c>
      <c r="K61" s="25">
        <v>26645</v>
      </c>
      <c r="L61" s="23">
        <v>5730</v>
      </c>
      <c r="M61" s="11"/>
      <c r="N61" s="7" t="str">
        <f ca="1">_xlfn.IFNA(VLOOKUP("2"&amp;B61,CountSpecific!E:F,2,0),"")</f>
        <v/>
      </c>
      <c r="O61" s="14" t="str">
        <f ca="1">_xlfn.IFNA(VLOOKUP("3"&amp;B61,CountSpecific!E:F,2,0),"")</f>
        <v/>
      </c>
      <c r="P61" s="7" t="str">
        <f ca="1">_xlfn.IFNA(VLOOKUP("4"&amp;B61,CountSpecific!E:F,2,0),"")</f>
        <v/>
      </c>
    </row>
    <row r="62" spans="1:16" customFormat="1" x14ac:dyDescent="0.25">
      <c r="A62" s="7">
        <v>61</v>
      </c>
      <c r="B62" s="11" t="s">
        <v>77</v>
      </c>
      <c r="C62" s="7" t="s">
        <v>1039</v>
      </c>
      <c r="D62" s="7">
        <v>61</v>
      </c>
      <c r="E62" s="7">
        <v>61</v>
      </c>
      <c r="F62" s="7">
        <v>61</v>
      </c>
      <c r="G62" s="11" t="s">
        <v>1016</v>
      </c>
      <c r="H62" s="20">
        <v>48758</v>
      </c>
      <c r="I62" s="12">
        <v>44210</v>
      </c>
      <c r="J62" s="12">
        <v>44848</v>
      </c>
      <c r="K62" s="25">
        <v>8869</v>
      </c>
      <c r="L62" s="23">
        <v>39889</v>
      </c>
      <c r="M62" s="11"/>
      <c r="N62" s="7" t="str">
        <f ca="1">_xlfn.IFNA(VLOOKUP("2"&amp;B62,CountSpecific!E:F,2,0),"")</f>
        <v/>
      </c>
      <c r="O62" s="14" t="str">
        <f ca="1">_xlfn.IFNA(VLOOKUP("3"&amp;B62,CountSpecific!E:F,2,0),"")</f>
        <v/>
      </c>
      <c r="P62" s="7" t="str">
        <f ca="1">_xlfn.IFNA(VLOOKUP("4"&amp;B62,CountSpecific!E:F,2,0),"")</f>
        <v/>
      </c>
    </row>
    <row r="63" spans="1:16" customFormat="1" x14ac:dyDescent="0.25">
      <c r="A63" s="7">
        <v>62</v>
      </c>
      <c r="B63" s="11" t="s">
        <v>78</v>
      </c>
      <c r="C63" s="7" t="s">
        <v>1039</v>
      </c>
      <c r="D63" s="7">
        <v>62</v>
      </c>
      <c r="E63" s="7">
        <v>62</v>
      </c>
      <c r="F63" s="7">
        <v>62</v>
      </c>
      <c r="G63" s="11" t="s">
        <v>1027</v>
      </c>
      <c r="H63" s="20">
        <v>44237</v>
      </c>
      <c r="I63" s="12">
        <v>45717</v>
      </c>
      <c r="J63" s="12">
        <v>46054</v>
      </c>
      <c r="K63" s="25">
        <v>10216</v>
      </c>
      <c r="L63" s="23">
        <v>34021</v>
      </c>
      <c r="M63" s="11"/>
      <c r="N63" s="7" t="str">
        <f ca="1">_xlfn.IFNA(VLOOKUP("2"&amp;B63,CountSpecific!E:F,2,0),"")</f>
        <v/>
      </c>
      <c r="O63" s="14" t="str">
        <f ca="1">_xlfn.IFNA(VLOOKUP("3"&amp;B63,CountSpecific!E:F,2,0),"")</f>
        <v/>
      </c>
      <c r="P63" s="7" t="str">
        <f ca="1">_xlfn.IFNA(VLOOKUP("4"&amp;B63,CountSpecific!E:F,2,0),"")</f>
        <v/>
      </c>
    </row>
    <row r="64" spans="1:16" customFormat="1" x14ac:dyDescent="0.25">
      <c r="A64" s="7">
        <v>63</v>
      </c>
      <c r="B64" s="11" t="s">
        <v>79</v>
      </c>
      <c r="C64" s="7" t="s">
        <v>1039</v>
      </c>
      <c r="D64" s="7">
        <v>63</v>
      </c>
      <c r="E64" s="9">
        <v>63</v>
      </c>
      <c r="F64" s="7">
        <v>63</v>
      </c>
      <c r="G64" s="11" t="s">
        <v>1025</v>
      </c>
      <c r="H64" s="20">
        <v>189786</v>
      </c>
      <c r="I64" s="12">
        <v>43876</v>
      </c>
      <c r="J64" s="12">
        <v>44089</v>
      </c>
      <c r="K64" s="25">
        <v>89846</v>
      </c>
      <c r="L64" s="23">
        <v>99940</v>
      </c>
      <c r="M64" s="11"/>
      <c r="N64" s="7" t="str">
        <f ca="1">_xlfn.IFNA(VLOOKUP("2"&amp;B64,CountSpecific!E:F,2,0),"")</f>
        <v/>
      </c>
      <c r="O64" s="14" t="str">
        <f ca="1">_xlfn.IFNA(VLOOKUP("3"&amp;B64,CountSpecific!E:F,2,0),"")</f>
        <v/>
      </c>
      <c r="P64" s="7" t="str">
        <f ca="1">_xlfn.IFNA(VLOOKUP("4"&amp;B64,CountSpecific!E:F,2,0),"")</f>
        <v/>
      </c>
    </row>
    <row r="65" spans="1:16" customFormat="1" x14ac:dyDescent="0.25">
      <c r="A65" s="7">
        <v>64</v>
      </c>
      <c r="B65" s="11" t="s">
        <v>80</v>
      </c>
      <c r="C65" s="7" t="s">
        <v>1039</v>
      </c>
      <c r="D65" s="7">
        <v>64</v>
      </c>
      <c r="E65" s="7">
        <v>64</v>
      </c>
      <c r="F65" s="7">
        <v>64</v>
      </c>
      <c r="G65" s="11" t="s">
        <v>1023</v>
      </c>
      <c r="H65" s="20">
        <v>1071</v>
      </c>
      <c r="I65" s="12">
        <v>43937</v>
      </c>
      <c r="J65" s="12">
        <v>44302</v>
      </c>
      <c r="K65" s="25">
        <v>438</v>
      </c>
      <c r="L65" s="23">
        <v>633</v>
      </c>
      <c r="M65" s="11"/>
      <c r="N65" s="7" t="str">
        <f ca="1">_xlfn.IFNA(VLOOKUP("2"&amp;B65,CountSpecific!E:F,2,0),"")</f>
        <v/>
      </c>
      <c r="O65" s="14" t="str">
        <f ca="1">_xlfn.IFNA(VLOOKUP("3"&amp;B65,CountSpecific!E:F,2,0),"")</f>
        <v/>
      </c>
      <c r="P65" s="7" t="str">
        <f ca="1">_xlfn.IFNA(VLOOKUP("4"&amp;B65,CountSpecific!E:F,2,0),"")</f>
        <v/>
      </c>
    </row>
    <row r="66" spans="1:16" customFormat="1" x14ac:dyDescent="0.25">
      <c r="A66" s="7">
        <v>65</v>
      </c>
      <c r="B66" s="11" t="s">
        <v>81</v>
      </c>
      <c r="C66" s="7" t="s">
        <v>1039</v>
      </c>
      <c r="D66" s="7">
        <v>65</v>
      </c>
      <c r="E66" s="7">
        <v>65</v>
      </c>
      <c r="F66" s="7">
        <v>65</v>
      </c>
      <c r="G66" s="11" t="s">
        <v>1024</v>
      </c>
      <c r="H66" s="20">
        <v>127429</v>
      </c>
      <c r="I66" s="12">
        <v>44370</v>
      </c>
      <c r="J66" s="12">
        <v>45069</v>
      </c>
      <c r="K66" s="25">
        <v>15921</v>
      </c>
      <c r="L66" s="23">
        <v>111508</v>
      </c>
      <c r="M66" s="11"/>
      <c r="N66" s="7" t="str">
        <f ca="1">_xlfn.IFNA(VLOOKUP("2"&amp;B66,CountSpecific!E:F,2,0),"")</f>
        <v/>
      </c>
      <c r="O66" s="14" t="str">
        <f ca="1">_xlfn.IFNA(VLOOKUP("3"&amp;B66,CountSpecific!E:F,2,0),"")</f>
        <v/>
      </c>
      <c r="P66" s="7" t="str">
        <f ca="1">_xlfn.IFNA(VLOOKUP("4"&amp;B66,CountSpecific!E:F,2,0),"")</f>
        <v/>
      </c>
    </row>
    <row r="67" spans="1:16" customFormat="1" x14ac:dyDescent="0.25">
      <c r="A67" s="7">
        <v>66</v>
      </c>
      <c r="B67" s="11" t="s">
        <v>82</v>
      </c>
      <c r="C67" s="7" t="s">
        <v>1039</v>
      </c>
      <c r="D67" s="7">
        <v>66</v>
      </c>
      <c r="E67" s="9">
        <v>66</v>
      </c>
      <c r="F67" s="7">
        <v>66</v>
      </c>
      <c r="G67" s="11" t="s">
        <v>1016</v>
      </c>
      <c r="H67" s="20">
        <v>14617</v>
      </c>
      <c r="I67" s="12">
        <v>45228</v>
      </c>
      <c r="J67" s="12">
        <v>45898</v>
      </c>
      <c r="K67" s="25">
        <v>13603</v>
      </c>
      <c r="L67" s="23">
        <v>1014</v>
      </c>
      <c r="M67" s="11"/>
      <c r="N67" s="7" t="str">
        <f ca="1">_xlfn.IFNA(VLOOKUP("2"&amp;B67,CountSpecific!E:F,2,0),"")</f>
        <v/>
      </c>
      <c r="O67" s="14" t="str">
        <f ca="1">_xlfn.IFNA(VLOOKUP("3"&amp;B67,CountSpecific!E:F,2,0),"")</f>
        <v/>
      </c>
      <c r="P67" s="7" t="str">
        <f ca="1">_xlfn.IFNA(VLOOKUP("4"&amp;B67,CountSpecific!E:F,2,0),"")</f>
        <v/>
      </c>
    </row>
    <row r="68" spans="1:16" customFormat="1" x14ac:dyDescent="0.25">
      <c r="A68" s="7">
        <v>67</v>
      </c>
      <c r="B68" s="11" t="s">
        <v>83</v>
      </c>
      <c r="C68" s="7" t="s">
        <v>1039</v>
      </c>
      <c r="D68" s="7">
        <v>67</v>
      </c>
      <c r="E68" s="7">
        <v>67</v>
      </c>
      <c r="F68" s="7">
        <v>67</v>
      </c>
      <c r="G68" s="11" t="s">
        <v>1020</v>
      </c>
      <c r="H68" s="20">
        <v>373231</v>
      </c>
      <c r="I68" s="12">
        <v>44107</v>
      </c>
      <c r="J68" s="12">
        <v>44715</v>
      </c>
      <c r="K68" s="25">
        <v>371478</v>
      </c>
      <c r="L68" s="23">
        <v>1753</v>
      </c>
      <c r="M68" s="11"/>
      <c r="N68" s="7" t="str">
        <f ca="1">_xlfn.IFNA(VLOOKUP("2"&amp;B68,CountSpecific!E:F,2,0),"")</f>
        <v/>
      </c>
      <c r="O68" s="14" t="str">
        <f ca="1">_xlfn.IFNA(VLOOKUP("3"&amp;B68,CountSpecific!E:F,2,0),"")</f>
        <v/>
      </c>
      <c r="P68" s="7" t="str">
        <f ca="1">_xlfn.IFNA(VLOOKUP("4"&amp;B68,CountSpecific!E:F,2,0),"")</f>
        <v/>
      </c>
    </row>
    <row r="69" spans="1:16" customFormat="1" x14ac:dyDescent="0.25">
      <c r="A69" s="7">
        <v>68</v>
      </c>
      <c r="B69" s="11" t="s">
        <v>84</v>
      </c>
      <c r="C69" s="7" t="s">
        <v>1039</v>
      </c>
      <c r="D69" s="7">
        <v>68</v>
      </c>
      <c r="E69" s="7">
        <v>68</v>
      </c>
      <c r="F69" s="7">
        <v>68</v>
      </c>
      <c r="G69" s="11" t="s">
        <v>1021</v>
      </c>
      <c r="H69" s="20">
        <v>23128</v>
      </c>
      <c r="I69" s="12">
        <v>44788</v>
      </c>
      <c r="J69" s="12">
        <v>45214</v>
      </c>
      <c r="K69" s="25">
        <v>10332</v>
      </c>
      <c r="L69" s="23">
        <v>12796</v>
      </c>
      <c r="M69" s="11"/>
      <c r="N69" s="7" t="str">
        <f ca="1">_xlfn.IFNA(VLOOKUP("2"&amp;B69,CountSpecific!E:F,2,0),"")</f>
        <v/>
      </c>
      <c r="O69" s="14" t="str">
        <f ca="1">_xlfn.IFNA(VLOOKUP("3"&amp;B69,CountSpecific!E:F,2,0),"")</f>
        <v/>
      </c>
      <c r="P69" s="7" t="str">
        <f ca="1">_xlfn.IFNA(VLOOKUP("4"&amp;B69,CountSpecific!E:F,2,0),"")</f>
        <v/>
      </c>
    </row>
    <row r="70" spans="1:16" customFormat="1" x14ac:dyDescent="0.25">
      <c r="A70" s="7">
        <v>69</v>
      </c>
      <c r="B70" s="11" t="s">
        <v>85</v>
      </c>
      <c r="C70" s="7" t="s">
        <v>1039</v>
      </c>
      <c r="D70" s="7">
        <v>69</v>
      </c>
      <c r="E70" s="9">
        <v>69</v>
      </c>
      <c r="F70" s="7">
        <v>69</v>
      </c>
      <c r="G70" s="11" t="s">
        <v>1016</v>
      </c>
      <c r="H70" s="20">
        <v>5771</v>
      </c>
      <c r="I70" s="12">
        <v>44164</v>
      </c>
      <c r="J70" s="12">
        <v>44833</v>
      </c>
      <c r="K70" s="25">
        <v>4591</v>
      </c>
      <c r="L70" s="23">
        <v>1180</v>
      </c>
      <c r="M70" s="11"/>
      <c r="N70" s="7" t="str">
        <f ca="1">_xlfn.IFNA(VLOOKUP("2"&amp;B70,CountSpecific!E:F,2,0),"")</f>
        <v/>
      </c>
      <c r="O70" s="14" t="str">
        <f ca="1">_xlfn.IFNA(VLOOKUP("3"&amp;B70,CountSpecific!E:F,2,0),"")</f>
        <v/>
      </c>
      <c r="P70" s="7" t="str">
        <f ca="1">_xlfn.IFNA(VLOOKUP("4"&amp;B70,CountSpecific!E:F,2,0),"")</f>
        <v/>
      </c>
    </row>
    <row r="71" spans="1:16" customFormat="1" x14ac:dyDescent="0.25">
      <c r="A71" s="7">
        <v>70</v>
      </c>
      <c r="B71" s="11" t="s">
        <v>86</v>
      </c>
      <c r="C71" s="7" t="s">
        <v>1039</v>
      </c>
      <c r="D71" s="7">
        <v>70</v>
      </c>
      <c r="E71" s="7">
        <v>70</v>
      </c>
      <c r="F71" s="7">
        <v>70</v>
      </c>
      <c r="G71" s="11" t="s">
        <v>1016</v>
      </c>
      <c r="H71" s="20">
        <v>24713</v>
      </c>
      <c r="I71" s="12">
        <v>45299</v>
      </c>
      <c r="J71" s="12">
        <v>45724</v>
      </c>
      <c r="K71" s="25">
        <v>7042</v>
      </c>
      <c r="L71" s="23">
        <v>17671</v>
      </c>
      <c r="M71" s="11"/>
      <c r="N71" s="7" t="str">
        <f ca="1">_xlfn.IFNA(VLOOKUP("2"&amp;B71,CountSpecific!E:F,2,0),"")</f>
        <v/>
      </c>
      <c r="O71" s="14" t="str">
        <f ca="1">_xlfn.IFNA(VLOOKUP("3"&amp;B71,CountSpecific!E:F,2,0),"")</f>
        <v/>
      </c>
      <c r="P71" s="7" t="str">
        <f ca="1">_xlfn.IFNA(VLOOKUP("4"&amp;B71,CountSpecific!E:F,2,0),"")</f>
        <v/>
      </c>
    </row>
    <row r="72" spans="1:16" customFormat="1" x14ac:dyDescent="0.25">
      <c r="A72" s="7">
        <v>71</v>
      </c>
      <c r="B72" s="11" t="s">
        <v>87</v>
      </c>
      <c r="C72" s="7" t="s">
        <v>1039</v>
      </c>
      <c r="D72" s="7">
        <v>71</v>
      </c>
      <c r="E72" s="7">
        <v>71</v>
      </c>
      <c r="F72" s="7">
        <v>71</v>
      </c>
      <c r="G72" s="11" t="s">
        <v>1016</v>
      </c>
      <c r="H72" s="20">
        <v>1547</v>
      </c>
      <c r="I72" s="12">
        <v>44363</v>
      </c>
      <c r="J72" s="12">
        <v>45093</v>
      </c>
      <c r="K72" s="25">
        <v>459</v>
      </c>
      <c r="L72" s="23">
        <v>1088</v>
      </c>
      <c r="M72" s="11"/>
      <c r="N72" s="7" t="str">
        <f ca="1">_xlfn.IFNA(VLOOKUP("2"&amp;B72,CountSpecific!E:F,2,0),"")</f>
        <v/>
      </c>
      <c r="O72" s="14" t="str">
        <f ca="1">_xlfn.IFNA(VLOOKUP("3"&amp;B72,CountSpecific!E:F,2,0),"")</f>
        <v/>
      </c>
      <c r="P72" s="7" t="str">
        <f ca="1">_xlfn.IFNA(VLOOKUP("4"&amp;B72,CountSpecific!E:F,2,0),"")</f>
        <v/>
      </c>
    </row>
    <row r="73" spans="1:16" customFormat="1" x14ac:dyDescent="0.25">
      <c r="A73" s="7">
        <v>72</v>
      </c>
      <c r="B73" s="11" t="s">
        <v>88</v>
      </c>
      <c r="C73" s="7" t="s">
        <v>1039</v>
      </c>
      <c r="D73" s="7">
        <v>72</v>
      </c>
      <c r="E73" s="9">
        <v>72</v>
      </c>
      <c r="F73" s="7">
        <v>72</v>
      </c>
      <c r="G73" s="11" t="s">
        <v>1021</v>
      </c>
      <c r="H73" s="20">
        <v>34277</v>
      </c>
      <c r="I73" s="12">
        <v>43892</v>
      </c>
      <c r="J73" s="12">
        <v>44167</v>
      </c>
      <c r="K73" s="25">
        <v>33063</v>
      </c>
      <c r="L73" s="23">
        <v>1214</v>
      </c>
      <c r="M73" s="11"/>
      <c r="N73" s="7" t="str">
        <f ca="1">_xlfn.IFNA(VLOOKUP("2"&amp;B73,CountSpecific!E:F,2,0),"")</f>
        <v/>
      </c>
      <c r="O73" s="14" t="str">
        <f ca="1">_xlfn.IFNA(VLOOKUP("3"&amp;B73,CountSpecific!E:F,2,0),"")</f>
        <v/>
      </c>
      <c r="P73" s="7" t="str">
        <f ca="1">_xlfn.IFNA(VLOOKUP("4"&amp;B73,CountSpecific!E:F,2,0),"")</f>
        <v/>
      </c>
    </row>
    <row r="74" spans="1:16" customFormat="1" x14ac:dyDescent="0.25">
      <c r="A74" s="7">
        <v>73</v>
      </c>
      <c r="B74" s="11" t="s">
        <v>89</v>
      </c>
      <c r="C74" s="7" t="s">
        <v>1039</v>
      </c>
      <c r="D74" s="7">
        <v>73</v>
      </c>
      <c r="E74" s="7">
        <v>73</v>
      </c>
      <c r="F74" s="7">
        <v>73</v>
      </c>
      <c r="G74" s="11" t="s">
        <v>1023</v>
      </c>
      <c r="H74" s="20">
        <v>1454</v>
      </c>
      <c r="I74" s="12">
        <v>44621</v>
      </c>
      <c r="J74" s="12">
        <v>44713</v>
      </c>
      <c r="K74" s="25">
        <v>333</v>
      </c>
      <c r="L74" s="23">
        <v>1121</v>
      </c>
      <c r="M74" s="11"/>
      <c r="N74" s="7" t="str">
        <f ca="1">_xlfn.IFNA(VLOOKUP("2"&amp;B74,CountSpecific!E:F,2,0),"")</f>
        <v/>
      </c>
      <c r="O74" s="14" t="str">
        <f ca="1">_xlfn.IFNA(VLOOKUP("3"&amp;B74,CountSpecific!E:F,2,0),"")</f>
        <v/>
      </c>
      <c r="P74" s="7" t="str">
        <f ca="1">_xlfn.IFNA(VLOOKUP("4"&amp;B74,CountSpecific!E:F,2,0),"")</f>
        <v/>
      </c>
    </row>
    <row r="75" spans="1:16" customFormat="1" x14ac:dyDescent="0.25">
      <c r="A75" s="7">
        <v>74</v>
      </c>
      <c r="B75" s="11" t="s">
        <v>90</v>
      </c>
      <c r="C75" s="7" t="s">
        <v>1039</v>
      </c>
      <c r="D75" s="7">
        <v>74</v>
      </c>
      <c r="E75" s="7">
        <v>74</v>
      </c>
      <c r="F75" s="7">
        <v>74</v>
      </c>
      <c r="G75" s="11" t="s">
        <v>1027</v>
      </c>
      <c r="H75" s="20">
        <v>24040</v>
      </c>
      <c r="I75" s="12">
        <v>44655</v>
      </c>
      <c r="J75" s="12">
        <v>45142</v>
      </c>
      <c r="K75" s="25">
        <v>17792</v>
      </c>
      <c r="L75" s="23">
        <v>6248</v>
      </c>
      <c r="M75" s="11"/>
      <c r="N75" s="7" t="str">
        <f ca="1">_xlfn.IFNA(VLOOKUP("2"&amp;B75,CountSpecific!E:F,2,0),"")</f>
        <v/>
      </c>
      <c r="O75" s="14" t="str">
        <f ca="1">_xlfn.IFNA(VLOOKUP("3"&amp;B75,CountSpecific!E:F,2,0),"")</f>
        <v/>
      </c>
      <c r="P75" s="7" t="str">
        <f ca="1">_xlfn.IFNA(VLOOKUP("4"&amp;B75,CountSpecific!E:F,2,0),"")</f>
        <v/>
      </c>
    </row>
    <row r="76" spans="1:16" customFormat="1" x14ac:dyDescent="0.25">
      <c r="A76" s="7">
        <v>75</v>
      </c>
      <c r="B76" s="11" t="s">
        <v>91</v>
      </c>
      <c r="C76" s="7" t="s">
        <v>1039</v>
      </c>
      <c r="D76" s="7">
        <v>75</v>
      </c>
      <c r="E76" s="9">
        <v>75</v>
      </c>
      <c r="F76" s="7">
        <v>75</v>
      </c>
      <c r="G76" s="11" t="s">
        <v>1021</v>
      </c>
      <c r="H76" s="20">
        <v>27092</v>
      </c>
      <c r="I76" s="12">
        <v>44735</v>
      </c>
      <c r="J76" s="12">
        <v>44980</v>
      </c>
      <c r="K76" s="25">
        <v>4906</v>
      </c>
      <c r="L76" s="23">
        <v>22186</v>
      </c>
      <c r="M76" s="11"/>
      <c r="N76" s="7" t="str">
        <f ca="1">_xlfn.IFNA(VLOOKUP("2"&amp;B76,CountSpecific!E:F,2,0),"")</f>
        <v/>
      </c>
      <c r="O76" s="14" t="str">
        <f ca="1">_xlfn.IFNA(VLOOKUP("3"&amp;B76,CountSpecific!E:F,2,0),"")</f>
        <v/>
      </c>
      <c r="P76" s="7" t="str">
        <f ca="1">_xlfn.IFNA(VLOOKUP("4"&amp;B76,CountSpecific!E:F,2,0),"")</f>
        <v/>
      </c>
    </row>
    <row r="77" spans="1:16" customFormat="1" x14ac:dyDescent="0.25">
      <c r="A77" s="7">
        <v>76</v>
      </c>
      <c r="B77" s="11" t="s">
        <v>92</v>
      </c>
      <c r="C77" s="7" t="s">
        <v>1039</v>
      </c>
      <c r="D77" s="7">
        <v>76</v>
      </c>
      <c r="E77" s="7">
        <v>76</v>
      </c>
      <c r="F77" s="7">
        <v>76</v>
      </c>
      <c r="G77" s="11" t="s">
        <v>1026</v>
      </c>
      <c r="H77" s="20">
        <v>2743459</v>
      </c>
      <c r="I77" s="12">
        <v>45136</v>
      </c>
      <c r="J77" s="12">
        <v>45198</v>
      </c>
      <c r="K77" s="25">
        <v>2009911</v>
      </c>
      <c r="L77" s="23">
        <v>733548</v>
      </c>
      <c r="M77" s="11"/>
      <c r="N77" s="7" t="str">
        <f ca="1">_xlfn.IFNA(VLOOKUP("2"&amp;B77,CountSpecific!E:F,2,0),"")</f>
        <v/>
      </c>
      <c r="O77" s="14" t="str">
        <f ca="1">_xlfn.IFNA(VLOOKUP("3"&amp;B77,CountSpecific!E:F,2,0),"")</f>
        <v/>
      </c>
      <c r="P77" s="7" t="str">
        <f ca="1">_xlfn.IFNA(VLOOKUP("4"&amp;B77,CountSpecific!E:F,2,0),"")</f>
        <v/>
      </c>
    </row>
    <row r="78" spans="1:16" customFormat="1" x14ac:dyDescent="0.25">
      <c r="A78" s="7">
        <v>77</v>
      </c>
      <c r="B78" s="11" t="s">
        <v>93</v>
      </c>
      <c r="C78" s="7" t="s">
        <v>1039</v>
      </c>
      <c r="D78" s="7">
        <v>77</v>
      </c>
      <c r="E78" s="7">
        <v>77</v>
      </c>
      <c r="F78" s="7">
        <v>77</v>
      </c>
      <c r="G78" s="11" t="s">
        <v>1023</v>
      </c>
      <c r="H78" s="20">
        <v>733</v>
      </c>
      <c r="I78" s="12">
        <v>44694</v>
      </c>
      <c r="J78" s="12">
        <v>45029</v>
      </c>
      <c r="K78" s="25">
        <v>5</v>
      </c>
      <c r="L78" s="23">
        <v>728</v>
      </c>
      <c r="M78" s="11"/>
      <c r="N78" s="7" t="str">
        <f ca="1">_xlfn.IFNA(VLOOKUP("2"&amp;B78,CountSpecific!E:F,2,0),"")</f>
        <v/>
      </c>
      <c r="O78" s="14" t="str">
        <f ca="1">_xlfn.IFNA(VLOOKUP("3"&amp;B78,CountSpecific!E:F,2,0),"")</f>
        <v/>
      </c>
      <c r="P78" s="7" t="str">
        <f ca="1">_xlfn.IFNA(VLOOKUP("4"&amp;B78,CountSpecific!E:F,2,0),"")</f>
        <v/>
      </c>
    </row>
    <row r="79" spans="1:16" customFormat="1" x14ac:dyDescent="0.25">
      <c r="A79" s="7">
        <v>78</v>
      </c>
      <c r="B79" s="11" t="s">
        <v>94</v>
      </c>
      <c r="C79" s="7" t="s">
        <v>1039</v>
      </c>
      <c r="D79" s="7">
        <v>78</v>
      </c>
      <c r="E79" s="9">
        <v>78</v>
      </c>
      <c r="F79" s="7">
        <v>78</v>
      </c>
      <c r="G79" s="11" t="s">
        <v>1026</v>
      </c>
      <c r="H79" s="20">
        <v>961372</v>
      </c>
      <c r="I79" s="12">
        <v>44035</v>
      </c>
      <c r="J79" s="12">
        <v>44704</v>
      </c>
      <c r="K79" s="25">
        <v>34673</v>
      </c>
      <c r="L79" s="23">
        <v>926699</v>
      </c>
      <c r="M79" s="11"/>
      <c r="N79" s="7" t="str">
        <f ca="1">_xlfn.IFNA(VLOOKUP("2"&amp;B79,CountSpecific!E:F,2,0),"")</f>
        <v/>
      </c>
      <c r="O79" s="14" t="str">
        <f ca="1">_xlfn.IFNA(VLOOKUP("3"&amp;B79,CountSpecific!E:F,2,0),"")</f>
        <v/>
      </c>
      <c r="P79" s="7" t="str">
        <f ca="1">_xlfn.IFNA(VLOOKUP("4"&amp;B79,CountSpecific!E:F,2,0),"")</f>
        <v/>
      </c>
    </row>
    <row r="80" spans="1:16" customFormat="1" x14ac:dyDescent="0.25">
      <c r="A80" s="7">
        <v>79</v>
      </c>
      <c r="B80" s="11" t="s">
        <v>95</v>
      </c>
      <c r="C80" s="7" t="s">
        <v>1039</v>
      </c>
      <c r="D80" s="7">
        <v>79</v>
      </c>
      <c r="E80" s="7">
        <v>79</v>
      </c>
      <c r="F80" s="7">
        <v>79</v>
      </c>
      <c r="G80" s="11" t="s">
        <v>1027</v>
      </c>
      <c r="H80" s="20">
        <v>18750</v>
      </c>
      <c r="I80" s="12">
        <v>44671</v>
      </c>
      <c r="J80" s="12">
        <v>44762</v>
      </c>
      <c r="K80" s="25">
        <v>4653</v>
      </c>
      <c r="L80" s="23">
        <v>14097</v>
      </c>
      <c r="M80" s="11"/>
      <c r="N80" s="7" t="str">
        <f ca="1">_xlfn.IFNA(VLOOKUP("2"&amp;B80,CountSpecific!E:F,2,0),"")</f>
        <v/>
      </c>
      <c r="O80" s="14" t="str">
        <f ca="1">_xlfn.IFNA(VLOOKUP("3"&amp;B80,CountSpecific!E:F,2,0),"")</f>
        <v/>
      </c>
      <c r="P80" s="7" t="str">
        <f ca="1">_xlfn.IFNA(VLOOKUP("4"&amp;B80,CountSpecific!E:F,2,0),"")</f>
        <v/>
      </c>
    </row>
    <row r="81" spans="1:16" customFormat="1" x14ac:dyDescent="0.25">
      <c r="A81" s="7">
        <v>80</v>
      </c>
      <c r="B81" s="11" t="s">
        <v>96</v>
      </c>
      <c r="C81" s="7" t="s">
        <v>1039</v>
      </c>
      <c r="D81" s="7">
        <v>80</v>
      </c>
      <c r="E81" s="7">
        <v>80</v>
      </c>
      <c r="F81" s="7">
        <v>80</v>
      </c>
      <c r="G81" s="11" t="s">
        <v>1027</v>
      </c>
      <c r="H81" s="20">
        <v>53196</v>
      </c>
      <c r="I81" s="12">
        <v>45201</v>
      </c>
      <c r="J81" s="12">
        <v>45262</v>
      </c>
      <c r="K81" s="25">
        <v>47244</v>
      </c>
      <c r="L81" s="23">
        <v>5952</v>
      </c>
      <c r="M81" s="11"/>
      <c r="N81" s="7" t="str">
        <f ca="1">_xlfn.IFNA(VLOOKUP("2"&amp;B81,CountSpecific!E:F,2,0),"")</f>
        <v/>
      </c>
      <c r="O81" s="14" t="str">
        <f ca="1">_xlfn.IFNA(VLOOKUP("3"&amp;B81,CountSpecific!E:F,2,0),"")</f>
        <v/>
      </c>
      <c r="P81" s="7" t="str">
        <f ca="1">_xlfn.IFNA(VLOOKUP("4"&amp;B81,CountSpecific!E:F,2,0),"")</f>
        <v/>
      </c>
    </row>
    <row r="82" spans="1:16" customFormat="1" x14ac:dyDescent="0.25">
      <c r="A82" s="7">
        <v>81</v>
      </c>
      <c r="B82" s="11" t="s">
        <v>97</v>
      </c>
      <c r="C82" s="7" t="s">
        <v>1039</v>
      </c>
      <c r="D82" s="7">
        <v>81</v>
      </c>
      <c r="E82" s="9">
        <v>81</v>
      </c>
      <c r="F82" s="7">
        <v>81</v>
      </c>
      <c r="G82" s="11" t="s">
        <v>1020</v>
      </c>
      <c r="H82" s="20">
        <v>239630</v>
      </c>
      <c r="I82" s="12">
        <v>44671</v>
      </c>
      <c r="J82" s="12">
        <v>44762</v>
      </c>
      <c r="K82" s="25">
        <v>59571</v>
      </c>
      <c r="L82" s="23">
        <v>180059</v>
      </c>
      <c r="M82" s="11"/>
      <c r="N82" s="7" t="str">
        <f ca="1">_xlfn.IFNA(VLOOKUP("2"&amp;B82,CountSpecific!E:F,2,0),"")</f>
        <v/>
      </c>
      <c r="O82" s="14" t="str">
        <f ca="1">_xlfn.IFNA(VLOOKUP("3"&amp;B82,CountSpecific!E:F,2,0),"")</f>
        <v/>
      </c>
      <c r="P82" s="7" t="str">
        <f ca="1">_xlfn.IFNA(VLOOKUP("4"&amp;B82,CountSpecific!E:F,2,0),"")</f>
        <v/>
      </c>
    </row>
    <row r="83" spans="1:16" customFormat="1" x14ac:dyDescent="0.25">
      <c r="A83" s="7">
        <v>82</v>
      </c>
      <c r="B83" s="11" t="s">
        <v>98</v>
      </c>
      <c r="C83" s="7" t="s">
        <v>1039</v>
      </c>
      <c r="D83" s="7">
        <v>82</v>
      </c>
      <c r="E83" s="7">
        <v>82</v>
      </c>
      <c r="F83" s="7">
        <v>82</v>
      </c>
      <c r="G83" s="11" t="s">
        <v>1016</v>
      </c>
      <c r="H83" s="20">
        <v>12779</v>
      </c>
      <c r="I83" s="12">
        <v>45122</v>
      </c>
      <c r="J83" s="12">
        <v>45488</v>
      </c>
      <c r="K83" s="25">
        <v>3891</v>
      </c>
      <c r="L83" s="23">
        <v>8888</v>
      </c>
      <c r="M83" s="11"/>
      <c r="N83" s="7" t="str">
        <f ca="1">_xlfn.IFNA(VLOOKUP("2"&amp;B83,CountSpecific!E:F,2,0),"")</f>
        <v/>
      </c>
      <c r="O83" s="14" t="str">
        <f ca="1">_xlfn.IFNA(VLOOKUP("3"&amp;B83,CountSpecific!E:F,2,0),"")</f>
        <v/>
      </c>
      <c r="P83" s="7" t="str">
        <f ca="1">_xlfn.IFNA(VLOOKUP("4"&amp;B83,CountSpecific!E:F,2,0),"")</f>
        <v/>
      </c>
    </row>
    <row r="84" spans="1:16" customFormat="1" x14ac:dyDescent="0.25">
      <c r="A84" s="7">
        <v>83</v>
      </c>
      <c r="B84" s="11" t="s">
        <v>99</v>
      </c>
      <c r="C84" s="7" t="s">
        <v>1039</v>
      </c>
      <c r="D84" s="7">
        <v>83</v>
      </c>
      <c r="E84" s="7">
        <v>83</v>
      </c>
      <c r="F84" s="7">
        <v>83</v>
      </c>
      <c r="G84" s="11" t="s">
        <v>1027</v>
      </c>
      <c r="H84" s="20">
        <v>18108</v>
      </c>
      <c r="I84" s="12">
        <v>45343</v>
      </c>
      <c r="J84" s="12">
        <v>45798</v>
      </c>
      <c r="K84" s="25">
        <v>1322</v>
      </c>
      <c r="L84" s="23">
        <v>16786</v>
      </c>
      <c r="M84" s="11"/>
      <c r="N84" s="7" t="str">
        <f ca="1">_xlfn.IFNA(VLOOKUP("2"&amp;B84,CountSpecific!E:F,2,0),"")</f>
        <v/>
      </c>
      <c r="O84" s="14" t="str">
        <f ca="1">_xlfn.IFNA(VLOOKUP("3"&amp;B84,CountSpecific!E:F,2,0),"")</f>
        <v/>
      </c>
      <c r="P84" s="7" t="str">
        <f ca="1">_xlfn.IFNA(VLOOKUP("4"&amp;B84,CountSpecific!E:F,2,0),"")</f>
        <v/>
      </c>
    </row>
    <row r="85" spans="1:16" customFormat="1" x14ac:dyDescent="0.25">
      <c r="A85" s="7">
        <v>84</v>
      </c>
      <c r="B85" s="11" t="s">
        <v>100</v>
      </c>
      <c r="C85" s="7" t="s">
        <v>1039</v>
      </c>
      <c r="D85" s="7">
        <v>84</v>
      </c>
      <c r="E85" s="9">
        <v>84</v>
      </c>
      <c r="F85" s="7">
        <v>84</v>
      </c>
      <c r="G85" s="11" t="s">
        <v>1024</v>
      </c>
      <c r="H85" s="20">
        <v>176483</v>
      </c>
      <c r="I85" s="12">
        <v>44151</v>
      </c>
      <c r="J85" s="12">
        <v>44516</v>
      </c>
      <c r="K85" s="25">
        <v>72533</v>
      </c>
      <c r="L85" s="23">
        <v>103950</v>
      </c>
      <c r="M85" s="11"/>
      <c r="N85" s="7" t="str">
        <f ca="1">_xlfn.IFNA(VLOOKUP("2"&amp;B85,CountSpecific!E:F,2,0),"")</f>
        <v/>
      </c>
      <c r="O85" s="14" t="str">
        <f ca="1">_xlfn.IFNA(VLOOKUP("3"&amp;B85,CountSpecific!E:F,2,0),"")</f>
        <v/>
      </c>
      <c r="P85" s="7" t="str">
        <f ca="1">_xlfn.IFNA(VLOOKUP("4"&amp;B85,CountSpecific!E:F,2,0),"")</f>
        <v/>
      </c>
    </row>
    <row r="86" spans="1:16" customFormat="1" x14ac:dyDescent="0.25">
      <c r="A86" s="7">
        <v>85</v>
      </c>
      <c r="B86" s="11" t="s">
        <v>101</v>
      </c>
      <c r="C86" s="7" t="s">
        <v>1039</v>
      </c>
      <c r="D86" s="7">
        <v>85</v>
      </c>
      <c r="E86" s="7">
        <v>85</v>
      </c>
      <c r="F86" s="7">
        <v>85</v>
      </c>
      <c r="G86" s="11" t="s">
        <v>1023</v>
      </c>
      <c r="H86" s="20">
        <v>557</v>
      </c>
      <c r="I86" s="12">
        <v>44969</v>
      </c>
      <c r="J86" s="12">
        <v>45242</v>
      </c>
      <c r="K86" s="25">
        <v>176</v>
      </c>
      <c r="L86" s="23">
        <v>381</v>
      </c>
      <c r="M86" s="11"/>
      <c r="N86" s="7" t="str">
        <f ca="1">_xlfn.IFNA(VLOOKUP("2"&amp;B86,CountSpecific!E:F,2,0),"")</f>
        <v/>
      </c>
      <c r="O86" s="14" t="str">
        <f ca="1">_xlfn.IFNA(VLOOKUP("3"&amp;B86,CountSpecific!E:F,2,0),"")</f>
        <v/>
      </c>
      <c r="P86" s="7" t="str">
        <f ca="1">_xlfn.IFNA(VLOOKUP("4"&amp;B86,CountSpecific!E:F,2,0),"")</f>
        <v/>
      </c>
    </row>
    <row r="87" spans="1:16" customFormat="1" x14ac:dyDescent="0.25">
      <c r="A87" s="7">
        <v>86</v>
      </c>
      <c r="B87" s="11" t="s">
        <v>102</v>
      </c>
      <c r="C87" s="7" t="s">
        <v>1039</v>
      </c>
      <c r="D87" s="7">
        <v>86</v>
      </c>
      <c r="E87" s="7">
        <v>86</v>
      </c>
      <c r="F87" s="7">
        <v>86</v>
      </c>
      <c r="G87" s="11" t="s">
        <v>1023</v>
      </c>
      <c r="H87" s="20">
        <v>635</v>
      </c>
      <c r="I87" s="12">
        <v>44265</v>
      </c>
      <c r="J87" s="12">
        <v>44844</v>
      </c>
      <c r="K87" s="25">
        <v>198</v>
      </c>
      <c r="L87" s="23">
        <v>437</v>
      </c>
      <c r="M87" s="11"/>
      <c r="N87" s="7" t="str">
        <f ca="1">_xlfn.IFNA(VLOOKUP("2"&amp;B87,CountSpecific!E:F,2,0),"")</f>
        <v/>
      </c>
      <c r="O87" s="14" t="str">
        <f ca="1">_xlfn.IFNA(VLOOKUP("3"&amp;B87,CountSpecific!E:F,2,0),"")</f>
        <v/>
      </c>
      <c r="P87" s="7" t="str">
        <f ca="1">_xlfn.IFNA(VLOOKUP("4"&amp;B87,CountSpecific!E:F,2,0),"")</f>
        <v/>
      </c>
    </row>
    <row r="88" spans="1:16" customFormat="1" x14ac:dyDescent="0.25">
      <c r="A88" s="7">
        <v>87</v>
      </c>
      <c r="B88" s="11" t="s">
        <v>103</v>
      </c>
      <c r="C88" s="7" t="s">
        <v>1039</v>
      </c>
      <c r="D88" s="7">
        <v>87</v>
      </c>
      <c r="E88" s="9">
        <v>87</v>
      </c>
      <c r="F88" s="7">
        <v>87</v>
      </c>
      <c r="G88" s="11" t="s">
        <v>1020</v>
      </c>
      <c r="H88" s="20">
        <v>373871</v>
      </c>
      <c r="I88" s="12">
        <v>44134</v>
      </c>
      <c r="J88" s="12">
        <v>44438</v>
      </c>
      <c r="K88" s="25">
        <v>338527</v>
      </c>
      <c r="L88" s="23">
        <v>35344</v>
      </c>
      <c r="M88" s="11"/>
      <c r="N88" s="7" t="str">
        <f ca="1">_xlfn.IFNA(VLOOKUP("2"&amp;B88,CountSpecific!E:F,2,0),"")</f>
        <v/>
      </c>
      <c r="O88" s="14" t="str">
        <f ca="1">_xlfn.IFNA(VLOOKUP("3"&amp;B88,CountSpecific!E:F,2,0),"")</f>
        <v/>
      </c>
      <c r="P88" s="7" t="str">
        <f ca="1">_xlfn.IFNA(VLOOKUP("4"&amp;B88,CountSpecific!E:F,2,0),"")</f>
        <v/>
      </c>
    </row>
    <row r="89" spans="1:16" customFormat="1" x14ac:dyDescent="0.25">
      <c r="A89" s="7">
        <v>88</v>
      </c>
      <c r="B89" s="11" t="s">
        <v>104</v>
      </c>
      <c r="C89" s="7" t="s">
        <v>1039</v>
      </c>
      <c r="D89" s="7">
        <v>88</v>
      </c>
      <c r="E89" s="7">
        <v>88</v>
      </c>
      <c r="F89" s="7">
        <v>88</v>
      </c>
      <c r="G89" s="11" t="s">
        <v>1027</v>
      </c>
      <c r="H89" s="20">
        <v>51104</v>
      </c>
      <c r="I89" s="12">
        <v>44977</v>
      </c>
      <c r="J89" s="12">
        <v>45432</v>
      </c>
      <c r="K89" s="25">
        <v>2920</v>
      </c>
      <c r="L89" s="23">
        <v>48184</v>
      </c>
      <c r="M89" s="11"/>
      <c r="N89" s="7" t="str">
        <f ca="1">_xlfn.IFNA(VLOOKUP("2"&amp;B89,CountSpecific!E:F,2,0),"")</f>
        <v/>
      </c>
      <c r="O89" s="14" t="str">
        <f ca="1">_xlfn.IFNA(VLOOKUP("3"&amp;B89,CountSpecific!E:F,2,0),"")</f>
        <v/>
      </c>
      <c r="P89" s="7" t="str">
        <f ca="1">_xlfn.IFNA(VLOOKUP("4"&amp;B89,CountSpecific!E:F,2,0),"")</f>
        <v/>
      </c>
    </row>
    <row r="90" spans="1:16" customFormat="1" x14ac:dyDescent="0.25">
      <c r="A90" s="7">
        <v>89</v>
      </c>
      <c r="B90" s="11" t="s">
        <v>105</v>
      </c>
      <c r="C90" s="7" t="s">
        <v>1039</v>
      </c>
      <c r="D90" s="7">
        <v>89</v>
      </c>
      <c r="E90" s="7">
        <v>89</v>
      </c>
      <c r="F90" s="7">
        <v>89</v>
      </c>
      <c r="G90" s="11" t="s">
        <v>1016</v>
      </c>
      <c r="H90" s="20">
        <v>41984</v>
      </c>
      <c r="I90" s="12">
        <v>44544</v>
      </c>
      <c r="J90" s="12">
        <v>44940</v>
      </c>
      <c r="K90" s="25">
        <v>5528</v>
      </c>
      <c r="L90" s="23">
        <v>36456</v>
      </c>
      <c r="M90" s="11"/>
      <c r="N90" s="7" t="str">
        <f ca="1">_xlfn.IFNA(VLOOKUP("2"&amp;B90,CountSpecific!E:F,2,0),"")</f>
        <v/>
      </c>
      <c r="O90" s="14" t="str">
        <f ca="1">_xlfn.IFNA(VLOOKUP("3"&amp;B90,CountSpecific!E:F,2,0),"")</f>
        <v/>
      </c>
      <c r="P90" s="7" t="str">
        <f ca="1">_xlfn.IFNA(VLOOKUP("4"&amp;B90,CountSpecific!E:F,2,0),"")</f>
        <v/>
      </c>
    </row>
    <row r="91" spans="1:16" customFormat="1" x14ac:dyDescent="0.25">
      <c r="A91" s="7">
        <v>90</v>
      </c>
      <c r="B91" s="11" t="s">
        <v>106</v>
      </c>
      <c r="C91" s="7" t="s">
        <v>1039</v>
      </c>
      <c r="D91" s="7">
        <v>90</v>
      </c>
      <c r="E91" s="9">
        <v>90</v>
      </c>
      <c r="F91" s="7">
        <v>90</v>
      </c>
      <c r="G91" s="11" t="s">
        <v>1026</v>
      </c>
      <c r="H91" s="20">
        <v>4439261</v>
      </c>
      <c r="I91" s="12">
        <v>44422</v>
      </c>
      <c r="J91" s="12">
        <v>45121</v>
      </c>
      <c r="K91" s="25">
        <v>3527433</v>
      </c>
      <c r="L91" s="23">
        <v>911828</v>
      </c>
      <c r="M91" s="11"/>
      <c r="N91" s="7" t="str">
        <f ca="1">_xlfn.IFNA(VLOOKUP("2"&amp;B91,CountSpecific!E:F,2,0),"")</f>
        <v/>
      </c>
      <c r="O91" s="14" t="str">
        <f ca="1">_xlfn.IFNA(VLOOKUP("3"&amp;B91,CountSpecific!E:F,2,0),"")</f>
        <v/>
      </c>
      <c r="P91" s="7" t="str">
        <f ca="1">_xlfn.IFNA(VLOOKUP("4"&amp;B91,CountSpecific!E:F,2,0),"")</f>
        <v/>
      </c>
    </row>
    <row r="92" spans="1:16" customFormat="1" x14ac:dyDescent="0.25">
      <c r="A92" s="7">
        <v>91</v>
      </c>
      <c r="B92" s="11" t="s">
        <v>107</v>
      </c>
      <c r="C92" s="7" t="s">
        <v>1039</v>
      </c>
      <c r="D92" s="7">
        <v>91</v>
      </c>
      <c r="E92" s="7">
        <v>91</v>
      </c>
      <c r="F92" s="7">
        <v>91</v>
      </c>
      <c r="G92" s="11" t="s">
        <v>1025</v>
      </c>
      <c r="H92" s="20">
        <v>183473</v>
      </c>
      <c r="I92" s="12">
        <v>43996</v>
      </c>
      <c r="J92" s="12">
        <v>44665</v>
      </c>
      <c r="K92" s="25">
        <v>117937</v>
      </c>
      <c r="L92" s="23">
        <v>65536</v>
      </c>
      <c r="M92" s="11"/>
      <c r="N92" s="7" t="str">
        <f ca="1">_xlfn.IFNA(VLOOKUP("2"&amp;B92,CountSpecific!E:F,2,0),"")</f>
        <v/>
      </c>
      <c r="O92" s="14" t="str">
        <f ca="1">_xlfn.IFNA(VLOOKUP("3"&amp;B92,CountSpecific!E:F,2,0),"")</f>
        <v/>
      </c>
      <c r="P92" s="7" t="str">
        <f ca="1">_xlfn.IFNA(VLOOKUP("4"&amp;B92,CountSpecific!E:F,2,0),"")</f>
        <v/>
      </c>
    </row>
    <row r="93" spans="1:16" customFormat="1" x14ac:dyDescent="0.25">
      <c r="A93" s="7">
        <v>92</v>
      </c>
      <c r="B93" s="11" t="s">
        <v>108</v>
      </c>
      <c r="C93" s="7" t="s">
        <v>1039</v>
      </c>
      <c r="D93" s="7">
        <v>92</v>
      </c>
      <c r="E93" s="7">
        <v>92</v>
      </c>
      <c r="F93" s="7">
        <v>92</v>
      </c>
      <c r="G93" s="11" t="s">
        <v>1022</v>
      </c>
      <c r="H93" s="20">
        <v>28730</v>
      </c>
      <c r="I93" s="12">
        <v>44560</v>
      </c>
      <c r="J93" s="12">
        <v>44985</v>
      </c>
      <c r="K93" s="25">
        <v>16848</v>
      </c>
      <c r="L93" s="23">
        <v>11882</v>
      </c>
      <c r="M93" s="11"/>
      <c r="N93" s="7" t="str">
        <f ca="1">_xlfn.IFNA(VLOOKUP("2"&amp;B93,CountSpecific!E:F,2,0),"")</f>
        <v/>
      </c>
      <c r="O93" s="14" t="str">
        <f ca="1">_xlfn.IFNA(VLOOKUP("3"&amp;B93,CountSpecific!E:F,2,0),"")</f>
        <v/>
      </c>
      <c r="P93" s="7" t="str">
        <f ca="1">_xlfn.IFNA(VLOOKUP("4"&amp;B93,CountSpecific!E:F,2,0),"")</f>
        <v/>
      </c>
    </row>
    <row r="94" spans="1:16" customFormat="1" x14ac:dyDescent="0.25">
      <c r="A94" s="7">
        <v>93</v>
      </c>
      <c r="B94" s="11" t="s">
        <v>109</v>
      </c>
      <c r="C94" s="7" t="s">
        <v>1039</v>
      </c>
      <c r="D94" s="7">
        <v>93</v>
      </c>
      <c r="E94" s="9">
        <v>93</v>
      </c>
      <c r="F94" s="7">
        <v>93</v>
      </c>
      <c r="G94" s="11" t="s">
        <v>1016</v>
      </c>
      <c r="H94" s="20">
        <v>2914</v>
      </c>
      <c r="I94" s="12">
        <v>44102</v>
      </c>
      <c r="J94" s="12">
        <v>44163</v>
      </c>
      <c r="K94" s="25">
        <v>337</v>
      </c>
      <c r="L94" s="23">
        <v>2577</v>
      </c>
      <c r="M94" s="11"/>
      <c r="N94" s="7" t="str">
        <f ca="1">_xlfn.IFNA(VLOOKUP("2"&amp;B94,CountSpecific!E:F,2,0),"")</f>
        <v/>
      </c>
      <c r="O94" s="14" t="str">
        <f ca="1">_xlfn.IFNA(VLOOKUP("3"&amp;B94,CountSpecific!E:F,2,0),"")</f>
        <v/>
      </c>
      <c r="P94" s="7" t="str">
        <f ca="1">_xlfn.IFNA(VLOOKUP("4"&amp;B94,CountSpecific!E:F,2,0),"")</f>
        <v/>
      </c>
    </row>
    <row r="95" spans="1:16" customFormat="1" x14ac:dyDescent="0.25">
      <c r="A95" s="7">
        <v>94</v>
      </c>
      <c r="B95" s="11" t="s">
        <v>110</v>
      </c>
      <c r="C95" s="7" t="s">
        <v>1039</v>
      </c>
      <c r="D95" s="7">
        <v>94</v>
      </c>
      <c r="E95" s="7">
        <v>94</v>
      </c>
      <c r="F95" s="7">
        <v>94</v>
      </c>
      <c r="G95" s="11" t="s">
        <v>1024</v>
      </c>
      <c r="H95" s="20">
        <v>843462</v>
      </c>
      <c r="I95" s="12">
        <v>45007</v>
      </c>
      <c r="J95" s="12">
        <v>45344</v>
      </c>
      <c r="K95" s="25">
        <v>246003</v>
      </c>
      <c r="L95" s="23">
        <v>597459</v>
      </c>
      <c r="M95" s="11"/>
      <c r="N95" s="7" t="str">
        <f ca="1">_xlfn.IFNA(VLOOKUP("2"&amp;B95,CountSpecific!E:F,2,0),"")</f>
        <v/>
      </c>
      <c r="O95" s="14" t="str">
        <f ca="1">_xlfn.IFNA(VLOOKUP("3"&amp;B95,CountSpecific!E:F,2,0),"")</f>
        <v/>
      </c>
      <c r="P95" s="7" t="str">
        <f ca="1">_xlfn.IFNA(VLOOKUP("4"&amp;B95,CountSpecific!E:F,2,0),"")</f>
        <v/>
      </c>
    </row>
    <row r="96" spans="1:16" customFormat="1" x14ac:dyDescent="0.25">
      <c r="A96" s="7">
        <v>95</v>
      </c>
      <c r="B96" s="11" t="s">
        <v>111</v>
      </c>
      <c r="C96" s="7" t="s">
        <v>1039</v>
      </c>
      <c r="D96" s="7">
        <v>95</v>
      </c>
      <c r="E96" s="7">
        <v>95</v>
      </c>
      <c r="F96" s="7">
        <v>95</v>
      </c>
      <c r="G96" s="11" t="s">
        <v>1027</v>
      </c>
      <c r="H96" s="20">
        <v>38325</v>
      </c>
      <c r="I96" s="12">
        <v>44828</v>
      </c>
      <c r="J96" s="12">
        <v>45131</v>
      </c>
      <c r="K96" s="25">
        <v>14210</v>
      </c>
      <c r="L96" s="23">
        <v>24115</v>
      </c>
      <c r="M96" s="11"/>
      <c r="N96" s="7" t="str">
        <f ca="1">_xlfn.IFNA(VLOOKUP("2"&amp;B96,CountSpecific!E:F,2,0),"")</f>
        <v/>
      </c>
      <c r="O96" s="14" t="str">
        <f ca="1">_xlfn.IFNA(VLOOKUP("3"&amp;B96,CountSpecific!E:F,2,0),"")</f>
        <v/>
      </c>
      <c r="P96" s="7" t="str">
        <f ca="1">_xlfn.IFNA(VLOOKUP("4"&amp;B96,CountSpecific!E:F,2,0),"")</f>
        <v/>
      </c>
    </row>
    <row r="97" spans="1:16" customFormat="1" x14ac:dyDescent="0.25">
      <c r="A97" s="7">
        <v>96</v>
      </c>
      <c r="B97" s="11" t="s">
        <v>112</v>
      </c>
      <c r="C97" s="7" t="s">
        <v>1039</v>
      </c>
      <c r="D97" s="7">
        <v>96</v>
      </c>
      <c r="E97" s="9">
        <v>96</v>
      </c>
      <c r="F97" s="7">
        <v>96</v>
      </c>
      <c r="G97" s="11" t="s">
        <v>1020</v>
      </c>
      <c r="H97" s="20">
        <v>399876</v>
      </c>
      <c r="I97" s="12">
        <v>43940</v>
      </c>
      <c r="J97" s="12">
        <v>44154</v>
      </c>
      <c r="K97" s="25">
        <v>223165</v>
      </c>
      <c r="L97" s="23">
        <v>176711</v>
      </c>
      <c r="M97" s="11"/>
      <c r="N97" s="7" t="str">
        <f ca="1">_xlfn.IFNA(VLOOKUP("2"&amp;B97,CountSpecific!E:F,2,0),"")</f>
        <v/>
      </c>
      <c r="O97" s="14" t="str">
        <f ca="1">_xlfn.IFNA(VLOOKUP("3"&amp;B97,CountSpecific!E:F,2,0),"")</f>
        <v/>
      </c>
      <c r="P97" s="7" t="str">
        <f ca="1">_xlfn.IFNA(VLOOKUP("4"&amp;B97,CountSpecific!E:F,2,0),"")</f>
        <v/>
      </c>
    </row>
    <row r="98" spans="1:16" customFormat="1" x14ac:dyDescent="0.25">
      <c r="A98" s="7">
        <v>97</v>
      </c>
      <c r="B98" s="11" t="s">
        <v>113</v>
      </c>
      <c r="C98" s="7" t="s">
        <v>1039</v>
      </c>
      <c r="D98" s="7">
        <v>97</v>
      </c>
      <c r="E98" s="7">
        <v>97</v>
      </c>
      <c r="F98" s="7">
        <v>97</v>
      </c>
      <c r="G98" s="11" t="s">
        <v>1027</v>
      </c>
      <c r="H98" s="20">
        <v>49075</v>
      </c>
      <c r="I98" s="12">
        <v>44179</v>
      </c>
      <c r="J98" s="12">
        <v>44787</v>
      </c>
      <c r="K98" s="25">
        <v>7314</v>
      </c>
      <c r="L98" s="23">
        <v>41761</v>
      </c>
      <c r="M98" s="11"/>
      <c r="N98" s="7" t="str">
        <f ca="1">_xlfn.IFNA(VLOOKUP("2"&amp;B98,CountSpecific!E:F,2,0),"")</f>
        <v/>
      </c>
      <c r="O98" s="14" t="str">
        <f ca="1">_xlfn.IFNA(VLOOKUP("3"&amp;B98,CountSpecific!E:F,2,0),"")</f>
        <v/>
      </c>
      <c r="P98" s="7" t="str">
        <f ca="1">_xlfn.IFNA(VLOOKUP("4"&amp;B98,CountSpecific!E:F,2,0),"")</f>
        <v/>
      </c>
    </row>
    <row r="99" spans="1:16" customFormat="1" x14ac:dyDescent="0.25">
      <c r="A99" s="7">
        <v>98</v>
      </c>
      <c r="B99" s="11" t="s">
        <v>114</v>
      </c>
      <c r="C99" s="7" t="s">
        <v>1039</v>
      </c>
      <c r="D99" s="7">
        <v>98</v>
      </c>
      <c r="E99" s="7">
        <v>98</v>
      </c>
      <c r="F99" s="7">
        <v>98</v>
      </c>
      <c r="G99" s="11" t="s">
        <v>1021</v>
      </c>
      <c r="H99" s="20">
        <v>40349</v>
      </c>
      <c r="I99" s="12">
        <v>44419</v>
      </c>
      <c r="J99" s="12">
        <v>44968</v>
      </c>
      <c r="K99" s="25">
        <v>21531</v>
      </c>
      <c r="L99" s="23">
        <v>18818</v>
      </c>
      <c r="M99" s="11"/>
      <c r="N99" s="7" t="str">
        <f ca="1">_xlfn.IFNA(VLOOKUP("2"&amp;B99,CountSpecific!E:F,2,0),"")</f>
        <v/>
      </c>
      <c r="O99" s="14" t="str">
        <f ca="1">_xlfn.IFNA(VLOOKUP("3"&amp;B99,CountSpecific!E:F,2,0),"")</f>
        <v/>
      </c>
      <c r="P99" s="7" t="str">
        <f ca="1">_xlfn.IFNA(VLOOKUP("4"&amp;B99,CountSpecific!E:F,2,0),"")</f>
        <v/>
      </c>
    </row>
    <row r="100" spans="1:16" customFormat="1" x14ac:dyDescent="0.25">
      <c r="A100" s="7">
        <v>99</v>
      </c>
      <c r="B100" s="11" t="s">
        <v>115</v>
      </c>
      <c r="C100" s="7" t="s">
        <v>1039</v>
      </c>
      <c r="D100" s="7">
        <v>99</v>
      </c>
      <c r="E100" s="9">
        <v>99</v>
      </c>
      <c r="F100" s="7">
        <v>99</v>
      </c>
      <c r="G100" s="11" t="s">
        <v>1016</v>
      </c>
      <c r="H100" s="20">
        <v>45299</v>
      </c>
      <c r="I100" s="12">
        <v>43905</v>
      </c>
      <c r="J100" s="12">
        <v>43997</v>
      </c>
      <c r="K100" s="25">
        <v>11741</v>
      </c>
      <c r="L100" s="23">
        <v>33558</v>
      </c>
      <c r="M100" s="11"/>
      <c r="N100" s="7" t="str">
        <f ca="1">_xlfn.IFNA(VLOOKUP("2"&amp;B100,CountSpecific!E:F,2,0),"")</f>
        <v/>
      </c>
      <c r="O100" s="14" t="str">
        <f ca="1">_xlfn.IFNA(VLOOKUP("3"&amp;B100,CountSpecific!E:F,2,0),"")</f>
        <v/>
      </c>
      <c r="P100" s="7" t="str">
        <f ca="1">_xlfn.IFNA(VLOOKUP("4"&amp;B100,CountSpecific!E:F,2,0),"")</f>
        <v/>
      </c>
    </row>
    <row r="101" spans="1:16" customFormat="1" x14ac:dyDescent="0.25">
      <c r="A101" s="7">
        <v>100</v>
      </c>
      <c r="B101" s="11" t="s">
        <v>116</v>
      </c>
      <c r="C101" s="7" t="s">
        <v>1039</v>
      </c>
      <c r="D101" s="7">
        <v>100</v>
      </c>
      <c r="E101" s="7">
        <v>100</v>
      </c>
      <c r="F101" s="7">
        <v>100</v>
      </c>
      <c r="G101" s="11" t="s">
        <v>1022</v>
      </c>
      <c r="H101" s="20">
        <v>17097</v>
      </c>
      <c r="I101" s="12">
        <v>44503</v>
      </c>
      <c r="J101" s="12">
        <v>44623</v>
      </c>
      <c r="K101" s="25">
        <v>16664</v>
      </c>
      <c r="L101" s="23">
        <v>433</v>
      </c>
      <c r="M101" s="11"/>
      <c r="N101" s="7" t="str">
        <f ca="1">_xlfn.IFNA(VLOOKUP("2"&amp;B101,CountSpecific!E:F,2,0),"")</f>
        <v/>
      </c>
      <c r="O101" s="14" t="str">
        <f ca="1">_xlfn.IFNA(VLOOKUP("3"&amp;B101,CountSpecific!E:F,2,0),"")</f>
        <v/>
      </c>
      <c r="P101" s="7" t="str">
        <f ca="1">_xlfn.IFNA(VLOOKUP("4"&amp;B101,CountSpecific!E:F,2,0),"")</f>
        <v/>
      </c>
    </row>
    <row r="102" spans="1:16" customFormat="1" x14ac:dyDescent="0.25">
      <c r="A102" s="7">
        <v>101</v>
      </c>
      <c r="B102" s="11" t="s">
        <v>117</v>
      </c>
      <c r="C102" s="7" t="s">
        <v>1039</v>
      </c>
      <c r="D102" s="7">
        <v>101</v>
      </c>
      <c r="E102" s="7">
        <v>101</v>
      </c>
      <c r="F102" s="7">
        <v>101</v>
      </c>
      <c r="G102" s="11" t="s">
        <v>1023</v>
      </c>
      <c r="H102" s="20">
        <v>685</v>
      </c>
      <c r="I102" s="12">
        <v>44906</v>
      </c>
      <c r="J102" s="12">
        <v>45454</v>
      </c>
      <c r="K102" s="25">
        <v>328</v>
      </c>
      <c r="L102" s="23">
        <v>357</v>
      </c>
      <c r="M102" s="11"/>
      <c r="N102" s="7" t="str">
        <f ca="1">_xlfn.IFNA(VLOOKUP("2"&amp;B102,CountSpecific!E:F,2,0),"")</f>
        <v/>
      </c>
      <c r="O102" s="14" t="str">
        <f ca="1">_xlfn.IFNA(VLOOKUP("3"&amp;B102,CountSpecific!E:F,2,0),"")</f>
        <v/>
      </c>
      <c r="P102" s="7" t="str">
        <f ca="1">_xlfn.IFNA(VLOOKUP("4"&amp;B102,CountSpecific!E:F,2,0),"")</f>
        <v/>
      </c>
    </row>
    <row r="103" spans="1:16" customFormat="1" x14ac:dyDescent="0.25">
      <c r="A103" s="7">
        <v>102</v>
      </c>
      <c r="B103" s="11" t="s">
        <v>118</v>
      </c>
      <c r="C103" s="7" t="s">
        <v>1039</v>
      </c>
      <c r="D103" s="7">
        <v>102</v>
      </c>
      <c r="E103" s="9">
        <v>102</v>
      </c>
      <c r="F103" s="7">
        <v>102</v>
      </c>
      <c r="G103" s="11" t="s">
        <v>1016</v>
      </c>
      <c r="H103" s="20">
        <v>6160</v>
      </c>
      <c r="I103" s="12">
        <v>44679</v>
      </c>
      <c r="J103" s="12">
        <v>44893</v>
      </c>
      <c r="K103" s="25">
        <v>1211</v>
      </c>
      <c r="L103" s="23">
        <v>4949</v>
      </c>
      <c r="M103" s="11"/>
      <c r="N103" s="7" t="str">
        <f ca="1">_xlfn.IFNA(VLOOKUP("2"&amp;B103,CountSpecific!E:F,2,0),"")</f>
        <v/>
      </c>
      <c r="O103" s="14" t="str">
        <f ca="1">_xlfn.IFNA(VLOOKUP("3"&amp;B103,CountSpecific!E:F,2,0),"")</f>
        <v/>
      </c>
      <c r="P103" s="7" t="str">
        <f ca="1">_xlfn.IFNA(VLOOKUP("4"&amp;B103,CountSpecific!E:F,2,0),"")</f>
        <v/>
      </c>
    </row>
    <row r="104" spans="1:16" customFormat="1" x14ac:dyDescent="0.25">
      <c r="A104" s="7">
        <v>103</v>
      </c>
      <c r="B104" s="11" t="s">
        <v>119</v>
      </c>
      <c r="C104" s="7" t="s">
        <v>1039</v>
      </c>
      <c r="D104" s="7">
        <v>103</v>
      </c>
      <c r="E104" s="7">
        <v>103</v>
      </c>
      <c r="F104" s="7">
        <v>103</v>
      </c>
      <c r="G104" s="11" t="s">
        <v>1020</v>
      </c>
      <c r="H104" s="20">
        <v>249108</v>
      </c>
      <c r="I104" s="12">
        <v>43989</v>
      </c>
      <c r="J104" s="12">
        <v>44384</v>
      </c>
      <c r="K104" s="25">
        <v>237554</v>
      </c>
      <c r="L104" s="23">
        <v>11554</v>
      </c>
      <c r="M104" s="11"/>
      <c r="N104" s="7" t="str">
        <f ca="1">_xlfn.IFNA(VLOOKUP("2"&amp;B104,CountSpecific!E:F,2,0),"")</f>
        <v/>
      </c>
      <c r="O104" s="14" t="str">
        <f ca="1">_xlfn.IFNA(VLOOKUP("3"&amp;B104,CountSpecific!E:F,2,0),"")</f>
        <v/>
      </c>
      <c r="P104" s="7" t="str">
        <f ca="1">_xlfn.IFNA(VLOOKUP("4"&amp;B104,CountSpecific!E:F,2,0),"")</f>
        <v/>
      </c>
    </row>
    <row r="105" spans="1:16" customFormat="1" x14ac:dyDescent="0.25">
      <c r="A105" s="7">
        <v>104</v>
      </c>
      <c r="B105" s="11" t="s">
        <v>120</v>
      </c>
      <c r="C105" s="7" t="s">
        <v>1039</v>
      </c>
      <c r="D105" s="7">
        <v>104</v>
      </c>
      <c r="E105" s="7">
        <v>104</v>
      </c>
      <c r="F105" s="7">
        <v>104</v>
      </c>
      <c r="G105" s="11" t="s">
        <v>1027</v>
      </c>
      <c r="H105" s="20">
        <v>39141</v>
      </c>
      <c r="I105" s="12">
        <v>43887</v>
      </c>
      <c r="J105" s="12">
        <v>44465</v>
      </c>
      <c r="K105" s="25">
        <v>23617</v>
      </c>
      <c r="L105" s="23">
        <v>15524</v>
      </c>
      <c r="M105" s="11"/>
      <c r="N105" s="7" t="str">
        <f ca="1">_xlfn.IFNA(VLOOKUP("2"&amp;B105,CountSpecific!E:F,2,0),"")</f>
        <v/>
      </c>
      <c r="O105" s="14" t="str">
        <f ca="1">_xlfn.IFNA(VLOOKUP("3"&amp;B105,CountSpecific!E:F,2,0),"")</f>
        <v/>
      </c>
      <c r="P105" s="7" t="str">
        <f ca="1">_xlfn.IFNA(VLOOKUP("4"&amp;B105,CountSpecific!E:F,2,0),"")</f>
        <v/>
      </c>
    </row>
    <row r="106" spans="1:16" customFormat="1" x14ac:dyDescent="0.25">
      <c r="A106" s="7">
        <v>105</v>
      </c>
      <c r="B106" s="11" t="s">
        <v>121</v>
      </c>
      <c r="C106" s="7" t="s">
        <v>1039</v>
      </c>
      <c r="D106" s="7">
        <v>105</v>
      </c>
      <c r="E106" s="9">
        <v>105</v>
      </c>
      <c r="F106" s="7">
        <v>105</v>
      </c>
      <c r="G106" s="11" t="s">
        <v>1022</v>
      </c>
      <c r="H106" s="20">
        <v>18524</v>
      </c>
      <c r="I106" s="12">
        <v>44084</v>
      </c>
      <c r="J106" s="12">
        <v>44691</v>
      </c>
      <c r="K106" s="25">
        <v>10447</v>
      </c>
      <c r="L106" s="23">
        <v>8077</v>
      </c>
      <c r="M106" s="11"/>
      <c r="N106" s="7" t="str">
        <f ca="1">_xlfn.IFNA(VLOOKUP("2"&amp;B106,CountSpecific!E:F,2,0),"")</f>
        <v/>
      </c>
      <c r="O106" s="14" t="str">
        <f ca="1">_xlfn.IFNA(VLOOKUP("3"&amp;B106,CountSpecific!E:F,2,0),"")</f>
        <v/>
      </c>
      <c r="P106" s="7" t="str">
        <f ca="1">_xlfn.IFNA(VLOOKUP("4"&amp;B106,CountSpecific!E:F,2,0),"")</f>
        <v/>
      </c>
    </row>
    <row r="107" spans="1:16" customFormat="1" x14ac:dyDescent="0.25">
      <c r="A107" s="7">
        <v>106</v>
      </c>
      <c r="B107" s="11" t="s">
        <v>122</v>
      </c>
      <c r="C107" s="7" t="s">
        <v>1039</v>
      </c>
      <c r="D107" s="7">
        <v>106</v>
      </c>
      <c r="E107" s="7">
        <v>106</v>
      </c>
      <c r="F107" s="7">
        <v>106</v>
      </c>
      <c r="G107" s="11" t="s">
        <v>1026</v>
      </c>
      <c r="H107" s="20">
        <v>3354124</v>
      </c>
      <c r="I107" s="12">
        <v>45195</v>
      </c>
      <c r="J107" s="12">
        <v>45438</v>
      </c>
      <c r="K107" s="25">
        <v>3325670</v>
      </c>
      <c r="L107" s="23">
        <v>28454</v>
      </c>
      <c r="M107" s="11"/>
      <c r="N107" s="7" t="str">
        <f ca="1">_xlfn.IFNA(VLOOKUP("2"&amp;B107,CountSpecific!E:F,2,0),"")</f>
        <v/>
      </c>
      <c r="O107" s="14" t="str">
        <f ca="1">_xlfn.IFNA(VLOOKUP("3"&amp;B107,CountSpecific!E:F,2,0),"")</f>
        <v/>
      </c>
      <c r="P107" s="7" t="str">
        <f ca="1">_xlfn.IFNA(VLOOKUP("4"&amp;B107,CountSpecific!E:F,2,0),"")</f>
        <v/>
      </c>
    </row>
    <row r="108" spans="1:16" customFormat="1" x14ac:dyDescent="0.25">
      <c r="A108" s="7">
        <v>107</v>
      </c>
      <c r="B108" s="11" t="s">
        <v>123</v>
      </c>
      <c r="C108" s="7" t="s">
        <v>1039</v>
      </c>
      <c r="D108" s="7">
        <v>107</v>
      </c>
      <c r="E108" s="7">
        <v>107</v>
      </c>
      <c r="F108" s="7">
        <v>107</v>
      </c>
      <c r="G108" s="11" t="s">
        <v>1023</v>
      </c>
      <c r="H108" s="20">
        <v>556</v>
      </c>
      <c r="I108" s="12">
        <v>44370</v>
      </c>
      <c r="J108" s="12">
        <v>44888</v>
      </c>
      <c r="K108" s="25">
        <v>17</v>
      </c>
      <c r="L108" s="23">
        <v>539</v>
      </c>
      <c r="M108" s="11"/>
      <c r="N108" s="7" t="str">
        <f ca="1">_xlfn.IFNA(VLOOKUP("2"&amp;B108,CountSpecific!E:F,2,0),"")</f>
        <v/>
      </c>
      <c r="O108" s="14" t="str">
        <f ca="1">_xlfn.IFNA(VLOOKUP("3"&amp;B108,CountSpecific!E:F,2,0),"")</f>
        <v/>
      </c>
      <c r="P108" s="7" t="str">
        <f ca="1">_xlfn.IFNA(VLOOKUP("4"&amp;B108,CountSpecific!E:F,2,0),"")</f>
        <v/>
      </c>
    </row>
    <row r="109" spans="1:16" customFormat="1" x14ac:dyDescent="0.25">
      <c r="A109" s="7">
        <v>108</v>
      </c>
      <c r="B109" s="11" t="s">
        <v>124</v>
      </c>
      <c r="C109" s="7" t="s">
        <v>1039</v>
      </c>
      <c r="D109" s="7">
        <v>108</v>
      </c>
      <c r="E109" s="9">
        <v>108</v>
      </c>
      <c r="F109" s="7">
        <v>108</v>
      </c>
      <c r="G109" s="11" t="s">
        <v>1024</v>
      </c>
      <c r="H109" s="20">
        <v>338776</v>
      </c>
      <c r="I109" s="12">
        <v>45182</v>
      </c>
      <c r="J109" s="12">
        <v>45335</v>
      </c>
      <c r="K109" s="25">
        <v>169339</v>
      </c>
      <c r="L109" s="23">
        <v>169437</v>
      </c>
      <c r="M109" s="11"/>
      <c r="N109" s="7" t="str">
        <f ca="1">_xlfn.IFNA(VLOOKUP("2"&amp;B109,CountSpecific!E:F,2,0),"")</f>
        <v/>
      </c>
      <c r="O109" s="14" t="str">
        <f ca="1">_xlfn.IFNA(VLOOKUP("3"&amp;B109,CountSpecific!E:F,2,0),"")</f>
        <v/>
      </c>
      <c r="P109" s="7" t="str">
        <f ca="1">_xlfn.IFNA(VLOOKUP("4"&amp;B109,CountSpecific!E:F,2,0),"")</f>
        <v/>
      </c>
    </row>
    <row r="110" spans="1:16" customFormat="1" x14ac:dyDescent="0.25">
      <c r="A110" s="7">
        <v>109</v>
      </c>
      <c r="B110" s="11" t="s">
        <v>125</v>
      </c>
      <c r="C110" s="7" t="s">
        <v>1039</v>
      </c>
      <c r="D110" s="7">
        <v>109</v>
      </c>
      <c r="E110" s="7">
        <v>109</v>
      </c>
      <c r="F110" s="7">
        <v>109</v>
      </c>
      <c r="G110" s="11" t="s">
        <v>1025</v>
      </c>
      <c r="H110" s="20">
        <v>101132</v>
      </c>
      <c r="I110" s="12">
        <v>45546</v>
      </c>
      <c r="J110" s="12">
        <v>46276</v>
      </c>
      <c r="K110" s="25">
        <v>22211</v>
      </c>
      <c r="L110" s="23">
        <v>78921</v>
      </c>
      <c r="M110" s="11"/>
      <c r="N110" s="7" t="str">
        <f ca="1">_xlfn.IFNA(VLOOKUP("2"&amp;B110,CountSpecific!E:F,2,0),"")</f>
        <v/>
      </c>
      <c r="O110" s="14" t="str">
        <f ca="1">_xlfn.IFNA(VLOOKUP("3"&amp;B110,CountSpecific!E:F,2,0),"")</f>
        <v/>
      </c>
      <c r="P110" s="7" t="str">
        <f ca="1">_xlfn.IFNA(VLOOKUP("4"&amp;B110,CountSpecific!E:F,2,0),"")</f>
        <v/>
      </c>
    </row>
    <row r="111" spans="1:16" customFormat="1" x14ac:dyDescent="0.25">
      <c r="A111" s="7">
        <v>110</v>
      </c>
      <c r="B111" s="11" t="s">
        <v>126</v>
      </c>
      <c r="C111" s="7" t="s">
        <v>1039</v>
      </c>
      <c r="D111" s="7">
        <v>110</v>
      </c>
      <c r="E111" s="7">
        <v>110</v>
      </c>
      <c r="F111" s="7">
        <v>110</v>
      </c>
      <c r="G111" s="11" t="s">
        <v>1022</v>
      </c>
      <c r="H111" s="20">
        <v>32732</v>
      </c>
      <c r="I111" s="12">
        <v>44972</v>
      </c>
      <c r="J111" s="12">
        <v>45031</v>
      </c>
      <c r="K111" s="25">
        <v>22759</v>
      </c>
      <c r="L111" s="23">
        <v>9973</v>
      </c>
      <c r="M111" s="11"/>
      <c r="N111" s="7" t="str">
        <f ca="1">_xlfn.IFNA(VLOOKUP("2"&amp;B111,CountSpecific!E:F,2,0),"")</f>
        <v/>
      </c>
      <c r="O111" s="14" t="str">
        <f ca="1">_xlfn.IFNA(VLOOKUP("3"&amp;B111,CountSpecific!E:F,2,0),"")</f>
        <v/>
      </c>
      <c r="P111" s="7" t="str">
        <f ca="1">_xlfn.IFNA(VLOOKUP("4"&amp;B111,CountSpecific!E:F,2,0),"")</f>
        <v/>
      </c>
    </row>
    <row r="112" spans="1:16" customFormat="1" x14ac:dyDescent="0.25">
      <c r="A112" s="7">
        <v>111</v>
      </c>
      <c r="B112" s="11" t="s">
        <v>127</v>
      </c>
      <c r="C112" s="7" t="s">
        <v>1039</v>
      </c>
      <c r="D112" s="7">
        <v>111</v>
      </c>
      <c r="E112" s="9">
        <v>111</v>
      </c>
      <c r="F112" s="7">
        <v>111</v>
      </c>
      <c r="G112" s="11" t="s">
        <v>1023</v>
      </c>
      <c r="H112" s="20">
        <v>411</v>
      </c>
      <c r="I112" s="12">
        <v>45107</v>
      </c>
      <c r="J112" s="12">
        <v>45687</v>
      </c>
      <c r="K112" s="25">
        <v>64</v>
      </c>
      <c r="L112" s="23">
        <v>347</v>
      </c>
      <c r="M112" s="11"/>
      <c r="N112" s="7" t="str">
        <f ca="1">_xlfn.IFNA(VLOOKUP("2"&amp;B112,CountSpecific!E:F,2,0),"")</f>
        <v/>
      </c>
      <c r="O112" s="14" t="str">
        <f ca="1">_xlfn.IFNA(VLOOKUP("3"&amp;B112,CountSpecific!E:F,2,0),"")</f>
        <v/>
      </c>
      <c r="P112" s="7" t="str">
        <f ca="1">_xlfn.IFNA(VLOOKUP("4"&amp;B112,CountSpecific!E:F,2,0),"")</f>
        <v/>
      </c>
    </row>
    <row r="113" spans="1:16" customFormat="1" x14ac:dyDescent="0.25">
      <c r="A113" s="7">
        <v>112</v>
      </c>
      <c r="B113" s="11" t="s">
        <v>128</v>
      </c>
      <c r="C113" s="7" t="s">
        <v>1039</v>
      </c>
      <c r="D113" s="7">
        <v>112</v>
      </c>
      <c r="E113" s="7">
        <v>112</v>
      </c>
      <c r="F113" s="7">
        <v>112</v>
      </c>
      <c r="G113" s="11" t="s">
        <v>1027</v>
      </c>
      <c r="H113" s="20">
        <v>18691</v>
      </c>
      <c r="I113" s="12">
        <v>45318</v>
      </c>
      <c r="J113" s="12">
        <v>45804</v>
      </c>
      <c r="K113" s="25">
        <v>15680</v>
      </c>
      <c r="L113" s="23">
        <v>3011</v>
      </c>
      <c r="M113" s="11"/>
      <c r="N113" s="7" t="str">
        <f ca="1">_xlfn.IFNA(VLOOKUP("2"&amp;B113,CountSpecific!E:F,2,0),"")</f>
        <v/>
      </c>
      <c r="O113" s="14" t="str">
        <f ca="1">_xlfn.IFNA(VLOOKUP("3"&amp;B113,CountSpecific!E:F,2,0),"")</f>
        <v/>
      </c>
      <c r="P113" s="7" t="str">
        <f ca="1">_xlfn.IFNA(VLOOKUP("4"&amp;B113,CountSpecific!E:F,2,0),"")</f>
        <v/>
      </c>
    </row>
    <row r="114" spans="1:16" customFormat="1" x14ac:dyDescent="0.25">
      <c r="A114" s="7">
        <v>113</v>
      </c>
      <c r="B114" s="11" t="s">
        <v>129</v>
      </c>
      <c r="C114" s="7" t="s">
        <v>1039</v>
      </c>
      <c r="D114" s="7">
        <v>113</v>
      </c>
      <c r="E114" s="7">
        <v>113</v>
      </c>
      <c r="F114" s="7">
        <v>113</v>
      </c>
      <c r="G114" s="11" t="s">
        <v>1025</v>
      </c>
      <c r="H114" s="20">
        <v>98054</v>
      </c>
      <c r="I114" s="12">
        <v>45442</v>
      </c>
      <c r="J114" s="12">
        <v>46081</v>
      </c>
      <c r="K114" s="25">
        <v>97222</v>
      </c>
      <c r="L114" s="23">
        <v>832</v>
      </c>
      <c r="M114" s="11"/>
      <c r="N114" s="7" t="str">
        <f ca="1">_xlfn.IFNA(VLOOKUP("2"&amp;B114,CountSpecific!E:F,2,0),"")</f>
        <v/>
      </c>
      <c r="O114" s="14" t="str">
        <f ca="1">_xlfn.IFNA(VLOOKUP("3"&amp;B114,CountSpecific!E:F,2,0),"")</f>
        <v/>
      </c>
      <c r="P114" s="7" t="str">
        <f ca="1">_xlfn.IFNA(VLOOKUP("4"&amp;B114,CountSpecific!E:F,2,0),"")</f>
        <v/>
      </c>
    </row>
    <row r="115" spans="1:16" customFormat="1" x14ac:dyDescent="0.25">
      <c r="A115" s="7">
        <v>114</v>
      </c>
      <c r="B115" s="11" t="s">
        <v>130</v>
      </c>
      <c r="C115" s="7" t="s">
        <v>1039</v>
      </c>
      <c r="D115" s="7">
        <v>114</v>
      </c>
      <c r="E115" s="9">
        <v>114</v>
      </c>
      <c r="F115" s="7">
        <v>114</v>
      </c>
      <c r="G115" s="11" t="s">
        <v>1020</v>
      </c>
      <c r="H115" s="20">
        <v>494060</v>
      </c>
      <c r="I115" s="12">
        <v>45626</v>
      </c>
      <c r="J115" s="12">
        <v>46142</v>
      </c>
      <c r="K115" s="25">
        <v>210204</v>
      </c>
      <c r="L115" s="23">
        <v>283856</v>
      </c>
      <c r="M115" s="11"/>
      <c r="N115" s="7" t="str">
        <f ca="1">_xlfn.IFNA(VLOOKUP("2"&amp;B115,CountSpecific!E:F,2,0),"")</f>
        <v/>
      </c>
      <c r="O115" s="14" t="str">
        <f ca="1">_xlfn.IFNA(VLOOKUP("3"&amp;B115,CountSpecific!E:F,2,0),"")</f>
        <v/>
      </c>
      <c r="P115" s="7" t="str">
        <f ca="1">_xlfn.IFNA(VLOOKUP("4"&amp;B115,CountSpecific!E:F,2,0),"")</f>
        <v/>
      </c>
    </row>
    <row r="116" spans="1:16" customFormat="1" x14ac:dyDescent="0.25">
      <c r="A116" s="7">
        <v>115</v>
      </c>
      <c r="B116" s="11" t="s">
        <v>131</v>
      </c>
      <c r="C116" s="7" t="s">
        <v>1039</v>
      </c>
      <c r="D116" s="7">
        <v>115</v>
      </c>
      <c r="E116" s="7">
        <v>115</v>
      </c>
      <c r="F116" s="7">
        <v>115</v>
      </c>
      <c r="G116" s="11" t="s">
        <v>1021</v>
      </c>
      <c r="H116" s="20">
        <v>98404</v>
      </c>
      <c r="I116" s="12">
        <v>44620</v>
      </c>
      <c r="J116" s="12">
        <v>45319</v>
      </c>
      <c r="K116" s="25">
        <v>77866</v>
      </c>
      <c r="L116" s="23">
        <v>20538</v>
      </c>
      <c r="M116" s="11"/>
      <c r="N116" s="7" t="str">
        <f ca="1">_xlfn.IFNA(VLOOKUP("2"&amp;B116,CountSpecific!E:F,2,0),"")</f>
        <v/>
      </c>
      <c r="O116" s="14" t="str">
        <f ca="1">_xlfn.IFNA(VLOOKUP("3"&amp;B116,CountSpecific!E:F,2,0),"")</f>
        <v/>
      </c>
      <c r="P116" s="7" t="str">
        <f ca="1">_xlfn.IFNA(VLOOKUP("4"&amp;B116,CountSpecific!E:F,2,0),"")</f>
        <v/>
      </c>
    </row>
    <row r="117" spans="1:16" customFormat="1" x14ac:dyDescent="0.25">
      <c r="A117" s="7">
        <v>116</v>
      </c>
      <c r="B117" s="11" t="s">
        <v>132</v>
      </c>
      <c r="C117" s="7" t="s">
        <v>1039</v>
      </c>
      <c r="D117" s="7">
        <v>116</v>
      </c>
      <c r="E117" s="7">
        <v>116</v>
      </c>
      <c r="F117" s="7">
        <v>116</v>
      </c>
      <c r="G117" s="11" t="s">
        <v>1016</v>
      </c>
      <c r="H117" s="20">
        <v>37778</v>
      </c>
      <c r="I117" s="12">
        <v>45288</v>
      </c>
      <c r="J117" s="12">
        <v>45563</v>
      </c>
      <c r="K117" s="25">
        <v>10496</v>
      </c>
      <c r="L117" s="23">
        <v>27282</v>
      </c>
      <c r="M117" s="11"/>
      <c r="N117" s="7" t="str">
        <f ca="1">_xlfn.IFNA(VLOOKUP("2"&amp;B117,CountSpecific!E:F,2,0),"")</f>
        <v/>
      </c>
      <c r="O117" s="14" t="str">
        <f ca="1">_xlfn.IFNA(VLOOKUP("3"&amp;B117,CountSpecific!E:F,2,0),"")</f>
        <v/>
      </c>
      <c r="P117" s="7" t="str">
        <f ca="1">_xlfn.IFNA(VLOOKUP("4"&amp;B117,CountSpecific!E:F,2,0),"")</f>
        <v/>
      </c>
    </row>
    <row r="118" spans="1:16" customFormat="1" x14ac:dyDescent="0.25">
      <c r="A118" s="7">
        <v>117</v>
      </c>
      <c r="B118" s="11" t="s">
        <v>133</v>
      </c>
      <c r="C118" s="7" t="s">
        <v>1039</v>
      </c>
      <c r="D118" s="7">
        <v>117</v>
      </c>
      <c r="E118" s="9">
        <v>117</v>
      </c>
      <c r="F118" s="7">
        <v>117</v>
      </c>
      <c r="G118" s="11" t="s">
        <v>1022</v>
      </c>
      <c r="H118" s="20">
        <v>24881</v>
      </c>
      <c r="I118" s="12">
        <v>44432</v>
      </c>
      <c r="J118" s="12">
        <v>44919</v>
      </c>
      <c r="K118" s="25">
        <v>20469</v>
      </c>
      <c r="L118" s="23">
        <v>4412</v>
      </c>
      <c r="M118" s="11"/>
      <c r="N118" s="7" t="str">
        <f ca="1">_xlfn.IFNA(VLOOKUP("2"&amp;B118,CountSpecific!E:F,2,0),"")</f>
        <v/>
      </c>
      <c r="O118" s="14" t="str">
        <f ca="1">_xlfn.IFNA(VLOOKUP("3"&amp;B118,CountSpecific!E:F,2,0),"")</f>
        <v/>
      </c>
      <c r="P118" s="7" t="str">
        <f ca="1">_xlfn.IFNA(VLOOKUP("4"&amp;B118,CountSpecific!E:F,2,0),"")</f>
        <v/>
      </c>
    </row>
    <row r="119" spans="1:16" customFormat="1" x14ac:dyDescent="0.25">
      <c r="A119" s="7">
        <v>118</v>
      </c>
      <c r="B119" s="11" t="s">
        <v>134</v>
      </c>
      <c r="C119" s="7" t="s">
        <v>1039</v>
      </c>
      <c r="D119" s="7">
        <v>118</v>
      </c>
      <c r="E119" s="7">
        <v>118</v>
      </c>
      <c r="F119" s="7">
        <v>118</v>
      </c>
      <c r="G119" s="11" t="s">
        <v>1027</v>
      </c>
      <c r="H119" s="20">
        <v>21143</v>
      </c>
      <c r="I119" s="12">
        <v>44683</v>
      </c>
      <c r="J119" s="12">
        <v>45262</v>
      </c>
      <c r="K119" s="25">
        <v>20559</v>
      </c>
      <c r="L119" s="23">
        <v>584</v>
      </c>
      <c r="M119" s="11"/>
      <c r="N119" s="7" t="str">
        <f ca="1">_xlfn.IFNA(VLOOKUP("2"&amp;B119,CountSpecific!E:F,2,0),"")</f>
        <v/>
      </c>
      <c r="O119" s="14" t="str">
        <f ca="1">_xlfn.IFNA(VLOOKUP("3"&amp;B119,CountSpecific!E:F,2,0),"")</f>
        <v/>
      </c>
      <c r="P119" s="7" t="str">
        <f ca="1">_xlfn.IFNA(VLOOKUP("4"&amp;B119,CountSpecific!E:F,2,0),"")</f>
        <v/>
      </c>
    </row>
    <row r="120" spans="1:16" customFormat="1" x14ac:dyDescent="0.25">
      <c r="A120" s="7">
        <v>119</v>
      </c>
      <c r="B120" s="11" t="s">
        <v>135</v>
      </c>
      <c r="C120" s="7" t="s">
        <v>1039</v>
      </c>
      <c r="D120" s="7">
        <v>119</v>
      </c>
      <c r="E120" s="7">
        <v>119</v>
      </c>
      <c r="F120" s="7">
        <v>119</v>
      </c>
      <c r="G120" s="11" t="s">
        <v>1025</v>
      </c>
      <c r="H120" s="20">
        <v>400437</v>
      </c>
      <c r="I120" s="12">
        <v>44952</v>
      </c>
      <c r="J120" s="12">
        <v>45683</v>
      </c>
      <c r="K120" s="25">
        <v>301901</v>
      </c>
      <c r="L120" s="23">
        <v>98536</v>
      </c>
      <c r="M120" s="11"/>
      <c r="N120" s="7" t="str">
        <f ca="1">_xlfn.IFNA(VLOOKUP("2"&amp;B120,CountSpecific!E:F,2,0),"")</f>
        <v/>
      </c>
      <c r="O120" s="14" t="str">
        <f ca="1">_xlfn.IFNA(VLOOKUP("3"&amp;B120,CountSpecific!E:F,2,0),"")</f>
        <v/>
      </c>
      <c r="P120" s="7" t="str">
        <f ca="1">_xlfn.IFNA(VLOOKUP("4"&amp;B120,CountSpecific!E:F,2,0),"")</f>
        <v/>
      </c>
    </row>
    <row r="121" spans="1:16" customFormat="1" x14ac:dyDescent="0.25">
      <c r="A121" s="7">
        <v>120</v>
      </c>
      <c r="B121" s="11" t="s">
        <v>136</v>
      </c>
      <c r="C121" s="7" t="s">
        <v>1039</v>
      </c>
      <c r="D121" s="7">
        <v>120</v>
      </c>
      <c r="E121" s="9">
        <v>120</v>
      </c>
      <c r="F121" s="7">
        <v>120</v>
      </c>
      <c r="G121" s="11" t="s">
        <v>1024</v>
      </c>
      <c r="H121" s="20">
        <v>835308</v>
      </c>
      <c r="I121" s="12">
        <v>44946</v>
      </c>
      <c r="J121" s="12">
        <v>45158</v>
      </c>
      <c r="K121" s="25">
        <v>117619</v>
      </c>
      <c r="L121" s="23">
        <v>717689</v>
      </c>
      <c r="M121" s="11"/>
      <c r="N121" s="7" t="str">
        <f ca="1">_xlfn.IFNA(VLOOKUP("2"&amp;B121,CountSpecific!E:F,2,0),"")</f>
        <v/>
      </c>
      <c r="O121" s="14" t="str">
        <f ca="1">_xlfn.IFNA(VLOOKUP("3"&amp;B121,CountSpecific!E:F,2,0),"")</f>
        <v/>
      </c>
      <c r="P121" s="7" t="str">
        <f ca="1">_xlfn.IFNA(VLOOKUP("4"&amp;B121,CountSpecific!E:F,2,0),"")</f>
        <v/>
      </c>
    </row>
    <row r="122" spans="1:16" customFormat="1" x14ac:dyDescent="0.25">
      <c r="A122" s="7">
        <v>121</v>
      </c>
      <c r="B122" s="11" t="s">
        <v>137</v>
      </c>
      <c r="C122" s="7" t="s">
        <v>1039</v>
      </c>
      <c r="D122" s="7">
        <v>121</v>
      </c>
      <c r="E122" s="7">
        <v>121</v>
      </c>
      <c r="F122" s="7">
        <v>121</v>
      </c>
      <c r="G122" s="11" t="s">
        <v>1023</v>
      </c>
      <c r="H122" s="20">
        <v>212</v>
      </c>
      <c r="I122" s="12">
        <v>45322</v>
      </c>
      <c r="J122" s="12">
        <v>45991</v>
      </c>
      <c r="K122" s="25">
        <v>171</v>
      </c>
      <c r="L122" s="23">
        <v>41</v>
      </c>
      <c r="M122" s="11"/>
      <c r="N122" s="7" t="str">
        <f ca="1">_xlfn.IFNA(VLOOKUP("2"&amp;B122,CountSpecific!E:F,2,0),"")</f>
        <v/>
      </c>
      <c r="O122" s="14" t="str">
        <f ca="1">_xlfn.IFNA(VLOOKUP("3"&amp;B122,CountSpecific!E:F,2,0),"")</f>
        <v/>
      </c>
      <c r="P122" s="7" t="str">
        <f ca="1">_xlfn.IFNA(VLOOKUP("4"&amp;B122,CountSpecific!E:F,2,0),"")</f>
        <v/>
      </c>
    </row>
    <row r="123" spans="1:16" customFormat="1" x14ac:dyDescent="0.25">
      <c r="A123" s="7">
        <v>122</v>
      </c>
      <c r="B123" s="11" t="s">
        <v>138</v>
      </c>
      <c r="C123" s="7" t="s">
        <v>1039</v>
      </c>
      <c r="D123" s="7">
        <v>122</v>
      </c>
      <c r="E123" s="7">
        <v>122</v>
      </c>
      <c r="F123" s="7">
        <v>122</v>
      </c>
      <c r="G123" s="11" t="s">
        <v>1024</v>
      </c>
      <c r="H123" s="20">
        <v>764805</v>
      </c>
      <c r="I123" s="12">
        <v>45199</v>
      </c>
      <c r="J123" s="12">
        <v>45746</v>
      </c>
      <c r="K123" s="25">
        <v>629488</v>
      </c>
      <c r="L123" s="23">
        <v>135317</v>
      </c>
      <c r="M123" s="11"/>
      <c r="N123" s="7" t="str">
        <f ca="1">_xlfn.IFNA(VLOOKUP("2"&amp;B123,CountSpecific!E:F,2,0),"")</f>
        <v/>
      </c>
      <c r="O123" s="14" t="str">
        <f ca="1">_xlfn.IFNA(VLOOKUP("3"&amp;B123,CountSpecific!E:F,2,0),"")</f>
        <v/>
      </c>
      <c r="P123" s="7" t="str">
        <f ca="1">_xlfn.IFNA(VLOOKUP("4"&amp;B123,CountSpecific!E:F,2,0),"")</f>
        <v/>
      </c>
    </row>
    <row r="124" spans="1:16" customFormat="1" x14ac:dyDescent="0.25">
      <c r="A124" s="7">
        <v>123</v>
      </c>
      <c r="B124" s="11" t="s">
        <v>139</v>
      </c>
      <c r="C124" s="7" t="s">
        <v>1039</v>
      </c>
      <c r="D124" s="7">
        <v>123</v>
      </c>
      <c r="E124" s="9">
        <v>123</v>
      </c>
      <c r="F124" s="7">
        <v>123</v>
      </c>
      <c r="G124" s="11" t="s">
        <v>1021</v>
      </c>
      <c r="H124" s="20">
        <v>66141</v>
      </c>
      <c r="I124" s="12">
        <v>44593</v>
      </c>
      <c r="J124" s="12">
        <v>44652</v>
      </c>
      <c r="K124" s="25">
        <v>61573</v>
      </c>
      <c r="L124" s="23">
        <v>4568</v>
      </c>
      <c r="M124" s="11"/>
      <c r="N124" s="7" t="str">
        <f ca="1">_xlfn.IFNA(VLOOKUP("2"&amp;B124,CountSpecific!E:F,2,0),"")</f>
        <v/>
      </c>
      <c r="O124" s="14" t="str">
        <f ca="1">_xlfn.IFNA(VLOOKUP("3"&amp;B124,CountSpecific!E:F,2,0),"")</f>
        <v/>
      </c>
      <c r="P124" s="7" t="str">
        <f ca="1">_xlfn.IFNA(VLOOKUP("4"&amp;B124,CountSpecific!E:F,2,0),"")</f>
        <v/>
      </c>
    </row>
    <row r="125" spans="1:16" customFormat="1" x14ac:dyDescent="0.25">
      <c r="A125" s="7">
        <v>124</v>
      </c>
      <c r="B125" s="11" t="s">
        <v>140</v>
      </c>
      <c r="C125" s="7" t="s">
        <v>1039</v>
      </c>
      <c r="D125" s="7">
        <v>124</v>
      </c>
      <c r="E125" s="7">
        <v>124</v>
      </c>
      <c r="F125" s="7">
        <v>124</v>
      </c>
      <c r="G125" s="11" t="s">
        <v>1016</v>
      </c>
      <c r="H125" s="20">
        <v>24522</v>
      </c>
      <c r="I125" s="12">
        <v>44520</v>
      </c>
      <c r="J125" s="12">
        <v>44885</v>
      </c>
      <c r="K125" s="25">
        <v>14370</v>
      </c>
      <c r="L125" s="23">
        <v>10152</v>
      </c>
      <c r="M125" s="11"/>
      <c r="N125" s="7" t="str">
        <f ca="1">_xlfn.IFNA(VLOOKUP("2"&amp;B125,CountSpecific!E:F,2,0),"")</f>
        <v/>
      </c>
      <c r="O125" s="14" t="str">
        <f ca="1">_xlfn.IFNA(VLOOKUP("3"&amp;B125,CountSpecific!E:F,2,0),"")</f>
        <v/>
      </c>
      <c r="P125" s="7" t="str">
        <f ca="1">_xlfn.IFNA(VLOOKUP("4"&amp;B125,CountSpecific!E:F,2,0),"")</f>
        <v/>
      </c>
    </row>
    <row r="126" spans="1:16" customFormat="1" x14ac:dyDescent="0.25">
      <c r="A126" s="7">
        <v>125</v>
      </c>
      <c r="B126" s="11" t="s">
        <v>141</v>
      </c>
      <c r="C126" s="7" t="s">
        <v>1039</v>
      </c>
      <c r="D126" s="7">
        <v>125</v>
      </c>
      <c r="E126" s="7">
        <v>125</v>
      </c>
      <c r="F126" s="7">
        <v>125</v>
      </c>
      <c r="G126" s="11" t="s">
        <v>1026</v>
      </c>
      <c r="H126" s="20">
        <v>3568030</v>
      </c>
      <c r="I126" s="12">
        <v>45232</v>
      </c>
      <c r="J126" s="12">
        <v>45262</v>
      </c>
      <c r="K126" s="25">
        <v>80267</v>
      </c>
      <c r="L126" s="23">
        <v>3487763</v>
      </c>
      <c r="M126" s="11"/>
      <c r="N126" s="7" t="str">
        <f ca="1">_xlfn.IFNA(VLOOKUP("2"&amp;B126,CountSpecific!E:F,2,0),"")</f>
        <v/>
      </c>
      <c r="O126" s="14" t="str">
        <f ca="1">_xlfn.IFNA(VLOOKUP("3"&amp;B126,CountSpecific!E:F,2,0),"")</f>
        <v/>
      </c>
      <c r="P126" s="7" t="str">
        <f ca="1">_xlfn.IFNA(VLOOKUP("4"&amp;B126,CountSpecific!E:F,2,0),"")</f>
        <v/>
      </c>
    </row>
    <row r="127" spans="1:16" customFormat="1" x14ac:dyDescent="0.25">
      <c r="A127" s="7">
        <v>126</v>
      </c>
      <c r="B127" s="11" t="s">
        <v>142</v>
      </c>
      <c r="C127" s="7" t="s">
        <v>1039</v>
      </c>
      <c r="D127" s="7">
        <v>126</v>
      </c>
      <c r="E127" s="9">
        <v>126</v>
      </c>
      <c r="F127" s="7">
        <v>126</v>
      </c>
      <c r="G127" s="11" t="s">
        <v>1023</v>
      </c>
      <c r="H127" s="20">
        <v>147</v>
      </c>
      <c r="I127" s="12">
        <v>44629</v>
      </c>
      <c r="J127" s="12">
        <v>44966</v>
      </c>
      <c r="K127" s="25">
        <v>111</v>
      </c>
      <c r="L127" s="23">
        <v>36</v>
      </c>
      <c r="M127" s="11"/>
      <c r="N127" s="7" t="str">
        <f ca="1">_xlfn.IFNA(VLOOKUP("2"&amp;B127,CountSpecific!E:F,2,0),"")</f>
        <v/>
      </c>
      <c r="O127" s="14" t="str">
        <f ca="1">_xlfn.IFNA(VLOOKUP("3"&amp;B127,CountSpecific!E:F,2,0),"")</f>
        <v/>
      </c>
      <c r="P127" s="7" t="str">
        <f ca="1">_xlfn.IFNA(VLOOKUP("4"&amp;B127,CountSpecific!E:F,2,0),"")</f>
        <v/>
      </c>
    </row>
    <row r="128" spans="1:16" customFormat="1" x14ac:dyDescent="0.25">
      <c r="A128" s="7">
        <v>127</v>
      </c>
      <c r="B128" s="11" t="s">
        <v>143</v>
      </c>
      <c r="C128" s="7" t="s">
        <v>1039</v>
      </c>
      <c r="D128" s="7">
        <v>127</v>
      </c>
      <c r="E128" s="7">
        <v>127</v>
      </c>
      <c r="F128" s="7">
        <v>127</v>
      </c>
      <c r="G128" s="11" t="s">
        <v>1022</v>
      </c>
      <c r="H128" s="20">
        <v>19706</v>
      </c>
      <c r="I128" s="12">
        <v>44394</v>
      </c>
      <c r="J128" s="12">
        <v>44943</v>
      </c>
      <c r="K128" s="25">
        <v>13965</v>
      </c>
      <c r="L128" s="23">
        <v>5741</v>
      </c>
      <c r="M128" s="11"/>
      <c r="N128" s="7" t="str">
        <f ca="1">_xlfn.IFNA(VLOOKUP("2"&amp;B128,CountSpecific!E:F,2,0),"")</f>
        <v/>
      </c>
      <c r="O128" s="14" t="str">
        <f ca="1">_xlfn.IFNA(VLOOKUP("3"&amp;B128,CountSpecific!E:F,2,0),"")</f>
        <v/>
      </c>
      <c r="P128" s="7" t="str">
        <f ca="1">_xlfn.IFNA(VLOOKUP("4"&amp;B128,CountSpecific!E:F,2,0),"")</f>
        <v/>
      </c>
    </row>
    <row r="129" spans="1:16" customFormat="1" x14ac:dyDescent="0.25">
      <c r="A129" s="7">
        <v>128</v>
      </c>
      <c r="B129" s="11" t="s">
        <v>144</v>
      </c>
      <c r="C129" s="7" t="s">
        <v>1039</v>
      </c>
      <c r="D129" s="7">
        <v>128</v>
      </c>
      <c r="E129" s="7">
        <v>128</v>
      </c>
      <c r="F129" s="7">
        <v>128</v>
      </c>
      <c r="G129" s="11" t="s">
        <v>1020</v>
      </c>
      <c r="H129" s="20">
        <v>337778</v>
      </c>
      <c r="I129" s="12">
        <v>45655</v>
      </c>
      <c r="J129" s="12">
        <v>45990</v>
      </c>
      <c r="K129" s="25">
        <v>26185</v>
      </c>
      <c r="L129" s="23">
        <v>311593</v>
      </c>
      <c r="M129" s="11"/>
      <c r="N129" s="7" t="str">
        <f ca="1">_xlfn.IFNA(VLOOKUP("2"&amp;B129,CountSpecific!E:F,2,0),"")</f>
        <v/>
      </c>
      <c r="O129" s="14" t="str">
        <f ca="1">_xlfn.IFNA(VLOOKUP("3"&amp;B129,CountSpecific!E:F,2,0),"")</f>
        <v/>
      </c>
      <c r="P129" s="7" t="str">
        <f ca="1">_xlfn.IFNA(VLOOKUP("4"&amp;B129,CountSpecific!E:F,2,0),"")</f>
        <v/>
      </c>
    </row>
    <row r="130" spans="1:16" customFormat="1" x14ac:dyDescent="0.25">
      <c r="A130" s="7">
        <v>129</v>
      </c>
      <c r="B130" s="11" t="s">
        <v>145</v>
      </c>
      <c r="C130" s="7" t="s">
        <v>1039</v>
      </c>
      <c r="D130" s="7">
        <v>129</v>
      </c>
      <c r="E130" s="9">
        <v>129</v>
      </c>
      <c r="F130" s="7">
        <v>129</v>
      </c>
      <c r="G130" s="11" t="s">
        <v>1016</v>
      </c>
      <c r="H130" s="20">
        <v>38481</v>
      </c>
      <c r="I130" s="12">
        <v>45047</v>
      </c>
      <c r="J130" s="12">
        <v>45323</v>
      </c>
      <c r="K130" s="25">
        <v>30522</v>
      </c>
      <c r="L130" s="23">
        <v>7959</v>
      </c>
      <c r="M130" s="11"/>
      <c r="N130" s="7" t="str">
        <f ca="1">_xlfn.IFNA(VLOOKUP("2"&amp;B130,CountSpecific!E:F,2,0),"")</f>
        <v/>
      </c>
      <c r="O130" s="14" t="str">
        <f ca="1">_xlfn.IFNA(VLOOKUP("3"&amp;B130,CountSpecific!E:F,2,0),"")</f>
        <v/>
      </c>
      <c r="P130" s="7" t="str">
        <f ca="1">_xlfn.IFNA(VLOOKUP("4"&amp;B130,CountSpecific!E:F,2,0),"")</f>
        <v/>
      </c>
    </row>
    <row r="131" spans="1:16" customFormat="1" x14ac:dyDescent="0.25">
      <c r="A131" s="7">
        <v>130</v>
      </c>
      <c r="B131" s="11" t="s">
        <v>146</v>
      </c>
      <c r="C131" s="7" t="s">
        <v>1039</v>
      </c>
      <c r="D131" s="7">
        <v>130</v>
      </c>
      <c r="E131" s="7">
        <v>130</v>
      </c>
      <c r="F131" s="7">
        <v>130</v>
      </c>
      <c r="G131" s="11" t="s">
        <v>1025</v>
      </c>
      <c r="H131" s="20">
        <v>112267</v>
      </c>
      <c r="I131" s="12">
        <v>44391</v>
      </c>
      <c r="J131" s="12">
        <v>44634</v>
      </c>
      <c r="K131" s="25">
        <v>57230</v>
      </c>
      <c r="L131" s="23">
        <v>55037</v>
      </c>
      <c r="M131" s="11"/>
      <c r="N131" s="7" t="str">
        <f ca="1">_xlfn.IFNA(VLOOKUP("2"&amp;B131,CountSpecific!E:F,2,0),"")</f>
        <v/>
      </c>
      <c r="O131" s="14" t="str">
        <f ca="1">_xlfn.IFNA(VLOOKUP("3"&amp;B131,CountSpecific!E:F,2,0),"")</f>
        <v/>
      </c>
      <c r="P131" s="7" t="str">
        <f ca="1">_xlfn.IFNA(VLOOKUP("4"&amp;B131,CountSpecific!E:F,2,0),"")</f>
        <v/>
      </c>
    </row>
    <row r="132" spans="1:16" customFormat="1" x14ac:dyDescent="0.25">
      <c r="A132" s="7">
        <v>131</v>
      </c>
      <c r="B132" s="11" t="s">
        <v>147</v>
      </c>
      <c r="C132" s="7" t="s">
        <v>1039</v>
      </c>
      <c r="D132" s="7">
        <v>131</v>
      </c>
      <c r="E132" s="7">
        <v>131</v>
      </c>
      <c r="F132" s="7">
        <v>131</v>
      </c>
      <c r="G132" s="11" t="s">
        <v>1024</v>
      </c>
      <c r="H132" s="20">
        <v>691356</v>
      </c>
      <c r="I132" s="12">
        <v>44242</v>
      </c>
      <c r="J132" s="12">
        <v>44515</v>
      </c>
      <c r="K132" s="25">
        <v>623039</v>
      </c>
      <c r="L132" s="23">
        <v>68317</v>
      </c>
      <c r="M132" s="11"/>
      <c r="N132" s="7" t="str">
        <f ca="1">_xlfn.IFNA(VLOOKUP("2"&amp;B132,CountSpecific!E:F,2,0),"")</f>
        <v/>
      </c>
      <c r="O132" s="14" t="str">
        <f ca="1">_xlfn.IFNA(VLOOKUP("3"&amp;B132,CountSpecific!E:F,2,0),"")</f>
        <v/>
      </c>
      <c r="P132" s="7" t="str">
        <f ca="1">_xlfn.IFNA(VLOOKUP("4"&amp;B132,CountSpecific!E:F,2,0),"")</f>
        <v/>
      </c>
    </row>
    <row r="133" spans="1:16" customFormat="1" x14ac:dyDescent="0.25">
      <c r="A133" s="7">
        <v>132</v>
      </c>
      <c r="B133" s="11" t="s">
        <v>148</v>
      </c>
      <c r="C133" s="7" t="s">
        <v>1039</v>
      </c>
      <c r="D133" s="7">
        <v>132</v>
      </c>
      <c r="E133" s="9">
        <v>132</v>
      </c>
      <c r="F133" s="7">
        <v>132</v>
      </c>
      <c r="G133" s="11" t="s">
        <v>1021</v>
      </c>
      <c r="H133" s="20">
        <v>85840</v>
      </c>
      <c r="I133" s="12">
        <v>45467</v>
      </c>
      <c r="J133" s="12">
        <v>45589</v>
      </c>
      <c r="K133" s="25">
        <v>47296</v>
      </c>
      <c r="L133" s="23">
        <v>38544</v>
      </c>
      <c r="M133" s="11"/>
      <c r="N133" s="7" t="str">
        <f ca="1">_xlfn.IFNA(VLOOKUP("2"&amp;B133,CountSpecific!E:F,2,0),"")</f>
        <v/>
      </c>
      <c r="O133" s="14" t="str">
        <f ca="1">_xlfn.IFNA(VLOOKUP("3"&amp;B133,CountSpecific!E:F,2,0),"")</f>
        <v/>
      </c>
      <c r="P133" s="7" t="str">
        <f ca="1">_xlfn.IFNA(VLOOKUP("4"&amp;B133,CountSpecific!E:F,2,0),"")</f>
        <v/>
      </c>
    </row>
    <row r="134" spans="1:16" customFormat="1" x14ac:dyDescent="0.25">
      <c r="A134" s="7">
        <v>133</v>
      </c>
      <c r="B134" s="11" t="s">
        <v>149</v>
      </c>
      <c r="C134" s="7" t="s">
        <v>1039</v>
      </c>
      <c r="D134" s="7">
        <v>133</v>
      </c>
      <c r="E134" s="7">
        <v>133</v>
      </c>
      <c r="F134" s="7">
        <v>133</v>
      </c>
      <c r="G134" s="11" t="s">
        <v>1027</v>
      </c>
      <c r="H134" s="20">
        <v>36075</v>
      </c>
      <c r="I134" s="12">
        <v>45007</v>
      </c>
      <c r="J134" s="12">
        <v>45038</v>
      </c>
      <c r="K134" s="25">
        <v>34075</v>
      </c>
      <c r="L134" s="23">
        <v>2000</v>
      </c>
      <c r="M134" s="11"/>
      <c r="N134" s="7" t="str">
        <f ca="1">_xlfn.IFNA(VLOOKUP("2"&amp;B134,CountSpecific!E:F,2,0),"")</f>
        <v/>
      </c>
      <c r="O134" s="14" t="str">
        <f ca="1">_xlfn.IFNA(VLOOKUP("3"&amp;B134,CountSpecific!E:F,2,0),"")</f>
        <v/>
      </c>
      <c r="P134" s="7" t="str">
        <f ca="1">_xlfn.IFNA(VLOOKUP("4"&amp;B134,CountSpecific!E:F,2,0),"")</f>
        <v/>
      </c>
    </row>
    <row r="135" spans="1:16" customFormat="1" x14ac:dyDescent="0.25">
      <c r="A135" s="7">
        <v>134</v>
      </c>
      <c r="B135" s="11" t="s">
        <v>150</v>
      </c>
      <c r="C135" s="7" t="s">
        <v>1039</v>
      </c>
      <c r="D135" s="7">
        <v>134</v>
      </c>
      <c r="E135" s="7">
        <v>134</v>
      </c>
      <c r="F135" s="7">
        <v>134</v>
      </c>
      <c r="G135" s="11" t="s">
        <v>1020</v>
      </c>
      <c r="H135" s="20">
        <v>378987</v>
      </c>
      <c r="I135" s="12">
        <v>45482</v>
      </c>
      <c r="J135" s="12">
        <v>46212</v>
      </c>
      <c r="K135" s="25">
        <v>281725</v>
      </c>
      <c r="L135" s="23">
        <v>97262</v>
      </c>
      <c r="M135" s="11"/>
      <c r="N135" s="7" t="str">
        <f ca="1">_xlfn.IFNA(VLOOKUP("2"&amp;B135,CountSpecific!E:F,2,0),"")</f>
        <v/>
      </c>
      <c r="O135" s="14" t="str">
        <f ca="1">_xlfn.IFNA(VLOOKUP("3"&amp;B135,CountSpecific!E:F,2,0),"")</f>
        <v/>
      </c>
      <c r="P135" s="7" t="str">
        <f ca="1">_xlfn.IFNA(VLOOKUP("4"&amp;B135,CountSpecific!E:F,2,0),"")</f>
        <v/>
      </c>
    </row>
    <row r="136" spans="1:16" customFormat="1" x14ac:dyDescent="0.25">
      <c r="A136" s="7">
        <v>135</v>
      </c>
      <c r="B136" s="11" t="s">
        <v>151</v>
      </c>
      <c r="C136" s="7" t="s">
        <v>1039</v>
      </c>
      <c r="D136" s="7">
        <v>135</v>
      </c>
      <c r="E136" s="9">
        <v>135</v>
      </c>
      <c r="F136" s="7">
        <v>135</v>
      </c>
      <c r="G136" s="11" t="s">
        <v>1016</v>
      </c>
      <c r="H136" s="20">
        <v>29127</v>
      </c>
      <c r="I136" s="12">
        <v>44661</v>
      </c>
      <c r="J136" s="12">
        <v>45209</v>
      </c>
      <c r="K136" s="25">
        <v>9959</v>
      </c>
      <c r="L136" s="23">
        <v>19168</v>
      </c>
      <c r="M136" s="11"/>
      <c r="N136" s="7" t="str">
        <f ca="1">_xlfn.IFNA(VLOOKUP("2"&amp;B136,CountSpecific!E:F,2,0),"")</f>
        <v/>
      </c>
      <c r="O136" s="14" t="str">
        <f ca="1">_xlfn.IFNA(VLOOKUP("3"&amp;B136,CountSpecific!E:F,2,0),"")</f>
        <v/>
      </c>
      <c r="P136" s="7" t="str">
        <f ca="1">_xlfn.IFNA(VLOOKUP("4"&amp;B136,CountSpecific!E:F,2,0),"")</f>
        <v/>
      </c>
    </row>
    <row r="137" spans="1:16" customFormat="1" x14ac:dyDescent="0.25">
      <c r="A137" s="7">
        <v>136</v>
      </c>
      <c r="B137" s="11" t="s">
        <v>152</v>
      </c>
      <c r="C137" s="7" t="s">
        <v>1039</v>
      </c>
      <c r="D137" s="7">
        <v>136</v>
      </c>
      <c r="E137" s="7">
        <v>136</v>
      </c>
      <c r="F137" s="7">
        <v>136</v>
      </c>
      <c r="G137" s="11" t="s">
        <v>1027</v>
      </c>
      <c r="H137" s="20">
        <v>46539</v>
      </c>
      <c r="I137" s="12">
        <v>43882</v>
      </c>
      <c r="J137" s="12">
        <v>44429</v>
      </c>
      <c r="K137" s="25">
        <v>38914</v>
      </c>
      <c r="L137" s="23">
        <v>7625</v>
      </c>
      <c r="M137" s="11"/>
      <c r="N137" s="7" t="str">
        <f ca="1">_xlfn.IFNA(VLOOKUP("2"&amp;B137,CountSpecific!E:F,2,0),"")</f>
        <v/>
      </c>
      <c r="O137" s="14" t="str">
        <f ca="1">_xlfn.IFNA(VLOOKUP("3"&amp;B137,CountSpecific!E:F,2,0),"")</f>
        <v/>
      </c>
      <c r="P137" s="7" t="str">
        <f ca="1">_xlfn.IFNA(VLOOKUP("4"&amp;B137,CountSpecific!E:F,2,0),"")</f>
        <v/>
      </c>
    </row>
    <row r="138" spans="1:16" customFormat="1" x14ac:dyDescent="0.25">
      <c r="A138" s="7">
        <v>137</v>
      </c>
      <c r="B138" s="11" t="s">
        <v>153</v>
      </c>
      <c r="C138" s="7" t="s">
        <v>1039</v>
      </c>
      <c r="D138" s="7">
        <v>137</v>
      </c>
      <c r="E138" s="7">
        <v>137</v>
      </c>
      <c r="F138" s="7">
        <v>137</v>
      </c>
      <c r="G138" s="11" t="s">
        <v>1021</v>
      </c>
      <c r="H138" s="20">
        <v>84271</v>
      </c>
      <c r="I138" s="12">
        <v>44475</v>
      </c>
      <c r="J138" s="12">
        <v>44840</v>
      </c>
      <c r="K138" s="25">
        <v>76795</v>
      </c>
      <c r="L138" s="23">
        <v>7476</v>
      </c>
      <c r="M138" s="11"/>
      <c r="N138" s="7" t="str">
        <f ca="1">_xlfn.IFNA(VLOOKUP("2"&amp;B138,CountSpecific!E:F,2,0),"")</f>
        <v/>
      </c>
      <c r="O138" s="14" t="str">
        <f ca="1">_xlfn.IFNA(VLOOKUP("3"&amp;B138,CountSpecific!E:F,2,0),"")</f>
        <v/>
      </c>
      <c r="P138" s="7" t="str">
        <f ca="1">_xlfn.IFNA(VLOOKUP("4"&amp;B138,CountSpecific!E:F,2,0),"")</f>
        <v/>
      </c>
    </row>
    <row r="139" spans="1:16" customFormat="1" x14ac:dyDescent="0.25">
      <c r="A139" s="7">
        <v>138</v>
      </c>
      <c r="B139" s="11" t="s">
        <v>154</v>
      </c>
      <c r="C139" s="7" t="s">
        <v>1039</v>
      </c>
      <c r="D139" s="7">
        <v>138</v>
      </c>
      <c r="E139" s="9">
        <v>138</v>
      </c>
      <c r="F139" s="7">
        <v>138</v>
      </c>
      <c r="G139" s="11" t="s">
        <v>1023</v>
      </c>
      <c r="H139" s="20">
        <v>414</v>
      </c>
      <c r="I139" s="12">
        <v>44261</v>
      </c>
      <c r="J139" s="12">
        <v>44322</v>
      </c>
      <c r="K139" s="25">
        <v>180</v>
      </c>
      <c r="L139" s="23">
        <v>234</v>
      </c>
      <c r="M139" s="11"/>
      <c r="N139" s="7" t="str">
        <f ca="1">_xlfn.IFNA(VLOOKUP("2"&amp;B139,CountSpecific!E:F,2,0),"")</f>
        <v/>
      </c>
      <c r="O139" s="14" t="str">
        <f ca="1">_xlfn.IFNA(VLOOKUP("3"&amp;B139,CountSpecific!E:F,2,0),"")</f>
        <v/>
      </c>
      <c r="P139" s="7" t="str">
        <f ca="1">_xlfn.IFNA(VLOOKUP("4"&amp;B139,CountSpecific!E:F,2,0),"")</f>
        <v/>
      </c>
    </row>
    <row r="140" spans="1:16" customFormat="1" x14ac:dyDescent="0.25">
      <c r="A140" s="7">
        <v>139</v>
      </c>
      <c r="B140" s="11" t="s">
        <v>155</v>
      </c>
      <c r="C140" s="7" t="s">
        <v>1039</v>
      </c>
      <c r="D140" s="7">
        <v>139</v>
      </c>
      <c r="E140" s="7">
        <v>139</v>
      </c>
      <c r="F140" s="7">
        <v>139</v>
      </c>
      <c r="G140" s="11" t="s">
        <v>1024</v>
      </c>
      <c r="H140" s="20">
        <v>160153</v>
      </c>
      <c r="I140" s="12">
        <v>44308</v>
      </c>
      <c r="J140" s="12">
        <v>44522</v>
      </c>
      <c r="K140" s="25">
        <v>4199</v>
      </c>
      <c r="L140" s="23">
        <v>155954</v>
      </c>
      <c r="M140" s="11"/>
      <c r="N140" s="7" t="str">
        <f ca="1">_xlfn.IFNA(VLOOKUP("2"&amp;B140,CountSpecific!E:F,2,0),"")</f>
        <v/>
      </c>
      <c r="O140" s="14" t="str">
        <f ca="1">_xlfn.IFNA(VLOOKUP("3"&amp;B140,CountSpecific!E:F,2,0),"")</f>
        <v/>
      </c>
      <c r="P140" s="7" t="str">
        <f ca="1">_xlfn.IFNA(VLOOKUP("4"&amp;B140,CountSpecific!E:F,2,0),"")</f>
        <v/>
      </c>
    </row>
    <row r="141" spans="1:16" customFormat="1" x14ac:dyDescent="0.25">
      <c r="A141" s="7">
        <v>140</v>
      </c>
      <c r="B141" s="11" t="s">
        <v>156</v>
      </c>
      <c r="C141" s="7" t="s">
        <v>1039</v>
      </c>
      <c r="D141" s="7">
        <v>140</v>
      </c>
      <c r="E141" s="7">
        <v>140</v>
      </c>
      <c r="F141" s="7">
        <v>140</v>
      </c>
      <c r="G141" s="11" t="s">
        <v>1027</v>
      </c>
      <c r="H141" s="20">
        <v>21013</v>
      </c>
      <c r="I141" s="12">
        <v>45565</v>
      </c>
      <c r="J141" s="12">
        <v>45868</v>
      </c>
      <c r="K141" s="25">
        <v>13512</v>
      </c>
      <c r="L141" s="23">
        <v>7501</v>
      </c>
      <c r="M141" s="11"/>
      <c r="N141" s="7" t="str">
        <f ca="1">_xlfn.IFNA(VLOOKUP("2"&amp;B141,CountSpecific!E:F,2,0),"")</f>
        <v/>
      </c>
      <c r="O141" s="14" t="str">
        <f ca="1">_xlfn.IFNA(VLOOKUP("3"&amp;B141,CountSpecific!E:F,2,0),"")</f>
        <v/>
      </c>
      <c r="P141" s="7" t="str">
        <f ca="1">_xlfn.IFNA(VLOOKUP("4"&amp;B141,CountSpecific!E:F,2,0),"")</f>
        <v/>
      </c>
    </row>
    <row r="142" spans="1:16" customFormat="1" x14ac:dyDescent="0.25">
      <c r="A142" s="7">
        <v>141</v>
      </c>
      <c r="B142" s="11" t="s">
        <v>157</v>
      </c>
      <c r="C142" s="7" t="s">
        <v>1039</v>
      </c>
      <c r="D142" s="7">
        <v>141</v>
      </c>
      <c r="E142" s="9">
        <v>141</v>
      </c>
      <c r="F142" s="7">
        <v>141</v>
      </c>
      <c r="G142" s="11" t="s">
        <v>1023</v>
      </c>
      <c r="H142" s="20">
        <v>1058</v>
      </c>
      <c r="I142" s="12">
        <v>44070</v>
      </c>
      <c r="J142" s="12">
        <v>44678</v>
      </c>
      <c r="K142" s="25">
        <v>750</v>
      </c>
      <c r="L142" s="23">
        <v>308</v>
      </c>
      <c r="M142" s="11"/>
      <c r="N142" s="7" t="str">
        <f ca="1">_xlfn.IFNA(VLOOKUP("2"&amp;B142,CountSpecific!E:F,2,0),"")</f>
        <v/>
      </c>
      <c r="O142" s="14" t="str">
        <f ca="1">_xlfn.IFNA(VLOOKUP("3"&amp;B142,CountSpecific!E:F,2,0),"")</f>
        <v/>
      </c>
      <c r="P142" s="7" t="str">
        <f ca="1">_xlfn.IFNA(VLOOKUP("4"&amp;B142,CountSpecific!E:F,2,0),"")</f>
        <v/>
      </c>
    </row>
    <row r="143" spans="1:16" customFormat="1" x14ac:dyDescent="0.25">
      <c r="A143" s="7">
        <v>142</v>
      </c>
      <c r="B143" s="11" t="s">
        <v>158</v>
      </c>
      <c r="C143" s="7" t="s">
        <v>1039</v>
      </c>
      <c r="D143" s="7">
        <v>142</v>
      </c>
      <c r="E143" s="7">
        <v>142</v>
      </c>
      <c r="F143" s="7">
        <v>142</v>
      </c>
      <c r="G143" s="11" t="s">
        <v>1022</v>
      </c>
      <c r="H143" s="20">
        <v>11414</v>
      </c>
      <c r="I143" s="12">
        <v>45214</v>
      </c>
      <c r="J143" s="12">
        <v>45427</v>
      </c>
      <c r="K143" s="25">
        <v>4993</v>
      </c>
      <c r="L143" s="23">
        <v>6421</v>
      </c>
      <c r="M143" s="11"/>
      <c r="N143" s="7" t="str">
        <f ca="1">_xlfn.IFNA(VLOOKUP("2"&amp;B143,CountSpecific!E:F,2,0),"")</f>
        <v/>
      </c>
      <c r="O143" s="14" t="str">
        <f ca="1">_xlfn.IFNA(VLOOKUP("3"&amp;B143,CountSpecific!E:F,2,0),"")</f>
        <v/>
      </c>
      <c r="P143" s="7" t="str">
        <f ca="1">_xlfn.IFNA(VLOOKUP("4"&amp;B143,CountSpecific!E:F,2,0),"")</f>
        <v/>
      </c>
    </row>
    <row r="144" spans="1:16" customFormat="1" x14ac:dyDescent="0.25">
      <c r="A144" s="7">
        <v>143</v>
      </c>
      <c r="B144" s="11" t="s">
        <v>159</v>
      </c>
      <c r="C144" s="7" t="s">
        <v>1039</v>
      </c>
      <c r="D144" s="7">
        <v>143</v>
      </c>
      <c r="E144" s="7">
        <v>143</v>
      </c>
      <c r="F144" s="7">
        <v>143</v>
      </c>
      <c r="G144" s="11" t="s">
        <v>1022</v>
      </c>
      <c r="H144" s="20">
        <v>22650</v>
      </c>
      <c r="I144" s="12">
        <v>44999</v>
      </c>
      <c r="J144" s="12">
        <v>45121</v>
      </c>
      <c r="K144" s="25">
        <v>6341</v>
      </c>
      <c r="L144" s="23">
        <v>16309</v>
      </c>
      <c r="M144" s="11"/>
      <c r="N144" s="7" t="str">
        <f ca="1">_xlfn.IFNA(VLOOKUP("2"&amp;B144,CountSpecific!E:F,2,0),"")</f>
        <v/>
      </c>
      <c r="O144" s="14" t="str">
        <f ca="1">_xlfn.IFNA(VLOOKUP("3"&amp;B144,CountSpecific!E:F,2,0),"")</f>
        <v/>
      </c>
      <c r="P144" s="7" t="str">
        <f ca="1">_xlfn.IFNA(VLOOKUP("4"&amp;B144,CountSpecific!E:F,2,0),"")</f>
        <v/>
      </c>
    </row>
    <row r="145" spans="1:16" customFormat="1" x14ac:dyDescent="0.25">
      <c r="A145" s="7">
        <v>144</v>
      </c>
      <c r="B145" s="11" t="s">
        <v>160</v>
      </c>
      <c r="C145" s="7" t="s">
        <v>1039</v>
      </c>
      <c r="D145" s="7">
        <v>144</v>
      </c>
      <c r="E145" s="9">
        <v>144</v>
      </c>
      <c r="F145" s="7">
        <v>144</v>
      </c>
      <c r="G145" s="11" t="s">
        <v>1020</v>
      </c>
      <c r="H145" s="20">
        <v>455242</v>
      </c>
      <c r="I145" s="12">
        <v>45103</v>
      </c>
      <c r="J145" s="12">
        <v>45133</v>
      </c>
      <c r="K145" s="25">
        <v>291794</v>
      </c>
      <c r="L145" s="23">
        <v>163448</v>
      </c>
      <c r="M145" s="11"/>
      <c r="N145" s="7" t="str">
        <f ca="1">_xlfn.IFNA(VLOOKUP("2"&amp;B145,CountSpecific!E:F,2,0),"")</f>
        <v/>
      </c>
      <c r="O145" s="14" t="str">
        <f ca="1">_xlfn.IFNA(VLOOKUP("3"&amp;B145,CountSpecific!E:F,2,0),"")</f>
        <v/>
      </c>
      <c r="P145" s="7" t="str">
        <f ca="1">_xlfn.IFNA(VLOOKUP("4"&amp;B145,CountSpecific!E:F,2,0),"")</f>
        <v/>
      </c>
    </row>
    <row r="146" spans="1:16" customFormat="1" x14ac:dyDescent="0.25">
      <c r="A146" s="7">
        <v>145</v>
      </c>
      <c r="B146" s="11" t="s">
        <v>161</v>
      </c>
      <c r="C146" s="7" t="s">
        <v>1039</v>
      </c>
      <c r="D146" s="7">
        <v>145</v>
      </c>
      <c r="E146" s="7">
        <v>145</v>
      </c>
      <c r="F146" s="7">
        <v>145</v>
      </c>
      <c r="G146" s="11" t="s">
        <v>1024</v>
      </c>
      <c r="H146" s="20">
        <v>913730</v>
      </c>
      <c r="I146" s="12">
        <v>45005</v>
      </c>
      <c r="J146" s="12">
        <v>45402</v>
      </c>
      <c r="K146" s="25">
        <v>263382</v>
      </c>
      <c r="L146" s="23">
        <v>650348</v>
      </c>
      <c r="M146" s="11"/>
      <c r="N146" s="7" t="str">
        <f ca="1">_xlfn.IFNA(VLOOKUP("2"&amp;B146,CountSpecific!E:F,2,0),"")</f>
        <v/>
      </c>
      <c r="O146" s="14" t="str">
        <f ca="1">_xlfn.IFNA(VLOOKUP("3"&amp;B146,CountSpecific!E:F,2,0),"")</f>
        <v/>
      </c>
      <c r="P146" s="7" t="str">
        <f ca="1">_xlfn.IFNA(VLOOKUP("4"&amp;B146,CountSpecific!E:F,2,0),"")</f>
        <v/>
      </c>
    </row>
    <row r="147" spans="1:16" customFormat="1" x14ac:dyDescent="0.25">
      <c r="A147" s="7">
        <v>146</v>
      </c>
      <c r="B147" s="11" t="s">
        <v>162</v>
      </c>
      <c r="C147" s="7" t="s">
        <v>1039</v>
      </c>
      <c r="D147" s="7">
        <v>146</v>
      </c>
      <c r="E147" s="7">
        <v>146</v>
      </c>
      <c r="F147" s="7">
        <v>146</v>
      </c>
      <c r="G147" s="11" t="s">
        <v>1022</v>
      </c>
      <c r="H147" s="20">
        <v>36689</v>
      </c>
      <c r="I147" s="12">
        <v>44229</v>
      </c>
      <c r="J147" s="12">
        <v>44318</v>
      </c>
      <c r="K147" s="25">
        <v>11881</v>
      </c>
      <c r="L147" s="23">
        <v>24808</v>
      </c>
      <c r="M147" s="11"/>
      <c r="N147" s="7" t="str">
        <f ca="1">_xlfn.IFNA(VLOOKUP("2"&amp;B147,CountSpecific!E:F,2,0),"")</f>
        <v/>
      </c>
      <c r="O147" s="14" t="str">
        <f ca="1">_xlfn.IFNA(VLOOKUP("3"&amp;B147,CountSpecific!E:F,2,0),"")</f>
        <v/>
      </c>
      <c r="P147" s="7" t="str">
        <f ca="1">_xlfn.IFNA(VLOOKUP("4"&amp;B147,CountSpecific!E:F,2,0),"")</f>
        <v/>
      </c>
    </row>
    <row r="148" spans="1:16" customFormat="1" x14ac:dyDescent="0.25">
      <c r="A148" s="7">
        <v>147</v>
      </c>
      <c r="B148" s="11" t="s">
        <v>163</v>
      </c>
      <c r="C148" s="7" t="s">
        <v>1039</v>
      </c>
      <c r="D148" s="7">
        <v>147</v>
      </c>
      <c r="E148" s="9">
        <v>147</v>
      </c>
      <c r="F148" s="7">
        <v>147</v>
      </c>
      <c r="G148" s="11" t="s">
        <v>1023</v>
      </c>
      <c r="H148" s="20">
        <v>1015</v>
      </c>
      <c r="I148" s="12">
        <v>45035</v>
      </c>
      <c r="J148" s="12">
        <v>45707</v>
      </c>
      <c r="K148" s="25">
        <v>219</v>
      </c>
      <c r="L148" s="23">
        <v>796</v>
      </c>
      <c r="M148" s="11"/>
      <c r="N148" s="7" t="str">
        <f ca="1">_xlfn.IFNA(VLOOKUP("2"&amp;B148,CountSpecific!E:F,2,0),"")</f>
        <v/>
      </c>
      <c r="O148" s="14" t="str">
        <f ca="1">_xlfn.IFNA(VLOOKUP("3"&amp;B148,CountSpecific!E:F,2,0),"")</f>
        <v/>
      </c>
      <c r="P148" s="7" t="str">
        <f ca="1">_xlfn.IFNA(VLOOKUP("4"&amp;B148,CountSpecific!E:F,2,0),"")</f>
        <v/>
      </c>
    </row>
    <row r="149" spans="1:16" customFormat="1" x14ac:dyDescent="0.25">
      <c r="A149" s="7">
        <v>148</v>
      </c>
      <c r="B149" s="11" t="s">
        <v>164</v>
      </c>
      <c r="C149" s="7" t="s">
        <v>1039</v>
      </c>
      <c r="D149" s="7">
        <v>148</v>
      </c>
      <c r="E149" s="7">
        <v>148</v>
      </c>
      <c r="F149" s="7">
        <v>148</v>
      </c>
      <c r="G149" s="11" t="s">
        <v>1021</v>
      </c>
      <c r="H149" s="20">
        <v>25221</v>
      </c>
      <c r="I149" s="12">
        <v>45299</v>
      </c>
      <c r="J149" s="12">
        <v>45846</v>
      </c>
      <c r="K149" s="25">
        <v>19385</v>
      </c>
      <c r="L149" s="23">
        <v>5836</v>
      </c>
      <c r="M149" s="11"/>
      <c r="N149" s="7" t="str">
        <f ca="1">_xlfn.IFNA(VLOOKUP("2"&amp;B149,CountSpecific!E:F,2,0),"")</f>
        <v/>
      </c>
      <c r="O149" s="14" t="str">
        <f ca="1">_xlfn.IFNA(VLOOKUP("3"&amp;B149,CountSpecific!E:F,2,0),"")</f>
        <v/>
      </c>
      <c r="P149" s="7" t="str">
        <f ca="1">_xlfn.IFNA(VLOOKUP("4"&amp;B149,CountSpecific!E:F,2,0),"")</f>
        <v/>
      </c>
    </row>
    <row r="150" spans="1:16" customFormat="1" x14ac:dyDescent="0.25">
      <c r="A150" s="7">
        <v>149</v>
      </c>
      <c r="B150" s="11" t="s">
        <v>165</v>
      </c>
      <c r="C150" s="7" t="s">
        <v>1039</v>
      </c>
      <c r="D150" s="7">
        <v>149</v>
      </c>
      <c r="E150" s="7">
        <v>149</v>
      </c>
      <c r="F150" s="7">
        <v>149</v>
      </c>
      <c r="G150" s="11" t="s">
        <v>1016</v>
      </c>
      <c r="H150" s="20">
        <v>28404</v>
      </c>
      <c r="I150" s="12">
        <v>44951</v>
      </c>
      <c r="J150" s="12">
        <v>45071</v>
      </c>
      <c r="K150" s="25">
        <v>27782</v>
      </c>
      <c r="L150" s="23">
        <v>622</v>
      </c>
      <c r="M150" s="11"/>
      <c r="N150" s="7" t="str">
        <f ca="1">_xlfn.IFNA(VLOOKUP("2"&amp;B150,CountSpecific!E:F,2,0),"")</f>
        <v/>
      </c>
      <c r="O150" s="14" t="str">
        <f ca="1">_xlfn.IFNA(VLOOKUP("3"&amp;B150,CountSpecific!E:F,2,0),"")</f>
        <v/>
      </c>
      <c r="P150" s="7" t="str">
        <f ca="1">_xlfn.IFNA(VLOOKUP("4"&amp;B150,CountSpecific!E:F,2,0),"")</f>
        <v/>
      </c>
    </row>
    <row r="151" spans="1:16" customFormat="1" x14ac:dyDescent="0.25">
      <c r="A151" s="7">
        <v>150</v>
      </c>
      <c r="B151" s="11" t="s">
        <v>166</v>
      </c>
      <c r="C151" s="7" t="s">
        <v>1039</v>
      </c>
      <c r="D151" s="7">
        <v>150</v>
      </c>
      <c r="E151" s="9">
        <v>150</v>
      </c>
      <c r="F151" s="7">
        <v>150</v>
      </c>
      <c r="G151" s="11" t="s">
        <v>1025</v>
      </c>
      <c r="H151" s="20">
        <v>193813</v>
      </c>
      <c r="I151" s="12">
        <v>45166</v>
      </c>
      <c r="J151" s="12">
        <v>45410</v>
      </c>
      <c r="K151" s="25">
        <v>172185</v>
      </c>
      <c r="L151" s="23">
        <v>21628</v>
      </c>
      <c r="M151" s="11"/>
      <c r="N151" s="7" t="str">
        <f ca="1">_xlfn.IFNA(VLOOKUP("2"&amp;B151,CountSpecific!E:F,2,0),"")</f>
        <v/>
      </c>
      <c r="O151" s="14" t="str">
        <f ca="1">_xlfn.IFNA(VLOOKUP("3"&amp;B151,CountSpecific!E:F,2,0),"")</f>
        <v/>
      </c>
      <c r="P151" s="7" t="str">
        <f ca="1">_xlfn.IFNA(VLOOKUP("4"&amp;B151,CountSpecific!E:F,2,0),"")</f>
        <v/>
      </c>
    </row>
    <row r="152" spans="1:16" customFormat="1" x14ac:dyDescent="0.25">
      <c r="A152" s="7">
        <v>151</v>
      </c>
      <c r="B152" s="11" t="s">
        <v>167</v>
      </c>
      <c r="C152" s="7" t="s">
        <v>1039</v>
      </c>
      <c r="D152" s="7">
        <v>151</v>
      </c>
      <c r="E152" s="7">
        <v>151</v>
      </c>
      <c r="F152" s="7">
        <v>151</v>
      </c>
      <c r="G152" s="11" t="s">
        <v>1023</v>
      </c>
      <c r="H152" s="20">
        <v>740</v>
      </c>
      <c r="I152" s="12">
        <v>45482</v>
      </c>
      <c r="J152" s="12">
        <v>45635</v>
      </c>
      <c r="K152" s="25">
        <v>38</v>
      </c>
      <c r="L152" s="23">
        <v>702</v>
      </c>
      <c r="M152" s="11"/>
      <c r="N152" s="7" t="str">
        <f ca="1">_xlfn.IFNA(VLOOKUP("2"&amp;B152,CountSpecific!E:F,2,0),"")</f>
        <v/>
      </c>
      <c r="O152" s="14" t="str">
        <f ca="1">_xlfn.IFNA(VLOOKUP("3"&amp;B152,CountSpecific!E:F,2,0),"")</f>
        <v/>
      </c>
      <c r="P152" s="7" t="str">
        <f ca="1">_xlfn.IFNA(VLOOKUP("4"&amp;B152,CountSpecific!E:F,2,0),"")</f>
        <v/>
      </c>
    </row>
    <row r="153" spans="1:16" customFormat="1" x14ac:dyDescent="0.25">
      <c r="A153" s="7">
        <v>152</v>
      </c>
      <c r="B153" s="11" t="s">
        <v>168</v>
      </c>
      <c r="C153" s="7" t="s">
        <v>1039</v>
      </c>
      <c r="D153" s="7">
        <v>152</v>
      </c>
      <c r="E153" s="7">
        <v>152</v>
      </c>
      <c r="F153" s="7">
        <v>152</v>
      </c>
      <c r="G153" s="11" t="s">
        <v>1016</v>
      </c>
      <c r="H153" s="20">
        <v>12859</v>
      </c>
      <c r="I153" s="12">
        <v>43856</v>
      </c>
      <c r="J153" s="12">
        <v>44373</v>
      </c>
      <c r="K153" s="25">
        <v>7190</v>
      </c>
      <c r="L153" s="23">
        <v>5669</v>
      </c>
      <c r="M153" s="11"/>
      <c r="N153" s="7" t="str">
        <f ca="1">_xlfn.IFNA(VLOOKUP("2"&amp;B153,CountSpecific!E:F,2,0),"")</f>
        <v/>
      </c>
      <c r="O153" s="14" t="str">
        <f ca="1">_xlfn.IFNA(VLOOKUP("3"&amp;B153,CountSpecific!E:F,2,0),"")</f>
        <v/>
      </c>
      <c r="P153" s="7" t="str">
        <f ca="1">_xlfn.IFNA(VLOOKUP("4"&amp;B153,CountSpecific!E:F,2,0),"")</f>
        <v/>
      </c>
    </row>
    <row r="154" spans="1:16" customFormat="1" x14ac:dyDescent="0.25">
      <c r="A154" s="7">
        <v>153</v>
      </c>
      <c r="B154" s="11" t="s">
        <v>169</v>
      </c>
      <c r="C154" s="7" t="s">
        <v>1039</v>
      </c>
      <c r="D154" s="7">
        <v>153</v>
      </c>
      <c r="E154" s="9">
        <v>153</v>
      </c>
      <c r="F154" s="7">
        <v>153</v>
      </c>
      <c r="G154" s="11" t="s">
        <v>1026</v>
      </c>
      <c r="H154" s="20">
        <v>2564832</v>
      </c>
      <c r="I154" s="12">
        <v>45077</v>
      </c>
      <c r="J154" s="12">
        <v>45596</v>
      </c>
      <c r="K154" s="25">
        <v>2100374</v>
      </c>
      <c r="L154" s="23">
        <v>464458</v>
      </c>
      <c r="M154" s="11"/>
      <c r="N154" s="7" t="str">
        <f ca="1">_xlfn.IFNA(VLOOKUP("2"&amp;B154,CountSpecific!E:F,2,0),"")</f>
        <v/>
      </c>
      <c r="O154" s="14" t="str">
        <f ca="1">_xlfn.IFNA(VLOOKUP("3"&amp;B154,CountSpecific!E:F,2,0),"")</f>
        <v/>
      </c>
      <c r="P154" s="7" t="str">
        <f ca="1">_xlfn.IFNA(VLOOKUP("4"&amp;B154,CountSpecific!E:F,2,0),"")</f>
        <v/>
      </c>
    </row>
    <row r="155" spans="1:16" customFormat="1" x14ac:dyDescent="0.25">
      <c r="A155" s="7">
        <v>154</v>
      </c>
      <c r="B155" s="11" t="s">
        <v>170</v>
      </c>
      <c r="C155" s="7" t="s">
        <v>1039</v>
      </c>
      <c r="D155" s="7">
        <v>154</v>
      </c>
      <c r="E155" s="7">
        <v>154</v>
      </c>
      <c r="F155" s="7">
        <v>154</v>
      </c>
      <c r="G155" s="11" t="s">
        <v>1024</v>
      </c>
      <c r="H155" s="20">
        <v>776443</v>
      </c>
      <c r="I155" s="12">
        <v>44831</v>
      </c>
      <c r="J155" s="12">
        <v>45562</v>
      </c>
      <c r="K155" s="25">
        <v>15343</v>
      </c>
      <c r="L155" s="23">
        <v>761100</v>
      </c>
      <c r="M155" s="11"/>
      <c r="N155" s="7" t="str">
        <f ca="1">_xlfn.IFNA(VLOOKUP("2"&amp;B155,CountSpecific!E:F,2,0),"")</f>
        <v/>
      </c>
      <c r="O155" s="14" t="str">
        <f ca="1">_xlfn.IFNA(VLOOKUP("3"&amp;B155,CountSpecific!E:F,2,0),"")</f>
        <v/>
      </c>
      <c r="P155" s="7" t="str">
        <f ca="1">_xlfn.IFNA(VLOOKUP("4"&amp;B155,CountSpecific!E:F,2,0),"")</f>
        <v/>
      </c>
    </row>
    <row r="156" spans="1:16" customFormat="1" x14ac:dyDescent="0.25">
      <c r="A156" s="7">
        <v>155</v>
      </c>
      <c r="B156" s="11" t="s">
        <v>171</v>
      </c>
      <c r="C156" s="7" t="s">
        <v>1039</v>
      </c>
      <c r="D156" s="7">
        <v>155</v>
      </c>
      <c r="E156" s="7">
        <v>155</v>
      </c>
      <c r="F156" s="7">
        <v>155</v>
      </c>
      <c r="G156" s="11" t="s">
        <v>1026</v>
      </c>
      <c r="H156" s="20">
        <v>2414959</v>
      </c>
      <c r="I156" s="12">
        <v>45217</v>
      </c>
      <c r="J156" s="12">
        <v>45856</v>
      </c>
      <c r="K156" s="25">
        <v>2068700</v>
      </c>
      <c r="L156" s="23">
        <v>346259</v>
      </c>
      <c r="M156" s="11"/>
      <c r="N156" s="7" t="str">
        <f ca="1">_xlfn.IFNA(VLOOKUP("2"&amp;B156,CountSpecific!E:F,2,0),"")</f>
        <v/>
      </c>
      <c r="O156" s="14" t="str">
        <f ca="1">_xlfn.IFNA(VLOOKUP("3"&amp;B156,CountSpecific!E:F,2,0),"")</f>
        <v/>
      </c>
      <c r="P156" s="7" t="str">
        <f ca="1">_xlfn.IFNA(VLOOKUP("4"&amp;B156,CountSpecific!E:F,2,0),"")</f>
        <v/>
      </c>
    </row>
    <row r="157" spans="1:16" customFormat="1" x14ac:dyDescent="0.25">
      <c r="A157" s="7">
        <v>156</v>
      </c>
      <c r="B157" s="11" t="s">
        <v>172</v>
      </c>
      <c r="C157" s="7" t="s">
        <v>1039</v>
      </c>
      <c r="D157" s="7">
        <v>156</v>
      </c>
      <c r="E157" s="9">
        <v>156</v>
      </c>
      <c r="F157" s="7">
        <v>156</v>
      </c>
      <c r="G157" s="11" t="s">
        <v>1016</v>
      </c>
      <c r="H157" s="20">
        <v>7985</v>
      </c>
      <c r="I157" s="12">
        <v>44656</v>
      </c>
      <c r="J157" s="12">
        <v>45051</v>
      </c>
      <c r="K157" s="25">
        <v>734</v>
      </c>
      <c r="L157" s="23">
        <v>7251</v>
      </c>
      <c r="M157" s="11"/>
      <c r="N157" s="7" t="str">
        <f ca="1">_xlfn.IFNA(VLOOKUP("2"&amp;B157,CountSpecific!E:F,2,0),"")</f>
        <v/>
      </c>
      <c r="O157" s="14" t="str">
        <f ca="1">_xlfn.IFNA(VLOOKUP("3"&amp;B157,CountSpecific!E:F,2,0),"")</f>
        <v/>
      </c>
      <c r="P157" s="7" t="str">
        <f ca="1">_xlfn.IFNA(VLOOKUP("4"&amp;B157,CountSpecific!E:F,2,0),"")</f>
        <v/>
      </c>
    </row>
    <row r="158" spans="1:16" customFormat="1" x14ac:dyDescent="0.25">
      <c r="A158" s="7">
        <v>157</v>
      </c>
      <c r="B158" s="11" t="s">
        <v>173</v>
      </c>
      <c r="C158" s="7" t="s">
        <v>1039</v>
      </c>
      <c r="D158" s="7">
        <v>157</v>
      </c>
      <c r="E158" s="7">
        <v>157</v>
      </c>
      <c r="F158" s="7">
        <v>157</v>
      </c>
      <c r="G158" s="11" t="s">
        <v>1016</v>
      </c>
      <c r="H158" s="20">
        <v>30325</v>
      </c>
      <c r="I158" s="12">
        <v>45549</v>
      </c>
      <c r="J158" s="12">
        <v>45822</v>
      </c>
      <c r="K158" s="25">
        <v>4640</v>
      </c>
      <c r="L158" s="23">
        <v>25685</v>
      </c>
      <c r="M158" s="11"/>
      <c r="N158" s="7" t="str">
        <f ca="1">_xlfn.IFNA(VLOOKUP("2"&amp;B158,CountSpecific!E:F,2,0),"")</f>
        <v/>
      </c>
      <c r="O158" s="14" t="str">
        <f ca="1">_xlfn.IFNA(VLOOKUP("3"&amp;B158,CountSpecific!E:F,2,0),"")</f>
        <v/>
      </c>
      <c r="P158" s="7" t="str">
        <f ca="1">_xlfn.IFNA(VLOOKUP("4"&amp;B158,CountSpecific!E:F,2,0),"")</f>
        <v/>
      </c>
    </row>
    <row r="159" spans="1:16" customFormat="1" x14ac:dyDescent="0.25">
      <c r="A159" s="7">
        <v>158</v>
      </c>
      <c r="B159" s="11" t="s">
        <v>174</v>
      </c>
      <c r="C159" s="7" t="s">
        <v>1039</v>
      </c>
      <c r="D159" s="7">
        <v>158</v>
      </c>
      <c r="E159" s="7">
        <v>158</v>
      </c>
      <c r="F159" s="7">
        <v>158</v>
      </c>
      <c r="G159" s="11" t="s">
        <v>1026</v>
      </c>
      <c r="H159" s="20">
        <v>3477084</v>
      </c>
      <c r="I159" s="12">
        <v>44624</v>
      </c>
      <c r="J159" s="12">
        <v>44655</v>
      </c>
      <c r="K159" s="25">
        <v>1664006</v>
      </c>
      <c r="L159" s="23">
        <v>1813078</v>
      </c>
      <c r="M159" s="11"/>
      <c r="N159" s="7" t="str">
        <f ca="1">_xlfn.IFNA(VLOOKUP("2"&amp;B159,CountSpecific!E:F,2,0),"")</f>
        <v/>
      </c>
      <c r="O159" s="14" t="str">
        <f ca="1">_xlfn.IFNA(VLOOKUP("3"&amp;B159,CountSpecific!E:F,2,0),"")</f>
        <v/>
      </c>
      <c r="P159" s="7" t="str">
        <f ca="1">_xlfn.IFNA(VLOOKUP("4"&amp;B159,CountSpecific!E:F,2,0),"")</f>
        <v/>
      </c>
    </row>
    <row r="160" spans="1:16" customFormat="1" x14ac:dyDescent="0.25">
      <c r="A160" s="7">
        <v>159</v>
      </c>
      <c r="B160" s="11" t="s">
        <v>175</v>
      </c>
      <c r="C160" s="7" t="s">
        <v>1039</v>
      </c>
      <c r="D160" s="7">
        <v>159</v>
      </c>
      <c r="E160" s="9">
        <v>159</v>
      </c>
      <c r="F160" s="7">
        <v>159</v>
      </c>
      <c r="G160" s="11" t="s">
        <v>1023</v>
      </c>
      <c r="H160" s="20">
        <v>1197</v>
      </c>
      <c r="I160" s="12">
        <v>44756</v>
      </c>
      <c r="J160" s="12">
        <v>44879</v>
      </c>
      <c r="K160" s="25">
        <v>546</v>
      </c>
      <c r="L160" s="23">
        <v>651</v>
      </c>
      <c r="M160" s="11"/>
      <c r="N160" s="7" t="str">
        <f ca="1">_xlfn.IFNA(VLOOKUP("2"&amp;B160,CountSpecific!E:F,2,0),"")</f>
        <v/>
      </c>
      <c r="O160" s="14" t="str">
        <f ca="1">_xlfn.IFNA(VLOOKUP("3"&amp;B160,CountSpecific!E:F,2,0),"")</f>
        <v/>
      </c>
      <c r="P160" s="7" t="str">
        <f ca="1">_xlfn.IFNA(VLOOKUP("4"&amp;B160,CountSpecific!E:F,2,0),"")</f>
        <v/>
      </c>
    </row>
    <row r="161" spans="1:16" customFormat="1" x14ac:dyDescent="0.25">
      <c r="A161" s="7">
        <v>160</v>
      </c>
      <c r="B161" s="11" t="s">
        <v>176</v>
      </c>
      <c r="C161" s="7" t="s">
        <v>1039</v>
      </c>
      <c r="D161" s="7">
        <v>160</v>
      </c>
      <c r="E161" s="7">
        <v>160</v>
      </c>
      <c r="F161" s="7">
        <v>160</v>
      </c>
      <c r="G161" s="11" t="s">
        <v>1025</v>
      </c>
      <c r="H161" s="20">
        <v>153233</v>
      </c>
      <c r="I161" s="12">
        <v>45503</v>
      </c>
      <c r="J161" s="12">
        <v>45565</v>
      </c>
      <c r="K161" s="25">
        <v>4241</v>
      </c>
      <c r="L161" s="23">
        <v>148992</v>
      </c>
      <c r="M161" s="11"/>
      <c r="N161" s="7" t="str">
        <f ca="1">_xlfn.IFNA(VLOOKUP("2"&amp;B161,CountSpecific!E:F,2,0),"")</f>
        <v/>
      </c>
      <c r="O161" s="14" t="str">
        <f ca="1">_xlfn.IFNA(VLOOKUP("3"&amp;B161,CountSpecific!E:F,2,0),"")</f>
        <v/>
      </c>
      <c r="P161" s="7" t="str">
        <f ca="1">_xlfn.IFNA(VLOOKUP("4"&amp;B161,CountSpecific!E:F,2,0),"")</f>
        <v/>
      </c>
    </row>
    <row r="162" spans="1:16" customFormat="1" x14ac:dyDescent="0.25">
      <c r="A162" s="7">
        <v>161</v>
      </c>
      <c r="B162" s="11" t="s">
        <v>177</v>
      </c>
      <c r="C162" s="7" t="s">
        <v>1039</v>
      </c>
      <c r="D162" s="7">
        <v>161</v>
      </c>
      <c r="E162" s="7">
        <v>161</v>
      </c>
      <c r="F162" s="7">
        <v>161</v>
      </c>
      <c r="G162" s="11" t="s">
        <v>1025</v>
      </c>
      <c r="H162" s="20">
        <v>349002</v>
      </c>
      <c r="I162" s="12">
        <v>44320</v>
      </c>
      <c r="J162" s="12">
        <v>44655</v>
      </c>
      <c r="K162" s="25">
        <v>341410</v>
      </c>
      <c r="L162" s="23">
        <v>7592</v>
      </c>
      <c r="M162" s="11"/>
      <c r="N162" s="7" t="str">
        <f ca="1">_xlfn.IFNA(VLOOKUP("2"&amp;B162,CountSpecific!E:F,2,0),"")</f>
        <v/>
      </c>
      <c r="O162" s="14" t="str">
        <f ca="1">_xlfn.IFNA(VLOOKUP("3"&amp;B162,CountSpecific!E:F,2,0),"")</f>
        <v/>
      </c>
      <c r="P162" s="7" t="str">
        <f ca="1">_xlfn.IFNA(VLOOKUP("4"&amp;B162,CountSpecific!E:F,2,0),"")</f>
        <v/>
      </c>
    </row>
    <row r="163" spans="1:16" customFormat="1" x14ac:dyDescent="0.25">
      <c r="A163" s="7">
        <v>162</v>
      </c>
      <c r="B163" s="11" t="s">
        <v>178</v>
      </c>
      <c r="C163" s="7" t="s">
        <v>1039</v>
      </c>
      <c r="D163" s="7">
        <v>162</v>
      </c>
      <c r="E163" s="9">
        <v>162</v>
      </c>
      <c r="F163" s="7">
        <v>162</v>
      </c>
      <c r="G163" s="11" t="s">
        <v>1020</v>
      </c>
      <c r="H163" s="20">
        <v>325912</v>
      </c>
      <c r="I163" s="12">
        <v>45695</v>
      </c>
      <c r="J163" s="12">
        <v>46119</v>
      </c>
      <c r="K163" s="25">
        <v>84909</v>
      </c>
      <c r="L163" s="23">
        <v>241003</v>
      </c>
      <c r="M163" s="11"/>
      <c r="N163" s="7" t="str">
        <f ca="1">_xlfn.IFNA(VLOOKUP("2"&amp;B163,CountSpecific!E:F,2,0),"")</f>
        <v/>
      </c>
      <c r="O163" s="14" t="str">
        <f ca="1">_xlfn.IFNA(VLOOKUP("3"&amp;B163,CountSpecific!E:F,2,0),"")</f>
        <v/>
      </c>
      <c r="P163" s="7" t="str">
        <f ca="1">_xlfn.IFNA(VLOOKUP("4"&amp;B163,CountSpecific!E:F,2,0),"")</f>
        <v/>
      </c>
    </row>
    <row r="164" spans="1:16" customFormat="1" x14ac:dyDescent="0.25">
      <c r="A164" s="7">
        <v>163</v>
      </c>
      <c r="B164" s="11" t="s">
        <v>179</v>
      </c>
      <c r="C164" s="7" t="s">
        <v>1039</v>
      </c>
      <c r="D164" s="7">
        <v>163</v>
      </c>
      <c r="E164" s="7">
        <v>163</v>
      </c>
      <c r="F164" s="7">
        <v>163</v>
      </c>
      <c r="G164" s="11" t="s">
        <v>1025</v>
      </c>
      <c r="H164" s="20">
        <v>443994</v>
      </c>
      <c r="I164" s="12">
        <v>45473</v>
      </c>
      <c r="J164" s="12">
        <v>45716</v>
      </c>
      <c r="K164" s="25">
        <v>168111</v>
      </c>
      <c r="L164" s="23">
        <v>275883</v>
      </c>
      <c r="M164" s="11"/>
      <c r="N164" s="7" t="str">
        <f ca="1">_xlfn.IFNA(VLOOKUP("2"&amp;B164,CountSpecific!E:F,2,0),"")</f>
        <v/>
      </c>
      <c r="O164" s="14" t="str">
        <f ca="1">_xlfn.IFNA(VLOOKUP("3"&amp;B164,CountSpecific!E:F,2,0),"")</f>
        <v/>
      </c>
      <c r="P164" s="7" t="str">
        <f ca="1">_xlfn.IFNA(VLOOKUP("4"&amp;B164,CountSpecific!E:F,2,0),"")</f>
        <v/>
      </c>
    </row>
    <row r="165" spans="1:16" customFormat="1" x14ac:dyDescent="0.25">
      <c r="A165" s="7">
        <v>164</v>
      </c>
      <c r="B165" s="11" t="s">
        <v>180</v>
      </c>
      <c r="C165" s="7" t="s">
        <v>1039</v>
      </c>
      <c r="D165" s="7">
        <v>164</v>
      </c>
      <c r="E165" s="7">
        <v>164</v>
      </c>
      <c r="F165" s="7">
        <v>164</v>
      </c>
      <c r="G165" s="11" t="s">
        <v>1025</v>
      </c>
      <c r="H165" s="20">
        <v>491563</v>
      </c>
      <c r="I165" s="12">
        <v>44075</v>
      </c>
      <c r="J165" s="12">
        <v>44136</v>
      </c>
      <c r="K165" s="25">
        <v>221214</v>
      </c>
      <c r="L165" s="23">
        <v>270349</v>
      </c>
      <c r="M165" s="11"/>
      <c r="N165" s="7" t="str">
        <f ca="1">_xlfn.IFNA(VLOOKUP("2"&amp;B165,CountSpecific!E:F,2,0),"")</f>
        <v/>
      </c>
      <c r="O165" s="14" t="str">
        <f ca="1">_xlfn.IFNA(VLOOKUP("3"&amp;B165,CountSpecific!E:F,2,0),"")</f>
        <v/>
      </c>
      <c r="P165" s="7" t="str">
        <f ca="1">_xlfn.IFNA(VLOOKUP("4"&amp;B165,CountSpecific!E:F,2,0),"")</f>
        <v/>
      </c>
    </row>
    <row r="166" spans="1:16" customFormat="1" x14ac:dyDescent="0.25">
      <c r="A166" s="7">
        <v>165</v>
      </c>
      <c r="B166" s="11" t="s">
        <v>181</v>
      </c>
      <c r="C166" s="7" t="s">
        <v>1039</v>
      </c>
      <c r="D166" s="7">
        <v>165</v>
      </c>
      <c r="E166" s="9">
        <v>165</v>
      </c>
      <c r="F166" s="7">
        <v>165</v>
      </c>
      <c r="G166" s="11" t="s">
        <v>1025</v>
      </c>
      <c r="H166" s="20">
        <v>352016</v>
      </c>
      <c r="I166" s="12">
        <v>44019</v>
      </c>
      <c r="J166" s="12">
        <v>44203</v>
      </c>
      <c r="K166" s="25">
        <v>242502</v>
      </c>
      <c r="L166" s="23">
        <v>109514</v>
      </c>
      <c r="M166" s="11"/>
      <c r="N166" s="7" t="str">
        <f ca="1">_xlfn.IFNA(VLOOKUP("2"&amp;B166,CountSpecific!E:F,2,0),"")</f>
        <v/>
      </c>
      <c r="O166" s="14" t="str">
        <f ca="1">_xlfn.IFNA(VLOOKUP("3"&amp;B166,CountSpecific!E:F,2,0),"")</f>
        <v/>
      </c>
      <c r="P166" s="7" t="str">
        <f ca="1">_xlfn.IFNA(VLOOKUP("4"&amp;B166,CountSpecific!E:F,2,0),"")</f>
        <v/>
      </c>
    </row>
    <row r="167" spans="1:16" customFormat="1" x14ac:dyDescent="0.25">
      <c r="A167" s="7">
        <v>166</v>
      </c>
      <c r="B167" s="11" t="s">
        <v>182</v>
      </c>
      <c r="C167" s="7" t="s">
        <v>1039</v>
      </c>
      <c r="D167" s="7">
        <v>166</v>
      </c>
      <c r="E167" s="7">
        <v>166</v>
      </c>
      <c r="F167" s="7">
        <v>166</v>
      </c>
      <c r="G167" s="11" t="s">
        <v>1024</v>
      </c>
      <c r="H167" s="20">
        <v>857504</v>
      </c>
      <c r="I167" s="12">
        <v>44561</v>
      </c>
      <c r="J167" s="12">
        <v>44681</v>
      </c>
      <c r="K167" s="25">
        <v>611838</v>
      </c>
      <c r="L167" s="23">
        <v>245666</v>
      </c>
      <c r="M167" s="11"/>
      <c r="N167" s="7" t="str">
        <f ca="1">_xlfn.IFNA(VLOOKUP("2"&amp;B167,CountSpecific!E:F,2,0),"")</f>
        <v/>
      </c>
      <c r="O167" s="14" t="str">
        <f ca="1">_xlfn.IFNA(VLOOKUP("3"&amp;B167,CountSpecific!E:F,2,0),"")</f>
        <v/>
      </c>
      <c r="P167" s="7" t="str">
        <f ca="1">_xlfn.IFNA(VLOOKUP("4"&amp;B167,CountSpecific!E:F,2,0),"")</f>
        <v/>
      </c>
    </row>
    <row r="168" spans="1:16" customFormat="1" x14ac:dyDescent="0.25">
      <c r="A168" s="7">
        <v>167</v>
      </c>
      <c r="B168" s="11" t="s">
        <v>183</v>
      </c>
      <c r="C168" s="7" t="s">
        <v>1039</v>
      </c>
      <c r="D168" s="7">
        <v>167</v>
      </c>
      <c r="E168" s="7">
        <v>167</v>
      </c>
      <c r="F168" s="7">
        <v>167</v>
      </c>
      <c r="G168" s="11" t="s">
        <v>1026</v>
      </c>
      <c r="H168" s="20">
        <v>850251</v>
      </c>
      <c r="I168" s="12">
        <v>44834</v>
      </c>
      <c r="J168" s="12">
        <v>45381</v>
      </c>
      <c r="K168" s="25">
        <v>740113</v>
      </c>
      <c r="L168" s="23">
        <v>110138</v>
      </c>
      <c r="M168" s="11"/>
      <c r="N168" s="7" t="str">
        <f ca="1">_xlfn.IFNA(VLOOKUP("2"&amp;B168,CountSpecific!E:F,2,0),"")</f>
        <v/>
      </c>
      <c r="O168" s="14" t="str">
        <f ca="1">_xlfn.IFNA(VLOOKUP("3"&amp;B168,CountSpecific!E:F,2,0),"")</f>
        <v/>
      </c>
      <c r="P168" s="7" t="str">
        <f ca="1">_xlfn.IFNA(VLOOKUP("4"&amp;B168,CountSpecific!E:F,2,0),"")</f>
        <v/>
      </c>
    </row>
    <row r="169" spans="1:16" customFormat="1" x14ac:dyDescent="0.25">
      <c r="A169" s="7">
        <v>168</v>
      </c>
      <c r="B169" s="11" t="s">
        <v>184</v>
      </c>
      <c r="C169" s="7" t="s">
        <v>1039</v>
      </c>
      <c r="D169" s="7">
        <v>168</v>
      </c>
      <c r="E169" s="9">
        <v>168</v>
      </c>
      <c r="F169" s="7">
        <v>168</v>
      </c>
      <c r="G169" s="11" t="s">
        <v>1023</v>
      </c>
      <c r="H169" s="20">
        <v>95</v>
      </c>
      <c r="I169" s="12">
        <v>45389</v>
      </c>
      <c r="J169" s="12">
        <v>45633</v>
      </c>
      <c r="K169" s="25">
        <v>28</v>
      </c>
      <c r="L169" s="23">
        <v>67</v>
      </c>
      <c r="M169" s="11"/>
      <c r="N169" s="7" t="str">
        <f ca="1">_xlfn.IFNA(VLOOKUP("2"&amp;B169,CountSpecific!E:F,2,0),"")</f>
        <v/>
      </c>
      <c r="O169" s="14" t="str">
        <f ca="1">_xlfn.IFNA(VLOOKUP("3"&amp;B169,CountSpecific!E:F,2,0),"")</f>
        <v/>
      </c>
      <c r="P169" s="7" t="str">
        <f ca="1">_xlfn.IFNA(VLOOKUP("4"&amp;B169,CountSpecific!E:F,2,0),"")</f>
        <v/>
      </c>
    </row>
    <row r="170" spans="1:16" customFormat="1" x14ac:dyDescent="0.25">
      <c r="A170" s="7">
        <v>169</v>
      </c>
      <c r="B170" s="11" t="s">
        <v>185</v>
      </c>
      <c r="C170" s="7" t="s">
        <v>1039</v>
      </c>
      <c r="D170" s="7">
        <v>169</v>
      </c>
      <c r="E170" s="7">
        <v>169</v>
      </c>
      <c r="F170" s="7">
        <v>169</v>
      </c>
      <c r="G170" s="11" t="s">
        <v>1027</v>
      </c>
      <c r="H170" s="20">
        <v>16511</v>
      </c>
      <c r="I170" s="12">
        <v>44293</v>
      </c>
      <c r="J170" s="12">
        <v>44384</v>
      </c>
      <c r="K170" s="25">
        <v>1594</v>
      </c>
      <c r="L170" s="23">
        <v>14917</v>
      </c>
      <c r="M170" s="11"/>
      <c r="N170" s="7" t="str">
        <f ca="1">_xlfn.IFNA(VLOOKUP("2"&amp;B170,CountSpecific!E:F,2,0),"")</f>
        <v/>
      </c>
      <c r="O170" s="14" t="str">
        <f ca="1">_xlfn.IFNA(VLOOKUP("3"&amp;B170,CountSpecific!E:F,2,0),"")</f>
        <v/>
      </c>
      <c r="P170" s="7" t="str">
        <f ca="1">_xlfn.IFNA(VLOOKUP("4"&amp;B170,CountSpecific!E:F,2,0),"")</f>
        <v/>
      </c>
    </row>
    <row r="171" spans="1:16" customFormat="1" x14ac:dyDescent="0.25">
      <c r="A171" s="7">
        <v>170</v>
      </c>
      <c r="B171" s="11" t="s">
        <v>186</v>
      </c>
      <c r="C171" s="7" t="s">
        <v>1039</v>
      </c>
      <c r="D171" s="7">
        <v>170</v>
      </c>
      <c r="E171" s="7">
        <v>170</v>
      </c>
      <c r="F171" s="7">
        <v>170</v>
      </c>
      <c r="G171" s="11" t="s">
        <v>1024</v>
      </c>
      <c r="H171" s="20">
        <v>456177</v>
      </c>
      <c r="I171" s="12">
        <v>44108</v>
      </c>
      <c r="J171" s="12">
        <v>44259</v>
      </c>
      <c r="K171" s="25">
        <v>253968</v>
      </c>
      <c r="L171" s="23">
        <v>202209</v>
      </c>
      <c r="M171" s="11"/>
      <c r="N171" s="7" t="str">
        <f ca="1">_xlfn.IFNA(VLOOKUP("2"&amp;B171,CountSpecific!E:F,2,0),"")</f>
        <v/>
      </c>
      <c r="O171" s="14" t="str">
        <f ca="1">_xlfn.IFNA(VLOOKUP("3"&amp;B171,CountSpecific!E:F,2,0),"")</f>
        <v/>
      </c>
      <c r="P171" s="7" t="str">
        <f ca="1">_xlfn.IFNA(VLOOKUP("4"&amp;B171,CountSpecific!E:F,2,0),"")</f>
        <v/>
      </c>
    </row>
    <row r="172" spans="1:16" customFormat="1" x14ac:dyDescent="0.25">
      <c r="A172" s="7">
        <v>171</v>
      </c>
      <c r="B172" s="11" t="s">
        <v>187</v>
      </c>
      <c r="C172" s="7" t="s">
        <v>1039</v>
      </c>
      <c r="D172" s="7">
        <v>171</v>
      </c>
      <c r="E172" s="9">
        <v>171</v>
      </c>
      <c r="F172" s="7">
        <v>171</v>
      </c>
      <c r="G172" s="11" t="s">
        <v>1023</v>
      </c>
      <c r="H172" s="20">
        <v>130</v>
      </c>
      <c r="I172" s="12">
        <v>45414</v>
      </c>
      <c r="J172" s="12">
        <v>45871</v>
      </c>
      <c r="K172" s="25">
        <v>1</v>
      </c>
      <c r="L172" s="23">
        <v>129</v>
      </c>
      <c r="M172" s="11"/>
      <c r="N172" s="7" t="str">
        <f ca="1">_xlfn.IFNA(VLOOKUP("2"&amp;B172,CountSpecific!E:F,2,0),"")</f>
        <v/>
      </c>
      <c r="O172" s="14" t="str">
        <f ca="1">_xlfn.IFNA(VLOOKUP("3"&amp;B172,CountSpecific!E:F,2,0),"")</f>
        <v/>
      </c>
      <c r="P172" s="7" t="str">
        <f ca="1">_xlfn.IFNA(VLOOKUP("4"&amp;B172,CountSpecific!E:F,2,0),"")</f>
        <v/>
      </c>
    </row>
    <row r="173" spans="1:16" customFormat="1" x14ac:dyDescent="0.25">
      <c r="A173" s="7">
        <v>172</v>
      </c>
      <c r="B173" s="11" t="s">
        <v>188</v>
      </c>
      <c r="C173" s="7" t="s">
        <v>1039</v>
      </c>
      <c r="D173" s="7">
        <v>172</v>
      </c>
      <c r="E173" s="7">
        <v>172</v>
      </c>
      <c r="F173" s="7">
        <v>172</v>
      </c>
      <c r="G173" s="11" t="s">
        <v>1020</v>
      </c>
      <c r="H173" s="20">
        <v>374472</v>
      </c>
      <c r="I173" s="12">
        <v>43879</v>
      </c>
      <c r="J173" s="12">
        <v>44334</v>
      </c>
      <c r="K173" s="25">
        <v>63716</v>
      </c>
      <c r="L173" s="23">
        <v>310756</v>
      </c>
      <c r="M173" s="11"/>
      <c r="N173" s="7" t="str">
        <f ca="1">_xlfn.IFNA(VLOOKUP("2"&amp;B173,CountSpecific!E:F,2,0),"")</f>
        <v/>
      </c>
      <c r="O173" s="14" t="str">
        <f ca="1">_xlfn.IFNA(VLOOKUP("3"&amp;B173,CountSpecific!E:F,2,0),"")</f>
        <v/>
      </c>
      <c r="P173" s="7" t="str">
        <f ca="1">_xlfn.IFNA(VLOOKUP("4"&amp;B173,CountSpecific!E:F,2,0),"")</f>
        <v/>
      </c>
    </row>
    <row r="174" spans="1:16" customFormat="1" x14ac:dyDescent="0.25">
      <c r="A174" s="7">
        <v>173</v>
      </c>
      <c r="B174" s="11" t="s">
        <v>189</v>
      </c>
      <c r="C174" s="7" t="s">
        <v>1039</v>
      </c>
      <c r="D174" s="7">
        <v>173</v>
      </c>
      <c r="E174" s="7">
        <v>173</v>
      </c>
      <c r="F174" s="7">
        <v>173</v>
      </c>
      <c r="G174" s="11" t="s">
        <v>1026</v>
      </c>
      <c r="H174" s="20">
        <v>4854120</v>
      </c>
      <c r="I174" s="12">
        <v>44504</v>
      </c>
      <c r="J174" s="12">
        <v>44869</v>
      </c>
      <c r="K174" s="25">
        <v>1930893</v>
      </c>
      <c r="L174" s="23">
        <v>2923227</v>
      </c>
      <c r="M174" s="11"/>
      <c r="N174" s="7" t="str">
        <f ca="1">_xlfn.IFNA(VLOOKUP("2"&amp;B174,CountSpecific!E:F,2,0),"")</f>
        <v/>
      </c>
      <c r="O174" s="14" t="str">
        <f ca="1">_xlfn.IFNA(VLOOKUP("3"&amp;B174,CountSpecific!E:F,2,0),"")</f>
        <v/>
      </c>
      <c r="P174" s="7" t="str">
        <f ca="1">_xlfn.IFNA(VLOOKUP("4"&amp;B174,CountSpecific!E:F,2,0),"")</f>
        <v/>
      </c>
    </row>
    <row r="175" spans="1:16" customFormat="1" x14ac:dyDescent="0.25">
      <c r="A175" s="7">
        <v>174</v>
      </c>
      <c r="B175" s="11" t="s">
        <v>190</v>
      </c>
      <c r="C175" s="7" t="s">
        <v>1039</v>
      </c>
      <c r="D175" s="7">
        <v>174</v>
      </c>
      <c r="E175" s="9">
        <v>174</v>
      </c>
      <c r="F175" s="7">
        <v>174</v>
      </c>
      <c r="G175" s="11" t="s">
        <v>1027</v>
      </c>
      <c r="H175" s="20">
        <v>15325</v>
      </c>
      <c r="I175" s="12">
        <v>44808</v>
      </c>
      <c r="J175" s="12">
        <v>44930</v>
      </c>
      <c r="K175" s="25">
        <v>2808</v>
      </c>
      <c r="L175" s="23">
        <v>12517</v>
      </c>
      <c r="M175" s="11"/>
      <c r="N175" s="7" t="str">
        <f ca="1">_xlfn.IFNA(VLOOKUP("2"&amp;B175,CountSpecific!E:F,2,0),"")</f>
        <v/>
      </c>
      <c r="O175" s="14" t="str">
        <f ca="1">_xlfn.IFNA(VLOOKUP("3"&amp;B175,CountSpecific!E:F,2,0),"")</f>
        <v/>
      </c>
      <c r="P175" s="7" t="str">
        <f ca="1">_xlfn.IFNA(VLOOKUP("4"&amp;B175,CountSpecific!E:F,2,0),"")</f>
        <v/>
      </c>
    </row>
    <row r="176" spans="1:16" customFormat="1" x14ac:dyDescent="0.25">
      <c r="A176" s="7">
        <v>175</v>
      </c>
      <c r="B176" s="11" t="s">
        <v>191</v>
      </c>
      <c r="C176" s="7" t="s">
        <v>1039</v>
      </c>
      <c r="D176" s="7">
        <v>175</v>
      </c>
      <c r="E176" s="7">
        <v>175</v>
      </c>
      <c r="F176" s="7">
        <v>175</v>
      </c>
      <c r="G176" s="11" t="s">
        <v>1020</v>
      </c>
      <c r="H176" s="20">
        <v>163821</v>
      </c>
      <c r="I176" s="12">
        <v>45237</v>
      </c>
      <c r="J176" s="12">
        <v>45723</v>
      </c>
      <c r="K176" s="25">
        <v>6791</v>
      </c>
      <c r="L176" s="23">
        <v>157030</v>
      </c>
      <c r="M176" s="11"/>
      <c r="N176" s="7" t="str">
        <f ca="1">_xlfn.IFNA(VLOOKUP("2"&amp;B176,CountSpecific!E:F,2,0),"")</f>
        <v/>
      </c>
      <c r="O176" s="14" t="str">
        <f ca="1">_xlfn.IFNA(VLOOKUP("3"&amp;B176,CountSpecific!E:F,2,0),"")</f>
        <v/>
      </c>
      <c r="P176" s="7" t="str">
        <f ca="1">_xlfn.IFNA(VLOOKUP("4"&amp;B176,CountSpecific!E:F,2,0),"")</f>
        <v/>
      </c>
    </row>
    <row r="177" spans="1:16" customFormat="1" x14ac:dyDescent="0.25">
      <c r="A177" s="7">
        <v>176</v>
      </c>
      <c r="B177" s="11" t="s">
        <v>192</v>
      </c>
      <c r="C177" s="7" t="s">
        <v>1039</v>
      </c>
      <c r="D177" s="7">
        <v>176</v>
      </c>
      <c r="E177" s="7">
        <v>176</v>
      </c>
      <c r="F177" s="7">
        <v>176</v>
      </c>
      <c r="G177" s="11" t="s">
        <v>1023</v>
      </c>
      <c r="H177" s="20">
        <v>679</v>
      </c>
      <c r="I177" s="12">
        <v>45021</v>
      </c>
      <c r="J177" s="12">
        <v>45143</v>
      </c>
      <c r="K177" s="25">
        <v>296</v>
      </c>
      <c r="L177" s="23">
        <v>383</v>
      </c>
      <c r="M177" s="11"/>
      <c r="N177" s="7" t="str">
        <f ca="1">_xlfn.IFNA(VLOOKUP("2"&amp;B177,CountSpecific!E:F,2,0),"")</f>
        <v/>
      </c>
      <c r="O177" s="14" t="str">
        <f ca="1">_xlfn.IFNA(VLOOKUP("3"&amp;B177,CountSpecific!E:F,2,0),"")</f>
        <v/>
      </c>
      <c r="P177" s="7" t="str">
        <f ca="1">_xlfn.IFNA(VLOOKUP("4"&amp;B177,CountSpecific!E:F,2,0),"")</f>
        <v/>
      </c>
    </row>
    <row r="178" spans="1:16" customFormat="1" x14ac:dyDescent="0.25">
      <c r="A178" s="7">
        <v>177</v>
      </c>
      <c r="B178" s="11" t="s">
        <v>193</v>
      </c>
      <c r="C178" s="7" t="s">
        <v>1039</v>
      </c>
      <c r="D178" s="7">
        <v>177</v>
      </c>
      <c r="E178" s="9">
        <v>177</v>
      </c>
      <c r="F178" s="7">
        <v>177</v>
      </c>
      <c r="G178" s="11" t="s">
        <v>1022</v>
      </c>
      <c r="H178" s="20">
        <v>26795</v>
      </c>
      <c r="I178" s="12">
        <v>45272</v>
      </c>
      <c r="J178" s="12">
        <v>45789</v>
      </c>
      <c r="K178" s="25">
        <v>166</v>
      </c>
      <c r="L178" s="23">
        <v>26629</v>
      </c>
      <c r="M178" s="11"/>
      <c r="N178" s="7" t="str">
        <f ca="1">_xlfn.IFNA(VLOOKUP("2"&amp;B178,CountSpecific!E:F,2,0),"")</f>
        <v/>
      </c>
      <c r="O178" s="14" t="str">
        <f ca="1">_xlfn.IFNA(VLOOKUP("3"&amp;B178,CountSpecific!E:F,2,0),"")</f>
        <v/>
      </c>
      <c r="P178" s="7" t="str">
        <f ca="1">_xlfn.IFNA(VLOOKUP("4"&amp;B178,CountSpecific!E:F,2,0),"")</f>
        <v/>
      </c>
    </row>
    <row r="179" spans="1:16" customFormat="1" x14ac:dyDescent="0.25">
      <c r="A179" s="7">
        <v>178</v>
      </c>
      <c r="B179" s="11" t="s">
        <v>194</v>
      </c>
      <c r="C179" s="7" t="s">
        <v>1039</v>
      </c>
      <c r="D179" s="7">
        <v>178</v>
      </c>
      <c r="E179" s="7">
        <v>178</v>
      </c>
      <c r="F179" s="7">
        <v>178</v>
      </c>
      <c r="G179" s="11" t="s">
        <v>1020</v>
      </c>
      <c r="H179" s="20">
        <v>202112</v>
      </c>
      <c r="I179" s="12">
        <v>44496</v>
      </c>
      <c r="J179" s="12">
        <v>45196</v>
      </c>
      <c r="K179" s="25">
        <v>183032</v>
      </c>
      <c r="L179" s="23">
        <v>19080</v>
      </c>
      <c r="M179" s="11"/>
      <c r="N179" s="7" t="str">
        <f ca="1">_xlfn.IFNA(VLOOKUP("2"&amp;B179,CountSpecific!E:F,2,0),"")</f>
        <v/>
      </c>
      <c r="O179" s="14" t="str">
        <f ca="1">_xlfn.IFNA(VLOOKUP("3"&amp;B179,CountSpecific!E:F,2,0),"")</f>
        <v/>
      </c>
      <c r="P179" s="7" t="str">
        <f ca="1">_xlfn.IFNA(VLOOKUP("4"&amp;B179,CountSpecific!E:F,2,0),"")</f>
        <v/>
      </c>
    </row>
    <row r="180" spans="1:16" customFormat="1" x14ac:dyDescent="0.25">
      <c r="A180" s="7">
        <v>179</v>
      </c>
      <c r="B180" s="11" t="s">
        <v>195</v>
      </c>
      <c r="C180" s="7" t="s">
        <v>1039</v>
      </c>
      <c r="D180" s="7">
        <v>179</v>
      </c>
      <c r="E180" s="7">
        <v>179</v>
      </c>
      <c r="F180" s="7">
        <v>179</v>
      </c>
      <c r="G180" s="11" t="s">
        <v>1021</v>
      </c>
      <c r="H180" s="20">
        <v>75082</v>
      </c>
      <c r="I180" s="12">
        <v>43925</v>
      </c>
      <c r="J180" s="12">
        <v>44290</v>
      </c>
      <c r="K180" s="25">
        <v>38777</v>
      </c>
      <c r="L180" s="23">
        <v>36305</v>
      </c>
      <c r="M180" s="11"/>
      <c r="N180" s="7" t="str">
        <f ca="1">_xlfn.IFNA(VLOOKUP("2"&amp;B180,CountSpecific!E:F,2,0),"")</f>
        <v/>
      </c>
      <c r="O180" s="14" t="str">
        <f ca="1">_xlfn.IFNA(VLOOKUP("3"&amp;B180,CountSpecific!E:F,2,0),"")</f>
        <v/>
      </c>
      <c r="P180" s="7" t="str">
        <f ca="1">_xlfn.IFNA(VLOOKUP("4"&amp;B180,CountSpecific!E:F,2,0),"")</f>
        <v/>
      </c>
    </row>
    <row r="181" spans="1:16" customFormat="1" x14ac:dyDescent="0.25">
      <c r="A181" s="7">
        <v>180</v>
      </c>
      <c r="B181" s="11" t="s">
        <v>196</v>
      </c>
      <c r="C181" s="7" t="s">
        <v>1039</v>
      </c>
      <c r="D181" s="7">
        <v>180</v>
      </c>
      <c r="E181" s="9">
        <v>180</v>
      </c>
      <c r="F181" s="7">
        <v>180</v>
      </c>
      <c r="G181" s="11" t="s">
        <v>1026</v>
      </c>
      <c r="H181" s="20">
        <v>3469064</v>
      </c>
      <c r="I181" s="12">
        <v>44838</v>
      </c>
      <c r="J181" s="12">
        <v>45020</v>
      </c>
      <c r="K181" s="25">
        <v>2594721</v>
      </c>
      <c r="L181" s="23">
        <v>874343</v>
      </c>
      <c r="M181" s="11"/>
      <c r="N181" s="7" t="str">
        <f ca="1">_xlfn.IFNA(VLOOKUP("2"&amp;B181,CountSpecific!E:F,2,0),"")</f>
        <v/>
      </c>
      <c r="O181" s="14" t="str">
        <f ca="1">_xlfn.IFNA(VLOOKUP("3"&amp;B181,CountSpecific!E:F,2,0),"")</f>
        <v/>
      </c>
      <c r="P181" s="7" t="str">
        <f ca="1">_xlfn.IFNA(VLOOKUP("4"&amp;B181,CountSpecific!E:F,2,0),"")</f>
        <v/>
      </c>
    </row>
    <row r="182" spans="1:16" customFormat="1" x14ac:dyDescent="0.25">
      <c r="A182" s="7">
        <v>181</v>
      </c>
      <c r="B182" s="11" t="s">
        <v>197</v>
      </c>
      <c r="C182" s="7" t="s">
        <v>1039</v>
      </c>
      <c r="D182" s="7">
        <v>181</v>
      </c>
      <c r="E182" s="7">
        <v>181</v>
      </c>
      <c r="F182" s="7">
        <v>181</v>
      </c>
      <c r="G182" s="11" t="s">
        <v>1021</v>
      </c>
      <c r="H182" s="20">
        <v>98133</v>
      </c>
      <c r="I182" s="12">
        <v>44003</v>
      </c>
      <c r="J182" s="12">
        <v>44551</v>
      </c>
      <c r="K182" s="25">
        <v>32129</v>
      </c>
      <c r="L182" s="23">
        <v>66004</v>
      </c>
      <c r="M182" s="11"/>
      <c r="N182" s="7" t="str">
        <f ca="1">_xlfn.IFNA(VLOOKUP("2"&amp;B182,CountSpecific!E:F,2,0),"")</f>
        <v/>
      </c>
      <c r="O182" s="14" t="str">
        <f ca="1">_xlfn.IFNA(VLOOKUP("3"&amp;B182,CountSpecific!E:F,2,0),"")</f>
        <v/>
      </c>
      <c r="P182" s="7" t="str">
        <f ca="1">_xlfn.IFNA(VLOOKUP("4"&amp;B182,CountSpecific!E:F,2,0),"")</f>
        <v/>
      </c>
    </row>
    <row r="183" spans="1:16" customFormat="1" x14ac:dyDescent="0.25">
      <c r="A183" s="7">
        <v>182</v>
      </c>
      <c r="B183" s="11" t="s">
        <v>198</v>
      </c>
      <c r="C183" s="7" t="s">
        <v>1039</v>
      </c>
      <c r="D183" s="7">
        <v>182</v>
      </c>
      <c r="E183" s="7">
        <v>182</v>
      </c>
      <c r="F183" s="7">
        <v>182</v>
      </c>
      <c r="G183" s="11" t="s">
        <v>1026</v>
      </c>
      <c r="H183" s="20">
        <v>1327991</v>
      </c>
      <c r="I183" s="12">
        <v>44746</v>
      </c>
      <c r="J183" s="12">
        <v>45386</v>
      </c>
      <c r="K183" s="25">
        <v>1183839</v>
      </c>
      <c r="L183" s="23">
        <v>144152</v>
      </c>
      <c r="M183" s="11"/>
      <c r="N183" s="7" t="str">
        <f ca="1">_xlfn.IFNA(VLOOKUP("2"&amp;B183,CountSpecific!E:F,2,0),"")</f>
        <v/>
      </c>
      <c r="O183" s="14" t="str">
        <f ca="1">_xlfn.IFNA(VLOOKUP("3"&amp;B183,CountSpecific!E:F,2,0),"")</f>
        <v/>
      </c>
      <c r="P183" s="7" t="str">
        <f ca="1">_xlfn.IFNA(VLOOKUP("4"&amp;B183,CountSpecific!E:F,2,0),"")</f>
        <v/>
      </c>
    </row>
    <row r="184" spans="1:16" customFormat="1" x14ac:dyDescent="0.25">
      <c r="A184" s="7">
        <v>183</v>
      </c>
      <c r="B184" s="11" t="s">
        <v>199</v>
      </c>
      <c r="C184" s="7" t="s">
        <v>1039</v>
      </c>
      <c r="D184" s="7">
        <v>183</v>
      </c>
      <c r="E184" s="9">
        <v>183</v>
      </c>
      <c r="F184" s="7">
        <v>183</v>
      </c>
      <c r="G184" s="11" t="s">
        <v>1021</v>
      </c>
      <c r="H184" s="20">
        <v>4975</v>
      </c>
      <c r="I184" s="12">
        <v>44526</v>
      </c>
      <c r="J184" s="12">
        <v>45225</v>
      </c>
      <c r="K184" s="25">
        <v>2477</v>
      </c>
      <c r="L184" s="23">
        <v>2498</v>
      </c>
      <c r="M184" s="11"/>
      <c r="N184" s="7" t="str">
        <f ca="1">_xlfn.IFNA(VLOOKUP("2"&amp;B184,CountSpecific!E:F,2,0),"")</f>
        <v/>
      </c>
      <c r="O184" s="14" t="str">
        <f ca="1">_xlfn.IFNA(VLOOKUP("3"&amp;B184,CountSpecific!E:F,2,0),"")</f>
        <v/>
      </c>
      <c r="P184" s="7" t="str">
        <f ca="1">_xlfn.IFNA(VLOOKUP("4"&amp;B184,CountSpecific!E:F,2,0),"")</f>
        <v/>
      </c>
    </row>
    <row r="185" spans="1:16" customFormat="1" x14ac:dyDescent="0.25">
      <c r="A185" s="7">
        <v>184</v>
      </c>
      <c r="B185" s="11" t="s">
        <v>200</v>
      </c>
      <c r="C185" s="7" t="s">
        <v>1039</v>
      </c>
      <c r="D185" s="7">
        <v>184</v>
      </c>
      <c r="E185" s="7">
        <v>184</v>
      </c>
      <c r="F185" s="7">
        <v>184</v>
      </c>
      <c r="G185" s="11" t="s">
        <v>1025</v>
      </c>
      <c r="H185" s="20">
        <v>244240</v>
      </c>
      <c r="I185" s="12">
        <v>45535</v>
      </c>
      <c r="J185" s="12">
        <v>46203</v>
      </c>
      <c r="K185" s="25">
        <v>155872</v>
      </c>
      <c r="L185" s="23">
        <v>88368</v>
      </c>
      <c r="M185" s="11"/>
      <c r="N185" s="7" t="str">
        <f ca="1">_xlfn.IFNA(VLOOKUP("2"&amp;B185,CountSpecific!E:F,2,0),"")</f>
        <v/>
      </c>
      <c r="O185" s="14" t="str">
        <f ca="1">_xlfn.IFNA(VLOOKUP("3"&amp;B185,CountSpecific!E:F,2,0),"")</f>
        <v/>
      </c>
      <c r="P185" s="7" t="str">
        <f ca="1">_xlfn.IFNA(VLOOKUP("4"&amp;B185,CountSpecific!E:F,2,0),"")</f>
        <v/>
      </c>
    </row>
    <row r="186" spans="1:16" customFormat="1" x14ac:dyDescent="0.25">
      <c r="A186" s="7">
        <v>185</v>
      </c>
      <c r="B186" s="11" t="s">
        <v>201</v>
      </c>
      <c r="C186" s="7" t="s">
        <v>1039</v>
      </c>
      <c r="D186" s="7">
        <v>185</v>
      </c>
      <c r="E186" s="7">
        <v>185</v>
      </c>
      <c r="F186" s="7">
        <v>185</v>
      </c>
      <c r="G186" s="11" t="s">
        <v>1025</v>
      </c>
      <c r="H186" s="20">
        <v>316418</v>
      </c>
      <c r="I186" s="12">
        <v>45070</v>
      </c>
      <c r="J186" s="12">
        <v>45650</v>
      </c>
      <c r="K186" s="25">
        <v>28886</v>
      </c>
      <c r="L186" s="23">
        <v>287532</v>
      </c>
      <c r="M186" s="11"/>
      <c r="N186" s="7" t="str">
        <f ca="1">_xlfn.IFNA(VLOOKUP("2"&amp;B186,CountSpecific!E:F,2,0),"")</f>
        <v/>
      </c>
      <c r="O186" s="14" t="str">
        <f ca="1">_xlfn.IFNA(VLOOKUP("3"&amp;B186,CountSpecific!E:F,2,0),"")</f>
        <v/>
      </c>
      <c r="P186" s="7" t="str">
        <f ca="1">_xlfn.IFNA(VLOOKUP("4"&amp;B186,CountSpecific!E:F,2,0),"")</f>
        <v/>
      </c>
    </row>
    <row r="187" spans="1:16" customFormat="1" x14ac:dyDescent="0.25">
      <c r="A187" s="7">
        <v>186</v>
      </c>
      <c r="B187" s="11" t="s">
        <v>202</v>
      </c>
      <c r="C187" s="7" t="s">
        <v>1039</v>
      </c>
      <c r="D187" s="7">
        <v>186</v>
      </c>
      <c r="E187" s="9">
        <v>186</v>
      </c>
      <c r="F187" s="7">
        <v>186</v>
      </c>
      <c r="G187" s="11" t="s">
        <v>1016</v>
      </c>
      <c r="H187" s="20">
        <v>4869</v>
      </c>
      <c r="I187" s="12">
        <v>44750</v>
      </c>
      <c r="J187" s="12">
        <v>45299</v>
      </c>
      <c r="K187" s="25">
        <v>2526</v>
      </c>
      <c r="L187" s="23">
        <v>2343</v>
      </c>
      <c r="M187" s="11"/>
      <c r="N187" s="7" t="str">
        <f ca="1">_xlfn.IFNA(VLOOKUP("2"&amp;B187,CountSpecific!E:F,2,0),"")</f>
        <v/>
      </c>
      <c r="O187" s="14" t="str">
        <f ca="1">_xlfn.IFNA(VLOOKUP("3"&amp;B187,CountSpecific!E:F,2,0),"")</f>
        <v/>
      </c>
      <c r="P187" s="7" t="str">
        <f ca="1">_xlfn.IFNA(VLOOKUP("4"&amp;B187,CountSpecific!E:F,2,0),"")</f>
        <v/>
      </c>
    </row>
    <row r="188" spans="1:16" customFormat="1" x14ac:dyDescent="0.25">
      <c r="A188" s="7">
        <v>187</v>
      </c>
      <c r="B188" s="11" t="s">
        <v>203</v>
      </c>
      <c r="C188" s="7" t="s">
        <v>1039</v>
      </c>
      <c r="D188" s="7">
        <v>187</v>
      </c>
      <c r="E188" s="7">
        <v>187</v>
      </c>
      <c r="F188" s="7">
        <v>187</v>
      </c>
      <c r="G188" s="11" t="s">
        <v>1025</v>
      </c>
      <c r="H188" s="20">
        <v>179043</v>
      </c>
      <c r="I188" s="12">
        <v>45517</v>
      </c>
      <c r="J188" s="12">
        <v>46004</v>
      </c>
      <c r="K188" s="25">
        <v>106059</v>
      </c>
      <c r="L188" s="23">
        <v>72984</v>
      </c>
      <c r="M188" s="11"/>
      <c r="N188" s="7" t="str">
        <f ca="1">_xlfn.IFNA(VLOOKUP("2"&amp;B188,CountSpecific!E:F,2,0),"")</f>
        <v/>
      </c>
      <c r="O188" s="14" t="str">
        <f ca="1">_xlfn.IFNA(VLOOKUP("3"&amp;B188,CountSpecific!E:F,2,0),"")</f>
        <v/>
      </c>
      <c r="P188" s="7" t="str">
        <f ca="1">_xlfn.IFNA(VLOOKUP("4"&amp;B188,CountSpecific!E:F,2,0),"")</f>
        <v/>
      </c>
    </row>
    <row r="189" spans="1:16" customFormat="1" x14ac:dyDescent="0.25">
      <c r="A189" s="7">
        <v>188</v>
      </c>
      <c r="B189" s="11" t="s">
        <v>204</v>
      </c>
      <c r="C189" s="7" t="s">
        <v>1039</v>
      </c>
      <c r="D189" s="7">
        <v>188</v>
      </c>
      <c r="E189" s="7">
        <v>188</v>
      </c>
      <c r="F189" s="7">
        <v>188</v>
      </c>
      <c r="G189" s="11" t="s">
        <v>1023</v>
      </c>
      <c r="H189" s="20">
        <v>782</v>
      </c>
      <c r="I189" s="12">
        <v>44289</v>
      </c>
      <c r="J189" s="12">
        <v>44319</v>
      </c>
      <c r="K189" s="25">
        <v>478</v>
      </c>
      <c r="L189" s="23">
        <v>304</v>
      </c>
      <c r="M189" s="11"/>
      <c r="N189" s="7" t="str">
        <f ca="1">_xlfn.IFNA(VLOOKUP("2"&amp;B189,CountSpecific!E:F,2,0),"")</f>
        <v/>
      </c>
      <c r="O189" s="14" t="str">
        <f ca="1">_xlfn.IFNA(VLOOKUP("3"&amp;B189,CountSpecific!E:F,2,0),"")</f>
        <v/>
      </c>
      <c r="P189" s="7" t="str">
        <f ca="1">_xlfn.IFNA(VLOOKUP("4"&amp;B189,CountSpecific!E:F,2,0),"")</f>
        <v/>
      </c>
    </row>
    <row r="190" spans="1:16" customFormat="1" x14ac:dyDescent="0.25">
      <c r="A190" s="7">
        <v>189</v>
      </c>
      <c r="B190" s="11" t="s">
        <v>205</v>
      </c>
      <c r="C190" s="7" t="s">
        <v>1039</v>
      </c>
      <c r="D190" s="7">
        <v>189</v>
      </c>
      <c r="E190" s="9">
        <v>189</v>
      </c>
      <c r="F190" s="7">
        <v>189</v>
      </c>
      <c r="G190" s="11" t="s">
        <v>1023</v>
      </c>
      <c r="H190" s="20">
        <v>560</v>
      </c>
      <c r="I190" s="12">
        <v>45564</v>
      </c>
      <c r="J190" s="12">
        <v>45806</v>
      </c>
      <c r="K190" s="25">
        <v>74</v>
      </c>
      <c r="L190" s="23">
        <v>486</v>
      </c>
      <c r="M190" s="11"/>
      <c r="N190" s="7" t="str">
        <f ca="1">_xlfn.IFNA(VLOOKUP("2"&amp;B190,CountSpecific!E:F,2,0),"")</f>
        <v/>
      </c>
      <c r="O190" s="14" t="str">
        <f ca="1">_xlfn.IFNA(VLOOKUP("3"&amp;B190,CountSpecific!E:F,2,0),"")</f>
        <v/>
      </c>
      <c r="P190" s="7" t="str">
        <f ca="1">_xlfn.IFNA(VLOOKUP("4"&amp;B190,CountSpecific!E:F,2,0),"")</f>
        <v/>
      </c>
    </row>
    <row r="191" spans="1:16" customFormat="1" x14ac:dyDescent="0.25">
      <c r="A191" s="7">
        <v>190</v>
      </c>
      <c r="B191" s="11" t="s">
        <v>206</v>
      </c>
      <c r="C191" s="7" t="s">
        <v>1039</v>
      </c>
      <c r="D191" s="7">
        <v>190</v>
      </c>
      <c r="E191" s="7">
        <v>190</v>
      </c>
      <c r="F191" s="7">
        <v>190</v>
      </c>
      <c r="G191" s="11" t="s">
        <v>1027</v>
      </c>
      <c r="H191" s="20">
        <v>50575</v>
      </c>
      <c r="I191" s="12">
        <v>44343</v>
      </c>
      <c r="J191" s="12">
        <v>44466</v>
      </c>
      <c r="K191" s="25">
        <v>13758</v>
      </c>
      <c r="L191" s="23">
        <v>36817</v>
      </c>
      <c r="M191" s="11"/>
      <c r="N191" s="7" t="str">
        <f ca="1">_xlfn.IFNA(VLOOKUP("2"&amp;B191,CountSpecific!E:F,2,0),"")</f>
        <v/>
      </c>
      <c r="O191" s="14" t="str">
        <f ca="1">_xlfn.IFNA(VLOOKUP("3"&amp;B191,CountSpecific!E:F,2,0),"")</f>
        <v/>
      </c>
      <c r="P191" s="7" t="str">
        <f ca="1">_xlfn.IFNA(VLOOKUP("4"&amp;B191,CountSpecific!E:F,2,0),"")</f>
        <v/>
      </c>
    </row>
    <row r="192" spans="1:16" customFormat="1" x14ac:dyDescent="0.25">
      <c r="A192" s="7">
        <v>191</v>
      </c>
      <c r="B192" s="11" t="s">
        <v>207</v>
      </c>
      <c r="C192" s="7" t="s">
        <v>1039</v>
      </c>
      <c r="D192" s="7">
        <v>191</v>
      </c>
      <c r="E192" s="7">
        <v>191</v>
      </c>
      <c r="F192" s="7">
        <v>191</v>
      </c>
      <c r="G192" s="11" t="s">
        <v>1020</v>
      </c>
      <c r="H192" s="20">
        <v>159688</v>
      </c>
      <c r="I192" s="12">
        <v>44658</v>
      </c>
      <c r="J192" s="12">
        <v>44902</v>
      </c>
      <c r="K192" s="25">
        <v>5294</v>
      </c>
      <c r="L192" s="23">
        <v>154394</v>
      </c>
      <c r="M192" s="11"/>
      <c r="N192" s="7" t="str">
        <f ca="1">_xlfn.IFNA(VLOOKUP("2"&amp;B192,CountSpecific!E:F,2,0),"")</f>
        <v/>
      </c>
      <c r="O192" s="14" t="str">
        <f ca="1">_xlfn.IFNA(VLOOKUP("3"&amp;B192,CountSpecific!E:F,2,0),"")</f>
        <v/>
      </c>
      <c r="P192" s="7" t="str">
        <f ca="1">_xlfn.IFNA(VLOOKUP("4"&amp;B192,CountSpecific!E:F,2,0),"")</f>
        <v/>
      </c>
    </row>
    <row r="193" spans="1:16" customFormat="1" x14ac:dyDescent="0.25">
      <c r="A193" s="7">
        <v>192</v>
      </c>
      <c r="B193" s="11" t="s">
        <v>208</v>
      </c>
      <c r="C193" s="7" t="s">
        <v>1039</v>
      </c>
      <c r="D193" s="7">
        <v>192</v>
      </c>
      <c r="E193" s="9">
        <v>192</v>
      </c>
      <c r="F193" s="7">
        <v>192</v>
      </c>
      <c r="G193" s="11" t="s">
        <v>1025</v>
      </c>
      <c r="H193" s="20">
        <v>441362</v>
      </c>
      <c r="I193" s="12">
        <v>44276</v>
      </c>
      <c r="J193" s="12">
        <v>44368</v>
      </c>
      <c r="K193" s="25">
        <v>271813</v>
      </c>
      <c r="L193" s="23">
        <v>169549</v>
      </c>
      <c r="M193" s="11"/>
      <c r="N193" s="7" t="str">
        <f ca="1">_xlfn.IFNA(VLOOKUP("2"&amp;B193,CountSpecific!E:F,2,0),"")</f>
        <v/>
      </c>
      <c r="O193" s="14" t="str">
        <f ca="1">_xlfn.IFNA(VLOOKUP("3"&amp;B193,CountSpecific!E:F,2,0),"")</f>
        <v/>
      </c>
      <c r="P193" s="7" t="str">
        <f ca="1">_xlfn.IFNA(VLOOKUP("4"&amp;B193,CountSpecific!E:F,2,0),"")</f>
        <v/>
      </c>
    </row>
    <row r="194" spans="1:16" customFormat="1" x14ac:dyDescent="0.25">
      <c r="A194" s="7">
        <v>193</v>
      </c>
      <c r="B194" s="11" t="s">
        <v>209</v>
      </c>
      <c r="C194" s="7" t="s">
        <v>1039</v>
      </c>
      <c r="D194" s="7">
        <v>193</v>
      </c>
      <c r="E194" s="7">
        <v>193</v>
      </c>
      <c r="F194" s="7">
        <v>193</v>
      </c>
      <c r="G194" s="11" t="s">
        <v>1016</v>
      </c>
      <c r="H194" s="20">
        <v>23830</v>
      </c>
      <c r="I194" s="12">
        <v>44584</v>
      </c>
      <c r="J194" s="12">
        <v>45100</v>
      </c>
      <c r="K194" s="25">
        <v>22713</v>
      </c>
      <c r="L194" s="23">
        <v>1117</v>
      </c>
      <c r="M194" s="11"/>
      <c r="N194" s="7" t="str">
        <f ca="1">_xlfn.IFNA(VLOOKUP("2"&amp;B194,CountSpecific!E:F,2,0),"")</f>
        <v/>
      </c>
      <c r="O194" s="14" t="str">
        <f ca="1">_xlfn.IFNA(VLOOKUP("3"&amp;B194,CountSpecific!E:F,2,0),"")</f>
        <v/>
      </c>
      <c r="P194" s="7" t="str">
        <f ca="1">_xlfn.IFNA(VLOOKUP("4"&amp;B194,CountSpecific!E:F,2,0),"")</f>
        <v/>
      </c>
    </row>
    <row r="195" spans="1:16" customFormat="1" x14ac:dyDescent="0.25">
      <c r="A195" s="7">
        <v>194</v>
      </c>
      <c r="B195" s="11" t="s">
        <v>210</v>
      </c>
      <c r="C195" s="7" t="s">
        <v>1039</v>
      </c>
      <c r="D195" s="7">
        <v>194</v>
      </c>
      <c r="E195" s="7">
        <v>194</v>
      </c>
      <c r="F195" s="7">
        <v>194</v>
      </c>
      <c r="G195" s="11" t="s">
        <v>1026</v>
      </c>
      <c r="H195" s="20">
        <v>3503544</v>
      </c>
      <c r="I195" s="12">
        <v>45005</v>
      </c>
      <c r="J195" s="12">
        <v>45250</v>
      </c>
      <c r="K195" s="25">
        <v>2773839</v>
      </c>
      <c r="L195" s="23">
        <v>729705</v>
      </c>
      <c r="M195" s="11"/>
      <c r="N195" s="7" t="str">
        <f ca="1">_xlfn.IFNA(VLOOKUP("2"&amp;B195,CountSpecific!E:F,2,0),"")</f>
        <v/>
      </c>
      <c r="O195" s="14" t="str">
        <f ca="1">_xlfn.IFNA(VLOOKUP("3"&amp;B195,CountSpecific!E:F,2,0),"")</f>
        <v/>
      </c>
      <c r="P195" s="7" t="str">
        <f ca="1">_xlfn.IFNA(VLOOKUP("4"&amp;B195,CountSpecific!E:F,2,0),"")</f>
        <v/>
      </c>
    </row>
    <row r="196" spans="1:16" customFormat="1" x14ac:dyDescent="0.25">
      <c r="A196" s="7">
        <v>195</v>
      </c>
      <c r="B196" s="11" t="s">
        <v>211</v>
      </c>
      <c r="C196" s="7" t="s">
        <v>1039</v>
      </c>
      <c r="D196" s="7">
        <v>195</v>
      </c>
      <c r="E196" s="9">
        <v>195</v>
      </c>
      <c r="F196" s="7">
        <v>195</v>
      </c>
      <c r="G196" s="11" t="s">
        <v>1024</v>
      </c>
      <c r="H196" s="20">
        <v>120887</v>
      </c>
      <c r="I196" s="12">
        <v>43912</v>
      </c>
      <c r="J196" s="12">
        <v>44034</v>
      </c>
      <c r="K196" s="25">
        <v>104146</v>
      </c>
      <c r="L196" s="23">
        <v>16741</v>
      </c>
      <c r="M196" s="11"/>
      <c r="N196" s="7" t="str">
        <f ca="1">_xlfn.IFNA(VLOOKUP("2"&amp;B196,CountSpecific!E:F,2,0),"")</f>
        <v/>
      </c>
      <c r="O196" s="14" t="str">
        <f ca="1">_xlfn.IFNA(VLOOKUP("3"&amp;B196,CountSpecific!E:F,2,0),"")</f>
        <v/>
      </c>
      <c r="P196" s="7" t="str">
        <f ca="1">_xlfn.IFNA(VLOOKUP("4"&amp;B196,CountSpecific!E:F,2,0),"")</f>
        <v/>
      </c>
    </row>
    <row r="197" spans="1:16" customFormat="1" x14ac:dyDescent="0.25">
      <c r="A197" s="7">
        <v>196</v>
      </c>
      <c r="B197" s="11" t="s">
        <v>212</v>
      </c>
      <c r="C197" s="7" t="s">
        <v>1039</v>
      </c>
      <c r="D197" s="7">
        <v>196</v>
      </c>
      <c r="E197" s="7">
        <v>196</v>
      </c>
      <c r="F197" s="7">
        <v>196</v>
      </c>
      <c r="G197" s="11" t="s">
        <v>1026</v>
      </c>
      <c r="H197" s="20">
        <v>1748590</v>
      </c>
      <c r="I197" s="12">
        <v>45579</v>
      </c>
      <c r="J197" s="12">
        <v>46067</v>
      </c>
      <c r="K197" s="25">
        <v>1592940</v>
      </c>
      <c r="L197" s="23">
        <v>155650</v>
      </c>
      <c r="M197" s="11"/>
      <c r="N197" s="7" t="str">
        <f ca="1">_xlfn.IFNA(VLOOKUP("2"&amp;B197,CountSpecific!E:F,2,0),"")</f>
        <v/>
      </c>
      <c r="O197" s="14" t="str">
        <f ca="1">_xlfn.IFNA(VLOOKUP("3"&amp;B197,CountSpecific!E:F,2,0),"")</f>
        <v/>
      </c>
      <c r="P197" s="7" t="str">
        <f ca="1">_xlfn.IFNA(VLOOKUP("4"&amp;B197,CountSpecific!E:F,2,0),"")</f>
        <v/>
      </c>
    </row>
    <row r="198" spans="1:16" customFormat="1" x14ac:dyDescent="0.25">
      <c r="A198" s="7">
        <v>197</v>
      </c>
      <c r="B198" s="11" t="s">
        <v>213</v>
      </c>
      <c r="C198" s="7" t="s">
        <v>1039</v>
      </c>
      <c r="D198" s="7">
        <v>197</v>
      </c>
      <c r="E198" s="7">
        <v>197</v>
      </c>
      <c r="F198" s="7">
        <v>197</v>
      </c>
      <c r="G198" s="11" t="s">
        <v>1027</v>
      </c>
      <c r="H198" s="20">
        <v>48149</v>
      </c>
      <c r="I198" s="12">
        <v>44215</v>
      </c>
      <c r="J198" s="12">
        <v>44396</v>
      </c>
      <c r="K198" s="25">
        <v>18378</v>
      </c>
      <c r="L198" s="23">
        <v>29771</v>
      </c>
      <c r="M198" s="11"/>
      <c r="N198" s="7" t="str">
        <f ca="1">_xlfn.IFNA(VLOOKUP("2"&amp;B198,CountSpecific!E:F,2,0),"")</f>
        <v/>
      </c>
      <c r="O198" s="14" t="str">
        <f ca="1">_xlfn.IFNA(VLOOKUP("3"&amp;B198,CountSpecific!E:F,2,0),"")</f>
        <v/>
      </c>
      <c r="P198" s="7" t="str">
        <f ca="1">_xlfn.IFNA(VLOOKUP("4"&amp;B198,CountSpecific!E:F,2,0),"")</f>
        <v/>
      </c>
    </row>
    <row r="199" spans="1:16" customFormat="1" x14ac:dyDescent="0.25">
      <c r="A199" s="7">
        <v>198</v>
      </c>
      <c r="B199" s="11" t="s">
        <v>214</v>
      </c>
      <c r="C199" s="7" t="s">
        <v>1039</v>
      </c>
      <c r="D199" s="7">
        <v>198</v>
      </c>
      <c r="E199" s="9">
        <v>198</v>
      </c>
      <c r="F199" s="7">
        <v>198</v>
      </c>
      <c r="G199" s="11" t="s">
        <v>1020</v>
      </c>
      <c r="H199" s="20">
        <v>163642</v>
      </c>
      <c r="I199" s="12">
        <v>44741</v>
      </c>
      <c r="J199" s="12">
        <v>44985</v>
      </c>
      <c r="K199" s="25">
        <v>114739</v>
      </c>
      <c r="L199" s="23">
        <v>48903</v>
      </c>
      <c r="M199" s="11"/>
      <c r="N199" s="7" t="str">
        <f ca="1">_xlfn.IFNA(VLOOKUP("2"&amp;B199,CountSpecific!E:F,2,0),"")</f>
        <v/>
      </c>
      <c r="O199" s="14" t="str">
        <f ca="1">_xlfn.IFNA(VLOOKUP("3"&amp;B199,CountSpecific!E:F,2,0),"")</f>
        <v/>
      </c>
      <c r="P199" s="7" t="str">
        <f ca="1">_xlfn.IFNA(VLOOKUP("4"&amp;B199,CountSpecific!E:F,2,0),"")</f>
        <v/>
      </c>
    </row>
    <row r="200" spans="1:16" customFormat="1" x14ac:dyDescent="0.25">
      <c r="A200" s="7">
        <v>199</v>
      </c>
      <c r="B200" s="11" t="s">
        <v>215</v>
      </c>
      <c r="C200" s="7" t="s">
        <v>1039</v>
      </c>
      <c r="D200" s="7">
        <v>199</v>
      </c>
      <c r="E200" s="7">
        <v>199</v>
      </c>
      <c r="F200" s="7">
        <v>199</v>
      </c>
      <c r="G200" s="11" t="s">
        <v>1027</v>
      </c>
      <c r="H200" s="20">
        <v>39101</v>
      </c>
      <c r="I200" s="12">
        <v>44306</v>
      </c>
      <c r="J200" s="12">
        <v>44793</v>
      </c>
      <c r="K200" s="25">
        <v>37317</v>
      </c>
      <c r="L200" s="23">
        <v>1784</v>
      </c>
      <c r="M200" s="11"/>
      <c r="N200" s="7" t="str">
        <f ca="1">_xlfn.IFNA(VLOOKUP("2"&amp;B200,CountSpecific!E:F,2,0),"")</f>
        <v/>
      </c>
      <c r="O200" s="14" t="str">
        <f ca="1">_xlfn.IFNA(VLOOKUP("3"&amp;B200,CountSpecific!E:F,2,0),"")</f>
        <v/>
      </c>
      <c r="P200" s="7" t="str">
        <f ca="1">_xlfn.IFNA(VLOOKUP("4"&amp;B200,CountSpecific!E:F,2,0),"")</f>
        <v/>
      </c>
    </row>
    <row r="201" spans="1:16" customFormat="1" x14ac:dyDescent="0.25">
      <c r="A201" s="7">
        <v>200</v>
      </c>
      <c r="B201" s="11" t="s">
        <v>216</v>
      </c>
      <c r="C201" s="7" t="s">
        <v>1039</v>
      </c>
      <c r="D201" s="7">
        <v>200</v>
      </c>
      <c r="E201" s="7">
        <v>200</v>
      </c>
      <c r="F201" s="7">
        <v>200</v>
      </c>
      <c r="G201" s="11" t="s">
        <v>1027</v>
      </c>
      <c r="H201" s="20">
        <v>36483</v>
      </c>
      <c r="I201" s="12">
        <v>44662</v>
      </c>
      <c r="J201" s="12">
        <v>44876</v>
      </c>
      <c r="K201" s="25">
        <v>14134</v>
      </c>
      <c r="L201" s="23">
        <v>22349</v>
      </c>
      <c r="M201" s="11"/>
      <c r="N201" s="7" t="str">
        <f ca="1">_xlfn.IFNA(VLOOKUP("2"&amp;B201,CountSpecific!E:F,2,0),"")</f>
        <v/>
      </c>
      <c r="O201" s="14" t="str">
        <f ca="1">_xlfn.IFNA(VLOOKUP("3"&amp;B201,CountSpecific!E:F,2,0),"")</f>
        <v/>
      </c>
      <c r="P201" s="7" t="str">
        <f ca="1">_xlfn.IFNA(VLOOKUP("4"&amp;B201,CountSpecific!E:F,2,0),"")</f>
        <v/>
      </c>
    </row>
    <row r="202" spans="1:16" customFormat="1" x14ac:dyDescent="0.25">
      <c r="A202" s="7">
        <v>201</v>
      </c>
      <c r="B202" s="11" t="s">
        <v>217</v>
      </c>
      <c r="C202" s="7" t="s">
        <v>1039</v>
      </c>
      <c r="D202" s="7">
        <v>201</v>
      </c>
      <c r="E202" s="9">
        <v>201</v>
      </c>
      <c r="F202" s="7">
        <v>201</v>
      </c>
      <c r="G202" s="11" t="s">
        <v>1016</v>
      </c>
      <c r="H202" s="20">
        <v>24610</v>
      </c>
      <c r="I202" s="12">
        <v>44491</v>
      </c>
      <c r="J202" s="12">
        <v>44795</v>
      </c>
      <c r="K202" s="25">
        <v>12797</v>
      </c>
      <c r="L202" s="23">
        <v>11813</v>
      </c>
      <c r="M202" s="11"/>
      <c r="N202" s="7" t="str">
        <f ca="1">_xlfn.IFNA(VLOOKUP("2"&amp;B202,CountSpecific!E:F,2,0),"")</f>
        <v/>
      </c>
      <c r="O202" s="14" t="str">
        <f ca="1">_xlfn.IFNA(VLOOKUP("3"&amp;B202,CountSpecific!E:F,2,0),"")</f>
        <v/>
      </c>
      <c r="P202" s="7" t="str">
        <f ca="1">_xlfn.IFNA(VLOOKUP("4"&amp;B202,CountSpecific!E:F,2,0),"")</f>
        <v/>
      </c>
    </row>
    <row r="203" spans="1:16" customFormat="1" x14ac:dyDescent="0.25">
      <c r="A203" s="7">
        <v>202</v>
      </c>
      <c r="B203" s="11" t="s">
        <v>218</v>
      </c>
      <c r="C203" s="7" t="s">
        <v>1039</v>
      </c>
      <c r="D203" s="7">
        <v>202</v>
      </c>
      <c r="E203" s="7">
        <v>202</v>
      </c>
      <c r="F203" s="7">
        <v>202</v>
      </c>
      <c r="G203" s="11" t="s">
        <v>1027</v>
      </c>
      <c r="H203" s="20">
        <v>26771</v>
      </c>
      <c r="I203" s="12">
        <v>45550</v>
      </c>
      <c r="J203" s="12">
        <v>45915</v>
      </c>
      <c r="K203" s="25">
        <v>5232</v>
      </c>
      <c r="L203" s="23">
        <v>21539</v>
      </c>
      <c r="M203" s="11"/>
      <c r="N203" s="7" t="str">
        <f ca="1">_xlfn.IFNA(VLOOKUP("2"&amp;B203,CountSpecific!E:F,2,0),"")</f>
        <v/>
      </c>
      <c r="O203" s="14" t="str">
        <f ca="1">_xlfn.IFNA(VLOOKUP("3"&amp;B203,CountSpecific!E:F,2,0),"")</f>
        <v/>
      </c>
      <c r="P203" s="7" t="str">
        <f ca="1">_xlfn.IFNA(VLOOKUP("4"&amp;B203,CountSpecific!E:F,2,0),"")</f>
        <v/>
      </c>
    </row>
    <row r="204" spans="1:16" customFormat="1" x14ac:dyDescent="0.25">
      <c r="A204" s="7">
        <v>203</v>
      </c>
      <c r="B204" s="11" t="s">
        <v>219</v>
      </c>
      <c r="C204" s="7" t="s">
        <v>1039</v>
      </c>
      <c r="D204" s="7">
        <v>203</v>
      </c>
      <c r="E204" s="7">
        <v>203</v>
      </c>
      <c r="F204" s="7">
        <v>203</v>
      </c>
      <c r="G204" s="11" t="s">
        <v>1023</v>
      </c>
      <c r="H204" s="20">
        <v>1290</v>
      </c>
      <c r="I204" s="12">
        <v>44033</v>
      </c>
      <c r="J204" s="12">
        <v>44095</v>
      </c>
      <c r="K204" s="25">
        <v>648</v>
      </c>
      <c r="L204" s="23">
        <v>642</v>
      </c>
      <c r="M204" s="11"/>
      <c r="N204" s="7" t="str">
        <f ca="1">_xlfn.IFNA(VLOOKUP("2"&amp;B204,CountSpecific!E:F,2,0),"")</f>
        <v/>
      </c>
      <c r="O204" s="14" t="str">
        <f ca="1">_xlfn.IFNA(VLOOKUP("3"&amp;B204,CountSpecific!E:F,2,0),"")</f>
        <v/>
      </c>
      <c r="P204" s="7" t="str">
        <f ca="1">_xlfn.IFNA(VLOOKUP("4"&amp;B204,CountSpecific!E:F,2,0),"")</f>
        <v/>
      </c>
    </row>
    <row r="205" spans="1:16" customFormat="1" x14ac:dyDescent="0.25">
      <c r="A205" s="7">
        <v>204</v>
      </c>
      <c r="B205" s="11" t="s">
        <v>220</v>
      </c>
      <c r="C205" s="7" t="s">
        <v>1039</v>
      </c>
      <c r="D205" s="7">
        <v>204</v>
      </c>
      <c r="E205" s="9">
        <v>204</v>
      </c>
      <c r="F205" s="7">
        <v>204</v>
      </c>
      <c r="G205" s="11" t="s">
        <v>1016</v>
      </c>
      <c r="H205" s="20">
        <v>20069</v>
      </c>
      <c r="I205" s="12">
        <v>44348</v>
      </c>
      <c r="J205" s="12">
        <v>44805</v>
      </c>
      <c r="K205" s="25">
        <v>5231</v>
      </c>
      <c r="L205" s="23">
        <v>14838</v>
      </c>
      <c r="M205" s="11"/>
      <c r="N205" s="7" t="str">
        <f ca="1">_xlfn.IFNA(VLOOKUP("2"&amp;B205,CountSpecific!E:F,2,0),"")</f>
        <v/>
      </c>
      <c r="O205" s="14" t="str">
        <f ca="1">_xlfn.IFNA(VLOOKUP("3"&amp;B205,CountSpecific!E:F,2,0),"")</f>
        <v/>
      </c>
      <c r="P205" s="7" t="str">
        <f ca="1">_xlfn.IFNA(VLOOKUP("4"&amp;B205,CountSpecific!E:F,2,0),"")</f>
        <v/>
      </c>
    </row>
    <row r="206" spans="1:16" customFormat="1" x14ac:dyDescent="0.25">
      <c r="A206" s="7">
        <v>205</v>
      </c>
      <c r="B206" s="11" t="s">
        <v>221</v>
      </c>
      <c r="C206" s="7" t="s">
        <v>1039</v>
      </c>
      <c r="D206" s="7">
        <v>205</v>
      </c>
      <c r="E206" s="7">
        <v>205</v>
      </c>
      <c r="F206" s="7">
        <v>205</v>
      </c>
      <c r="G206" s="11" t="s">
        <v>1022</v>
      </c>
      <c r="H206" s="20">
        <v>24780</v>
      </c>
      <c r="I206" s="12">
        <v>45710</v>
      </c>
      <c r="J206" s="12">
        <v>46164</v>
      </c>
      <c r="K206" s="25">
        <v>21118</v>
      </c>
      <c r="L206" s="23">
        <v>3662</v>
      </c>
      <c r="M206" s="11"/>
      <c r="N206" s="7" t="str">
        <f ca="1">_xlfn.IFNA(VLOOKUP("2"&amp;B206,CountSpecific!E:F,2,0),"")</f>
        <v/>
      </c>
      <c r="O206" s="14" t="str">
        <f ca="1">_xlfn.IFNA(VLOOKUP("3"&amp;B206,CountSpecific!E:F,2,0),"")</f>
        <v/>
      </c>
      <c r="P206" s="7" t="str">
        <f ca="1">_xlfn.IFNA(VLOOKUP("4"&amp;B206,CountSpecific!E:F,2,0),"")</f>
        <v/>
      </c>
    </row>
    <row r="207" spans="1:16" customFormat="1" x14ac:dyDescent="0.25">
      <c r="A207" s="7">
        <v>206</v>
      </c>
      <c r="B207" s="11" t="s">
        <v>222</v>
      </c>
      <c r="C207" s="7" t="s">
        <v>1039</v>
      </c>
      <c r="D207" s="7">
        <v>206</v>
      </c>
      <c r="E207" s="7">
        <v>206</v>
      </c>
      <c r="F207" s="7">
        <v>206</v>
      </c>
      <c r="G207" s="11" t="s">
        <v>1020</v>
      </c>
      <c r="H207" s="20">
        <v>25431</v>
      </c>
      <c r="I207" s="12">
        <v>44934</v>
      </c>
      <c r="J207" s="12">
        <v>45085</v>
      </c>
      <c r="K207" s="25">
        <v>5425</v>
      </c>
      <c r="L207" s="23">
        <v>20006</v>
      </c>
      <c r="M207" s="11"/>
      <c r="N207" s="7" t="str">
        <f ca="1">_xlfn.IFNA(VLOOKUP("2"&amp;B207,CountSpecific!E:F,2,0),"")</f>
        <v/>
      </c>
      <c r="O207" s="14" t="str">
        <f ca="1">_xlfn.IFNA(VLOOKUP("3"&amp;B207,CountSpecific!E:F,2,0),"")</f>
        <v/>
      </c>
      <c r="P207" s="7" t="str">
        <f ca="1">_xlfn.IFNA(VLOOKUP("4"&amp;B207,CountSpecific!E:F,2,0),"")</f>
        <v/>
      </c>
    </row>
    <row r="208" spans="1:16" customFormat="1" x14ac:dyDescent="0.25">
      <c r="A208" s="7">
        <v>207</v>
      </c>
      <c r="B208" s="11" t="s">
        <v>223</v>
      </c>
      <c r="C208" s="7" t="s">
        <v>1039</v>
      </c>
      <c r="D208" s="7">
        <v>207</v>
      </c>
      <c r="E208" s="9">
        <v>207</v>
      </c>
      <c r="F208" s="7">
        <v>207</v>
      </c>
      <c r="G208" s="11" t="s">
        <v>1023</v>
      </c>
      <c r="H208" s="20">
        <v>58</v>
      </c>
      <c r="I208" s="12">
        <v>44701</v>
      </c>
      <c r="J208" s="12">
        <v>44824</v>
      </c>
      <c r="K208" s="25">
        <v>33</v>
      </c>
      <c r="L208" s="23">
        <v>25</v>
      </c>
      <c r="M208" s="11"/>
      <c r="N208" s="7" t="str">
        <f ca="1">_xlfn.IFNA(VLOOKUP("2"&amp;B208,CountSpecific!E:F,2,0),"")</f>
        <v/>
      </c>
      <c r="O208" s="14" t="str">
        <f ca="1">_xlfn.IFNA(VLOOKUP("3"&amp;B208,CountSpecific!E:F,2,0),"")</f>
        <v/>
      </c>
      <c r="P208" s="7" t="str">
        <f ca="1">_xlfn.IFNA(VLOOKUP("4"&amp;B208,CountSpecific!E:F,2,0),"")</f>
        <v/>
      </c>
    </row>
    <row r="209" spans="1:16" customFormat="1" x14ac:dyDescent="0.25">
      <c r="A209" s="7">
        <v>208</v>
      </c>
      <c r="B209" s="11" t="s">
        <v>224</v>
      </c>
      <c r="C209" s="7" t="s">
        <v>1039</v>
      </c>
      <c r="D209" s="7">
        <v>208</v>
      </c>
      <c r="E209" s="7">
        <v>208</v>
      </c>
      <c r="F209" s="7">
        <v>208</v>
      </c>
      <c r="G209" s="11" t="s">
        <v>1027</v>
      </c>
      <c r="H209" s="20">
        <v>50236</v>
      </c>
      <c r="I209" s="12">
        <v>44260</v>
      </c>
      <c r="J209" s="12">
        <v>44931</v>
      </c>
      <c r="K209" s="25">
        <v>8135</v>
      </c>
      <c r="L209" s="23">
        <v>42101</v>
      </c>
      <c r="M209" s="11"/>
      <c r="N209" s="7" t="str">
        <f ca="1">_xlfn.IFNA(VLOOKUP("2"&amp;B209,CountSpecific!E:F,2,0),"")</f>
        <v/>
      </c>
      <c r="O209" s="14" t="str">
        <f ca="1">_xlfn.IFNA(VLOOKUP("3"&amp;B209,CountSpecific!E:F,2,0),"")</f>
        <v/>
      </c>
      <c r="P209" s="7" t="str">
        <f ca="1">_xlfn.IFNA(VLOOKUP("4"&amp;B209,CountSpecific!E:F,2,0),"")</f>
        <v/>
      </c>
    </row>
    <row r="210" spans="1:16" customFormat="1" x14ac:dyDescent="0.25">
      <c r="A210" s="7">
        <v>209</v>
      </c>
      <c r="B210" s="11" t="s">
        <v>225</v>
      </c>
      <c r="C210" s="7" t="s">
        <v>1039</v>
      </c>
      <c r="D210" s="7">
        <v>209</v>
      </c>
      <c r="E210" s="7">
        <v>209</v>
      </c>
      <c r="F210" s="7">
        <v>209</v>
      </c>
      <c r="G210" s="11" t="s">
        <v>1016</v>
      </c>
      <c r="H210" s="20">
        <v>15859</v>
      </c>
      <c r="I210" s="12">
        <v>43853</v>
      </c>
      <c r="J210" s="12">
        <v>43913</v>
      </c>
      <c r="K210" s="25">
        <v>5160</v>
      </c>
      <c r="L210" s="23">
        <v>10699</v>
      </c>
      <c r="M210" s="11"/>
      <c r="N210" s="7" t="str">
        <f ca="1">_xlfn.IFNA(VLOOKUP("2"&amp;B210,CountSpecific!E:F,2,0),"")</f>
        <v/>
      </c>
      <c r="O210" s="14" t="str">
        <f ca="1">_xlfn.IFNA(VLOOKUP("3"&amp;B210,CountSpecific!E:F,2,0),"")</f>
        <v/>
      </c>
      <c r="P210" s="7" t="str">
        <f ca="1">_xlfn.IFNA(VLOOKUP("4"&amp;B210,CountSpecific!E:F,2,0),"")</f>
        <v/>
      </c>
    </row>
    <row r="211" spans="1:16" customFormat="1" x14ac:dyDescent="0.25">
      <c r="A211" s="7">
        <v>210</v>
      </c>
      <c r="B211" s="11" t="s">
        <v>226</v>
      </c>
      <c r="C211" s="7" t="s">
        <v>1039</v>
      </c>
      <c r="D211" s="7">
        <v>210</v>
      </c>
      <c r="E211" s="9">
        <v>210</v>
      </c>
      <c r="F211" s="7">
        <v>210</v>
      </c>
      <c r="G211" s="11" t="s">
        <v>1027</v>
      </c>
      <c r="H211" s="20">
        <v>46683</v>
      </c>
      <c r="I211" s="12">
        <v>44702</v>
      </c>
      <c r="J211" s="12">
        <v>44947</v>
      </c>
      <c r="K211" s="25">
        <v>22067</v>
      </c>
      <c r="L211" s="23">
        <v>24616</v>
      </c>
      <c r="M211" s="11"/>
      <c r="N211" s="7" t="str">
        <f ca="1">_xlfn.IFNA(VLOOKUP("2"&amp;B211,CountSpecific!E:F,2,0),"")</f>
        <v/>
      </c>
      <c r="O211" s="14" t="str">
        <f ca="1">_xlfn.IFNA(VLOOKUP("3"&amp;B211,CountSpecific!E:F,2,0),"")</f>
        <v/>
      </c>
      <c r="P211" s="7" t="str">
        <f ca="1">_xlfn.IFNA(VLOOKUP("4"&amp;B211,CountSpecific!E:F,2,0),"")</f>
        <v/>
      </c>
    </row>
    <row r="212" spans="1:16" customFormat="1" x14ac:dyDescent="0.25">
      <c r="A212" s="7">
        <v>211</v>
      </c>
      <c r="B212" s="11" t="s">
        <v>227</v>
      </c>
      <c r="C212" s="7" t="s">
        <v>1039</v>
      </c>
      <c r="D212" s="7">
        <v>211</v>
      </c>
      <c r="E212" s="7">
        <v>211</v>
      </c>
      <c r="F212" s="7">
        <v>211</v>
      </c>
      <c r="G212" s="11" t="s">
        <v>1016</v>
      </c>
      <c r="H212" s="20">
        <v>26956</v>
      </c>
      <c r="I212" s="12">
        <v>44694</v>
      </c>
      <c r="J212" s="12">
        <v>45212</v>
      </c>
      <c r="K212" s="25">
        <v>2073</v>
      </c>
      <c r="L212" s="23">
        <v>24883</v>
      </c>
      <c r="M212" s="11"/>
      <c r="N212" s="7" t="str">
        <f ca="1">_xlfn.IFNA(VLOOKUP("2"&amp;B212,CountSpecific!E:F,2,0),"")</f>
        <v/>
      </c>
      <c r="O212" s="14" t="str">
        <f ca="1">_xlfn.IFNA(VLOOKUP("3"&amp;B212,CountSpecific!E:F,2,0),"")</f>
        <v/>
      </c>
      <c r="P212" s="7" t="str">
        <f ca="1">_xlfn.IFNA(VLOOKUP("4"&amp;B212,CountSpecific!E:F,2,0),"")</f>
        <v/>
      </c>
    </row>
    <row r="213" spans="1:16" customFormat="1" x14ac:dyDescent="0.25">
      <c r="A213" s="7">
        <v>212</v>
      </c>
      <c r="B213" s="11" t="s">
        <v>228</v>
      </c>
      <c r="C213" s="7" t="s">
        <v>1039</v>
      </c>
      <c r="D213" s="7">
        <v>212</v>
      </c>
      <c r="E213" s="7">
        <v>212</v>
      </c>
      <c r="F213" s="7">
        <v>212</v>
      </c>
      <c r="G213" s="11" t="s">
        <v>1026</v>
      </c>
      <c r="H213" s="20">
        <v>2724934</v>
      </c>
      <c r="I213" s="12">
        <v>44965</v>
      </c>
      <c r="J213" s="12">
        <v>45115</v>
      </c>
      <c r="K213" s="25">
        <v>61874</v>
      </c>
      <c r="L213" s="23">
        <v>2663060</v>
      </c>
      <c r="M213" s="11"/>
      <c r="N213" s="7" t="str">
        <f ca="1">_xlfn.IFNA(VLOOKUP("2"&amp;B213,CountSpecific!E:F,2,0),"")</f>
        <v/>
      </c>
      <c r="O213" s="14" t="str">
        <f ca="1">_xlfn.IFNA(VLOOKUP("3"&amp;B213,CountSpecific!E:F,2,0),"")</f>
        <v/>
      </c>
      <c r="P213" s="7" t="str">
        <f ca="1">_xlfn.IFNA(VLOOKUP("4"&amp;B213,CountSpecific!E:F,2,0),"")</f>
        <v/>
      </c>
    </row>
    <row r="214" spans="1:16" customFormat="1" x14ac:dyDescent="0.25">
      <c r="A214" s="7">
        <v>213</v>
      </c>
      <c r="B214" s="11" t="s">
        <v>229</v>
      </c>
      <c r="C214" s="7" t="s">
        <v>1039</v>
      </c>
      <c r="D214" s="7">
        <v>213</v>
      </c>
      <c r="E214" s="9">
        <v>213</v>
      </c>
      <c r="F214" s="7">
        <v>213</v>
      </c>
      <c r="G214" s="11" t="s">
        <v>1023</v>
      </c>
      <c r="H214" s="20">
        <v>355</v>
      </c>
      <c r="I214" s="12">
        <v>44794</v>
      </c>
      <c r="J214" s="12">
        <v>45343</v>
      </c>
      <c r="K214" s="25">
        <v>192</v>
      </c>
      <c r="L214" s="23">
        <v>163</v>
      </c>
      <c r="M214" s="11"/>
      <c r="N214" s="7" t="str">
        <f ca="1">_xlfn.IFNA(VLOOKUP("2"&amp;B214,CountSpecific!E:F,2,0),"")</f>
        <v/>
      </c>
      <c r="O214" s="14" t="str">
        <f ca="1">_xlfn.IFNA(VLOOKUP("3"&amp;B214,CountSpecific!E:F,2,0),"")</f>
        <v/>
      </c>
      <c r="P214" s="7" t="str">
        <f ca="1">_xlfn.IFNA(VLOOKUP("4"&amp;B214,CountSpecific!E:F,2,0),"")</f>
        <v/>
      </c>
    </row>
    <row r="215" spans="1:16" customFormat="1" x14ac:dyDescent="0.25">
      <c r="A215" s="7">
        <v>214</v>
      </c>
      <c r="B215" s="11" t="s">
        <v>230</v>
      </c>
      <c r="C215" s="7" t="s">
        <v>1039</v>
      </c>
      <c r="D215" s="7">
        <v>214</v>
      </c>
      <c r="E215" s="7">
        <v>214</v>
      </c>
      <c r="F215" s="7">
        <v>214</v>
      </c>
      <c r="G215" s="11" t="s">
        <v>1020</v>
      </c>
      <c r="H215" s="20">
        <v>317742</v>
      </c>
      <c r="I215" s="12">
        <v>44439</v>
      </c>
      <c r="J215" s="12">
        <v>44926</v>
      </c>
      <c r="K215" s="25">
        <v>307182</v>
      </c>
      <c r="L215" s="23">
        <v>10560</v>
      </c>
      <c r="M215" s="11"/>
      <c r="N215" s="7" t="str">
        <f ca="1">_xlfn.IFNA(VLOOKUP("2"&amp;B215,CountSpecific!E:F,2,0),"")</f>
        <v/>
      </c>
      <c r="O215" s="14" t="str">
        <f ca="1">_xlfn.IFNA(VLOOKUP("3"&amp;B215,CountSpecific!E:F,2,0),"")</f>
        <v/>
      </c>
      <c r="P215" s="7" t="str">
        <f ca="1">_xlfn.IFNA(VLOOKUP("4"&amp;B215,CountSpecific!E:F,2,0),"")</f>
        <v/>
      </c>
    </row>
    <row r="216" spans="1:16" customFormat="1" x14ac:dyDescent="0.25">
      <c r="A216" s="7">
        <v>215</v>
      </c>
      <c r="B216" s="11" t="s">
        <v>231</v>
      </c>
      <c r="C216" s="7" t="s">
        <v>1039</v>
      </c>
      <c r="D216" s="7">
        <v>215</v>
      </c>
      <c r="E216" s="7">
        <v>215</v>
      </c>
      <c r="F216" s="7">
        <v>215</v>
      </c>
      <c r="G216" s="11" t="s">
        <v>1024</v>
      </c>
      <c r="H216" s="20">
        <v>240727</v>
      </c>
      <c r="I216" s="12">
        <v>45251</v>
      </c>
      <c r="J216" s="12">
        <v>45525</v>
      </c>
      <c r="K216" s="25">
        <v>108698</v>
      </c>
      <c r="L216" s="23">
        <v>132029</v>
      </c>
      <c r="M216" s="11"/>
      <c r="N216" s="7" t="str">
        <f ca="1">_xlfn.IFNA(VLOOKUP("2"&amp;B216,CountSpecific!E:F,2,0),"")</f>
        <v/>
      </c>
      <c r="O216" s="14" t="str">
        <f ca="1">_xlfn.IFNA(VLOOKUP("3"&amp;B216,CountSpecific!E:F,2,0),"")</f>
        <v/>
      </c>
      <c r="P216" s="7" t="str">
        <f ca="1">_xlfn.IFNA(VLOOKUP("4"&amp;B216,CountSpecific!E:F,2,0),"")</f>
        <v/>
      </c>
    </row>
    <row r="217" spans="1:16" customFormat="1" x14ac:dyDescent="0.25">
      <c r="A217" s="7">
        <v>216</v>
      </c>
      <c r="B217" s="11" t="s">
        <v>232</v>
      </c>
      <c r="C217" s="7" t="s">
        <v>1039</v>
      </c>
      <c r="D217" s="7">
        <v>216</v>
      </c>
      <c r="E217" s="9">
        <v>216</v>
      </c>
      <c r="F217" s="7">
        <v>216</v>
      </c>
      <c r="G217" s="11" t="s">
        <v>1023</v>
      </c>
      <c r="H217" s="20">
        <v>467</v>
      </c>
      <c r="I217" s="12">
        <v>44784</v>
      </c>
      <c r="J217" s="12">
        <v>45057</v>
      </c>
      <c r="K217" s="25">
        <v>405</v>
      </c>
      <c r="L217" s="23">
        <v>62</v>
      </c>
      <c r="M217" s="11"/>
      <c r="N217" s="7" t="str">
        <f ca="1">_xlfn.IFNA(VLOOKUP("2"&amp;B217,CountSpecific!E:F,2,0),"")</f>
        <v/>
      </c>
      <c r="O217" s="14" t="str">
        <f ca="1">_xlfn.IFNA(VLOOKUP("3"&amp;B217,CountSpecific!E:F,2,0),"")</f>
        <v/>
      </c>
      <c r="P217" s="7" t="str">
        <f ca="1">_xlfn.IFNA(VLOOKUP("4"&amp;B217,CountSpecific!E:F,2,0),"")</f>
        <v/>
      </c>
    </row>
    <row r="218" spans="1:16" customFormat="1" x14ac:dyDescent="0.25">
      <c r="A218" s="7">
        <v>217</v>
      </c>
      <c r="B218" s="11" t="s">
        <v>233</v>
      </c>
      <c r="C218" s="7" t="s">
        <v>1039</v>
      </c>
      <c r="D218" s="7">
        <v>217</v>
      </c>
      <c r="E218" s="7">
        <v>217</v>
      </c>
      <c r="F218" s="7">
        <v>217</v>
      </c>
      <c r="G218" s="11" t="s">
        <v>1020</v>
      </c>
      <c r="H218" s="20">
        <v>260853</v>
      </c>
      <c r="I218" s="12">
        <v>45092</v>
      </c>
      <c r="J218" s="12">
        <v>45245</v>
      </c>
      <c r="K218" s="25">
        <v>134634</v>
      </c>
      <c r="L218" s="23">
        <v>126219</v>
      </c>
      <c r="M218" s="11"/>
      <c r="N218" s="7" t="str">
        <f ca="1">_xlfn.IFNA(VLOOKUP("2"&amp;B218,CountSpecific!E:F,2,0),"")</f>
        <v/>
      </c>
      <c r="O218" s="14" t="str">
        <f ca="1">_xlfn.IFNA(VLOOKUP("3"&amp;B218,CountSpecific!E:F,2,0),"")</f>
        <v/>
      </c>
      <c r="P218" s="7" t="str">
        <f ca="1">_xlfn.IFNA(VLOOKUP("4"&amp;B218,CountSpecific!E:F,2,0),"")</f>
        <v/>
      </c>
    </row>
    <row r="219" spans="1:16" customFormat="1" x14ac:dyDescent="0.25">
      <c r="A219" s="7">
        <v>218</v>
      </c>
      <c r="B219" s="11" t="s">
        <v>234</v>
      </c>
      <c r="C219" s="7" t="s">
        <v>1039</v>
      </c>
      <c r="D219" s="7">
        <v>218</v>
      </c>
      <c r="E219" s="7">
        <v>218</v>
      </c>
      <c r="F219" s="7">
        <v>218</v>
      </c>
      <c r="G219" s="11" t="s">
        <v>1023</v>
      </c>
      <c r="H219" s="20">
        <v>1467</v>
      </c>
      <c r="I219" s="12">
        <v>44675</v>
      </c>
      <c r="J219" s="12">
        <v>45406</v>
      </c>
      <c r="K219" s="25">
        <v>175</v>
      </c>
      <c r="L219" s="23">
        <v>1292</v>
      </c>
      <c r="M219" s="11"/>
      <c r="N219" s="7" t="str">
        <f ca="1">_xlfn.IFNA(VLOOKUP("2"&amp;B219,CountSpecific!E:F,2,0),"")</f>
        <v/>
      </c>
      <c r="O219" s="14" t="str">
        <f ca="1">_xlfn.IFNA(VLOOKUP("3"&amp;B219,CountSpecific!E:F,2,0),"")</f>
        <v/>
      </c>
      <c r="P219" s="7" t="str">
        <f ca="1">_xlfn.IFNA(VLOOKUP("4"&amp;B219,CountSpecific!E:F,2,0),"")</f>
        <v/>
      </c>
    </row>
    <row r="220" spans="1:16" customFormat="1" x14ac:dyDescent="0.25">
      <c r="A220" s="7">
        <v>219</v>
      </c>
      <c r="B220" s="11" t="s">
        <v>235</v>
      </c>
      <c r="C220" s="7" t="s">
        <v>1039</v>
      </c>
      <c r="D220" s="7">
        <v>219</v>
      </c>
      <c r="E220" s="9">
        <v>219</v>
      </c>
      <c r="F220" s="7">
        <v>219</v>
      </c>
      <c r="G220" s="11" t="s">
        <v>1022</v>
      </c>
      <c r="H220" s="20">
        <v>21312</v>
      </c>
      <c r="I220" s="12">
        <v>45336</v>
      </c>
      <c r="J220" s="12">
        <v>45640</v>
      </c>
      <c r="K220" s="25">
        <v>9326</v>
      </c>
      <c r="L220" s="23">
        <v>11986</v>
      </c>
      <c r="M220" s="11"/>
      <c r="N220" s="7" t="str">
        <f ca="1">_xlfn.IFNA(VLOOKUP("2"&amp;B220,CountSpecific!E:F,2,0),"")</f>
        <v/>
      </c>
      <c r="O220" s="14" t="str">
        <f ca="1">_xlfn.IFNA(VLOOKUP("3"&amp;B220,CountSpecific!E:F,2,0),"")</f>
        <v/>
      </c>
      <c r="P220" s="7" t="str">
        <f ca="1">_xlfn.IFNA(VLOOKUP("4"&amp;B220,CountSpecific!E:F,2,0),"")</f>
        <v/>
      </c>
    </row>
    <row r="221" spans="1:16" customFormat="1" x14ac:dyDescent="0.25">
      <c r="A221" s="7">
        <v>220</v>
      </c>
      <c r="B221" s="11" t="s">
        <v>236</v>
      </c>
      <c r="C221" s="7" t="s">
        <v>1039</v>
      </c>
      <c r="D221" s="7">
        <v>220</v>
      </c>
      <c r="E221" s="7">
        <v>220</v>
      </c>
      <c r="F221" s="7">
        <v>220</v>
      </c>
      <c r="G221" s="11" t="s">
        <v>1016</v>
      </c>
      <c r="H221" s="20">
        <v>3556</v>
      </c>
      <c r="I221" s="12">
        <v>44871</v>
      </c>
      <c r="J221" s="12">
        <v>45571</v>
      </c>
      <c r="K221" s="25">
        <v>2860</v>
      </c>
      <c r="L221" s="23">
        <v>696</v>
      </c>
      <c r="M221" s="11"/>
      <c r="N221" s="7" t="str">
        <f ca="1">_xlfn.IFNA(VLOOKUP("2"&amp;B221,CountSpecific!E:F,2,0),"")</f>
        <v/>
      </c>
      <c r="O221" s="14" t="str">
        <f ca="1">_xlfn.IFNA(VLOOKUP("3"&amp;B221,CountSpecific!E:F,2,0),"")</f>
        <v/>
      </c>
      <c r="P221" s="7" t="str">
        <f ca="1">_xlfn.IFNA(VLOOKUP("4"&amp;B221,CountSpecific!E:F,2,0),"")</f>
        <v/>
      </c>
    </row>
    <row r="222" spans="1:16" customFormat="1" x14ac:dyDescent="0.25">
      <c r="A222" s="7">
        <v>221</v>
      </c>
      <c r="B222" s="11" t="s">
        <v>237</v>
      </c>
      <c r="C222" s="7" t="s">
        <v>1039</v>
      </c>
      <c r="D222" s="7">
        <v>221</v>
      </c>
      <c r="E222" s="7">
        <v>221</v>
      </c>
      <c r="F222" s="7">
        <v>221</v>
      </c>
      <c r="G222" s="11" t="s">
        <v>1024</v>
      </c>
      <c r="H222" s="20">
        <v>132713</v>
      </c>
      <c r="I222" s="12">
        <v>44844</v>
      </c>
      <c r="J222" s="12">
        <v>45575</v>
      </c>
      <c r="K222" s="25">
        <v>595</v>
      </c>
      <c r="L222" s="23">
        <v>132118</v>
      </c>
      <c r="M222" s="11"/>
      <c r="N222" s="7" t="str">
        <f ca="1">_xlfn.IFNA(VLOOKUP("2"&amp;B222,CountSpecific!E:F,2,0),"")</f>
        <v/>
      </c>
      <c r="O222" s="14" t="str">
        <f ca="1">_xlfn.IFNA(VLOOKUP("3"&amp;B222,CountSpecific!E:F,2,0),"")</f>
        <v/>
      </c>
      <c r="P222" s="7" t="str">
        <f ca="1">_xlfn.IFNA(VLOOKUP("4"&amp;B222,CountSpecific!E:F,2,0),"")</f>
        <v/>
      </c>
    </row>
    <row r="223" spans="1:16" customFormat="1" x14ac:dyDescent="0.25">
      <c r="A223" s="7">
        <v>222</v>
      </c>
      <c r="B223" s="11" t="s">
        <v>238</v>
      </c>
      <c r="C223" s="7" t="s">
        <v>1039</v>
      </c>
      <c r="D223" s="7">
        <v>222</v>
      </c>
      <c r="E223" s="9">
        <v>222</v>
      </c>
      <c r="F223" s="7">
        <v>222</v>
      </c>
      <c r="G223" s="11" t="s">
        <v>1020</v>
      </c>
      <c r="H223" s="20">
        <v>147219</v>
      </c>
      <c r="I223" s="12">
        <v>45125</v>
      </c>
      <c r="J223" s="12">
        <v>45278</v>
      </c>
      <c r="K223" s="25">
        <v>31439</v>
      </c>
      <c r="L223" s="23">
        <v>115780</v>
      </c>
      <c r="M223" s="11"/>
      <c r="N223" s="7" t="str">
        <f ca="1">_xlfn.IFNA(VLOOKUP("2"&amp;B223,CountSpecific!E:F,2,0),"")</f>
        <v/>
      </c>
      <c r="O223" s="14" t="str">
        <f ca="1">_xlfn.IFNA(VLOOKUP("3"&amp;B223,CountSpecific!E:F,2,0),"")</f>
        <v/>
      </c>
      <c r="P223" s="7" t="str">
        <f ca="1">_xlfn.IFNA(VLOOKUP("4"&amp;B223,CountSpecific!E:F,2,0),"")</f>
        <v/>
      </c>
    </row>
    <row r="224" spans="1:16" customFormat="1" x14ac:dyDescent="0.25">
      <c r="A224" s="7">
        <v>223</v>
      </c>
      <c r="B224" s="11" t="s">
        <v>239</v>
      </c>
      <c r="C224" s="7" t="s">
        <v>1039</v>
      </c>
      <c r="D224" s="7">
        <v>223</v>
      </c>
      <c r="E224" s="7">
        <v>223</v>
      </c>
      <c r="F224" s="7">
        <v>223</v>
      </c>
      <c r="G224" s="11" t="s">
        <v>1021</v>
      </c>
      <c r="H224" s="20">
        <v>91395</v>
      </c>
      <c r="I224" s="12">
        <v>44233</v>
      </c>
      <c r="J224" s="12">
        <v>44626</v>
      </c>
      <c r="K224" s="25">
        <v>83512</v>
      </c>
      <c r="L224" s="23">
        <v>7883</v>
      </c>
      <c r="M224" s="11"/>
      <c r="N224" s="7" t="str">
        <f ca="1">_xlfn.IFNA(VLOOKUP("2"&amp;B224,CountSpecific!E:F,2,0),"")</f>
        <v/>
      </c>
      <c r="O224" s="14" t="str">
        <f ca="1">_xlfn.IFNA(VLOOKUP("3"&amp;B224,CountSpecific!E:F,2,0),"")</f>
        <v/>
      </c>
      <c r="P224" s="7" t="str">
        <f ca="1">_xlfn.IFNA(VLOOKUP("4"&amp;B224,CountSpecific!E:F,2,0),"")</f>
        <v/>
      </c>
    </row>
    <row r="225" spans="1:16" customFormat="1" x14ac:dyDescent="0.25">
      <c r="A225" s="7">
        <v>224</v>
      </c>
      <c r="B225" s="11" t="s">
        <v>240</v>
      </c>
      <c r="C225" s="7" t="s">
        <v>1039</v>
      </c>
      <c r="D225" s="7">
        <v>224</v>
      </c>
      <c r="E225" s="7">
        <v>224</v>
      </c>
      <c r="F225" s="7">
        <v>224</v>
      </c>
      <c r="G225" s="11" t="s">
        <v>1022</v>
      </c>
      <c r="H225" s="20">
        <v>24542</v>
      </c>
      <c r="I225" s="12">
        <v>44614</v>
      </c>
      <c r="J225" s="12">
        <v>44979</v>
      </c>
      <c r="K225" s="25">
        <v>2644</v>
      </c>
      <c r="L225" s="23">
        <v>21898</v>
      </c>
      <c r="M225" s="11"/>
      <c r="N225" s="7" t="str">
        <f ca="1">_xlfn.IFNA(VLOOKUP("2"&amp;B225,CountSpecific!E:F,2,0),"")</f>
        <v/>
      </c>
      <c r="O225" s="14" t="str">
        <f ca="1">_xlfn.IFNA(VLOOKUP("3"&amp;B225,CountSpecific!E:F,2,0),"")</f>
        <v/>
      </c>
      <c r="P225" s="7" t="str">
        <f ca="1">_xlfn.IFNA(VLOOKUP("4"&amp;B225,CountSpecific!E:F,2,0),"")</f>
        <v/>
      </c>
    </row>
    <row r="226" spans="1:16" customFormat="1" x14ac:dyDescent="0.25">
      <c r="A226" s="7">
        <v>225</v>
      </c>
      <c r="B226" s="11" t="s">
        <v>241</v>
      </c>
      <c r="C226" s="7" t="s">
        <v>1039</v>
      </c>
      <c r="D226" s="7">
        <v>225</v>
      </c>
      <c r="E226" s="9">
        <v>225</v>
      </c>
      <c r="F226" s="7">
        <v>225</v>
      </c>
      <c r="G226" s="11" t="s">
        <v>1016</v>
      </c>
      <c r="H226" s="20">
        <v>40564</v>
      </c>
      <c r="I226" s="12">
        <v>44427</v>
      </c>
      <c r="J226" s="12">
        <v>44700</v>
      </c>
      <c r="K226" s="25">
        <v>15627</v>
      </c>
      <c r="L226" s="23">
        <v>24937</v>
      </c>
      <c r="M226" s="11"/>
      <c r="N226" s="7" t="str">
        <f ca="1">_xlfn.IFNA(VLOOKUP("2"&amp;B226,CountSpecific!E:F,2,0),"")</f>
        <v/>
      </c>
      <c r="O226" s="14" t="str">
        <f ca="1">_xlfn.IFNA(VLOOKUP("3"&amp;B226,CountSpecific!E:F,2,0),"")</f>
        <v/>
      </c>
      <c r="P226" s="7" t="str">
        <f ca="1">_xlfn.IFNA(VLOOKUP("4"&amp;B226,CountSpecific!E:F,2,0),"")</f>
        <v/>
      </c>
    </row>
    <row r="227" spans="1:16" customFormat="1" x14ac:dyDescent="0.25">
      <c r="A227" s="7">
        <v>226</v>
      </c>
      <c r="B227" s="11" t="s">
        <v>242</v>
      </c>
      <c r="C227" s="7" t="s">
        <v>1039</v>
      </c>
      <c r="D227" s="7">
        <v>226</v>
      </c>
      <c r="E227" s="7">
        <v>226</v>
      </c>
      <c r="F227" s="7">
        <v>226</v>
      </c>
      <c r="G227" s="11" t="s">
        <v>1024</v>
      </c>
      <c r="H227" s="20">
        <v>212570</v>
      </c>
      <c r="I227" s="12">
        <v>45147</v>
      </c>
      <c r="J227" s="12">
        <v>45239</v>
      </c>
      <c r="K227" s="25">
        <v>169050</v>
      </c>
      <c r="L227" s="23">
        <v>43520</v>
      </c>
      <c r="M227" s="11"/>
      <c r="N227" s="7" t="str">
        <f ca="1">_xlfn.IFNA(VLOOKUP("2"&amp;B227,CountSpecific!E:F,2,0),"")</f>
        <v/>
      </c>
      <c r="O227" s="14" t="str">
        <f ca="1">_xlfn.IFNA(VLOOKUP("3"&amp;B227,CountSpecific!E:F,2,0),"")</f>
        <v/>
      </c>
      <c r="P227" s="7" t="str">
        <f ca="1">_xlfn.IFNA(VLOOKUP("4"&amp;B227,CountSpecific!E:F,2,0),"")</f>
        <v/>
      </c>
    </row>
    <row r="228" spans="1:16" customFormat="1" x14ac:dyDescent="0.25">
      <c r="A228" s="7">
        <v>227</v>
      </c>
      <c r="B228" s="11" t="s">
        <v>243</v>
      </c>
      <c r="C228" s="7" t="s">
        <v>1039</v>
      </c>
      <c r="D228" s="7">
        <v>227</v>
      </c>
      <c r="E228" s="7">
        <v>227</v>
      </c>
      <c r="F228" s="7">
        <v>227</v>
      </c>
      <c r="G228" s="11" t="s">
        <v>1021</v>
      </c>
      <c r="H228" s="20">
        <v>54695</v>
      </c>
      <c r="I228" s="12">
        <v>44987</v>
      </c>
      <c r="J228" s="12">
        <v>45171</v>
      </c>
      <c r="K228" s="25">
        <v>3206</v>
      </c>
      <c r="L228" s="23">
        <v>51489</v>
      </c>
      <c r="M228" s="11"/>
      <c r="N228" s="7" t="str">
        <f ca="1">_xlfn.IFNA(VLOOKUP("2"&amp;B228,CountSpecific!E:F,2,0),"")</f>
        <v/>
      </c>
      <c r="O228" s="14" t="str">
        <f ca="1">_xlfn.IFNA(VLOOKUP("3"&amp;B228,CountSpecific!E:F,2,0),"")</f>
        <v/>
      </c>
      <c r="P228" s="7" t="str">
        <f ca="1">_xlfn.IFNA(VLOOKUP("4"&amp;B228,CountSpecific!E:F,2,0),"")</f>
        <v/>
      </c>
    </row>
    <row r="229" spans="1:16" customFormat="1" x14ac:dyDescent="0.25">
      <c r="A229" s="7">
        <v>228</v>
      </c>
      <c r="B229" s="11" t="s">
        <v>244</v>
      </c>
      <c r="C229" s="7" t="s">
        <v>1039</v>
      </c>
      <c r="D229" s="7">
        <v>228</v>
      </c>
      <c r="E229" s="9">
        <v>228</v>
      </c>
      <c r="F229" s="7">
        <v>228</v>
      </c>
      <c r="G229" s="11" t="s">
        <v>1024</v>
      </c>
      <c r="H229" s="20">
        <v>123174</v>
      </c>
      <c r="I229" s="12">
        <v>45381</v>
      </c>
      <c r="J229" s="12">
        <v>46021</v>
      </c>
      <c r="K229" s="25">
        <v>1517</v>
      </c>
      <c r="L229" s="23">
        <v>121657</v>
      </c>
      <c r="M229" s="11"/>
      <c r="N229" s="7" t="str">
        <f ca="1">_xlfn.IFNA(VLOOKUP("2"&amp;B229,CountSpecific!E:F,2,0),"")</f>
        <v/>
      </c>
      <c r="O229" s="14" t="str">
        <f ca="1">_xlfn.IFNA(VLOOKUP("3"&amp;B229,CountSpecific!E:F,2,0),"")</f>
        <v/>
      </c>
      <c r="P229" s="7" t="str">
        <f ca="1">_xlfn.IFNA(VLOOKUP("4"&amp;B229,CountSpecific!E:F,2,0),"")</f>
        <v/>
      </c>
    </row>
    <row r="230" spans="1:16" customFormat="1" x14ac:dyDescent="0.25">
      <c r="A230" s="7">
        <v>229</v>
      </c>
      <c r="B230" s="11" t="s">
        <v>245</v>
      </c>
      <c r="C230" s="7" t="s">
        <v>1039</v>
      </c>
      <c r="D230" s="7">
        <v>229</v>
      </c>
      <c r="E230" s="7">
        <v>229</v>
      </c>
      <c r="F230" s="7">
        <v>229</v>
      </c>
      <c r="G230" s="11" t="s">
        <v>1024</v>
      </c>
      <c r="H230" s="20">
        <v>425960</v>
      </c>
      <c r="I230" s="12">
        <v>45274</v>
      </c>
      <c r="J230" s="12">
        <v>45396</v>
      </c>
      <c r="K230" s="25">
        <v>212107</v>
      </c>
      <c r="L230" s="23">
        <v>213853</v>
      </c>
      <c r="M230" s="11"/>
      <c r="N230" s="7" t="str">
        <f ca="1">_xlfn.IFNA(VLOOKUP("2"&amp;B230,CountSpecific!E:F,2,0),"")</f>
        <v/>
      </c>
      <c r="O230" s="14" t="str">
        <f ca="1">_xlfn.IFNA(VLOOKUP("3"&amp;B230,CountSpecific!E:F,2,0),"")</f>
        <v/>
      </c>
      <c r="P230" s="7" t="str">
        <f ca="1">_xlfn.IFNA(VLOOKUP("4"&amp;B230,CountSpecific!E:F,2,0),"")</f>
        <v/>
      </c>
    </row>
    <row r="231" spans="1:16" customFormat="1" x14ac:dyDescent="0.25">
      <c r="A231" s="7">
        <v>230</v>
      </c>
      <c r="B231" s="11" t="s">
        <v>246</v>
      </c>
      <c r="C231" s="7" t="s">
        <v>1039</v>
      </c>
      <c r="D231" s="7">
        <v>230</v>
      </c>
      <c r="E231" s="7">
        <v>230</v>
      </c>
      <c r="F231" s="7">
        <v>230</v>
      </c>
      <c r="G231" s="11" t="s">
        <v>1027</v>
      </c>
      <c r="H231" s="20">
        <v>34449</v>
      </c>
      <c r="I231" s="12">
        <v>45084</v>
      </c>
      <c r="J231" s="12">
        <v>45358</v>
      </c>
      <c r="K231" s="25">
        <v>15339</v>
      </c>
      <c r="L231" s="23">
        <v>19110</v>
      </c>
      <c r="M231" s="11"/>
      <c r="N231" s="7" t="str">
        <f ca="1">_xlfn.IFNA(VLOOKUP("2"&amp;B231,CountSpecific!E:F,2,0),"")</f>
        <v/>
      </c>
      <c r="O231" s="14" t="str">
        <f ca="1">_xlfn.IFNA(VLOOKUP("3"&amp;B231,CountSpecific!E:F,2,0),"")</f>
        <v/>
      </c>
      <c r="P231" s="7" t="str">
        <f ca="1">_xlfn.IFNA(VLOOKUP("4"&amp;B231,CountSpecific!E:F,2,0),"")</f>
        <v/>
      </c>
    </row>
    <row r="232" spans="1:16" customFormat="1" x14ac:dyDescent="0.25">
      <c r="A232" s="7">
        <v>231</v>
      </c>
      <c r="B232" s="11" t="s">
        <v>247</v>
      </c>
      <c r="C232" s="7" t="s">
        <v>1039</v>
      </c>
      <c r="D232" s="7">
        <v>231</v>
      </c>
      <c r="E232" s="9">
        <v>231</v>
      </c>
      <c r="F232" s="7">
        <v>231</v>
      </c>
      <c r="G232" s="11" t="s">
        <v>1022</v>
      </c>
      <c r="H232" s="20">
        <v>11298</v>
      </c>
      <c r="I232" s="12">
        <v>44518</v>
      </c>
      <c r="J232" s="12">
        <v>44610</v>
      </c>
      <c r="K232" s="25">
        <v>7462</v>
      </c>
      <c r="L232" s="23">
        <v>3836</v>
      </c>
      <c r="M232" s="11"/>
      <c r="N232" s="7" t="str">
        <f ca="1">_xlfn.IFNA(VLOOKUP("2"&amp;B232,CountSpecific!E:F,2,0),"")</f>
        <v/>
      </c>
      <c r="O232" s="14" t="str">
        <f ca="1">_xlfn.IFNA(VLOOKUP("3"&amp;B232,CountSpecific!E:F,2,0),"")</f>
        <v/>
      </c>
      <c r="P232" s="7" t="str">
        <f ca="1">_xlfn.IFNA(VLOOKUP("4"&amp;B232,CountSpecific!E:F,2,0),"")</f>
        <v/>
      </c>
    </row>
    <row r="233" spans="1:16" customFormat="1" x14ac:dyDescent="0.25">
      <c r="A233" s="7">
        <v>232</v>
      </c>
      <c r="B233" s="11" t="s">
        <v>248</v>
      </c>
      <c r="C233" s="7" t="s">
        <v>1039</v>
      </c>
      <c r="D233" s="7">
        <v>232</v>
      </c>
      <c r="E233" s="7">
        <v>232</v>
      </c>
      <c r="F233" s="7">
        <v>232</v>
      </c>
      <c r="G233" s="11" t="s">
        <v>1026</v>
      </c>
      <c r="H233" s="20">
        <v>1020173</v>
      </c>
      <c r="I233" s="12">
        <v>43864</v>
      </c>
      <c r="J233" s="12">
        <v>44595</v>
      </c>
      <c r="K233" s="25">
        <v>522833</v>
      </c>
      <c r="L233" s="23">
        <v>497340</v>
      </c>
      <c r="M233" s="11"/>
      <c r="N233" s="7" t="str">
        <f ca="1">_xlfn.IFNA(VLOOKUP("2"&amp;B233,CountSpecific!E:F,2,0),"")</f>
        <v/>
      </c>
      <c r="O233" s="14" t="str">
        <f ca="1">_xlfn.IFNA(VLOOKUP("3"&amp;B233,CountSpecific!E:F,2,0),"")</f>
        <v/>
      </c>
      <c r="P233" s="7" t="str">
        <f ca="1">_xlfn.IFNA(VLOOKUP("4"&amp;B233,CountSpecific!E:F,2,0),"")</f>
        <v/>
      </c>
    </row>
    <row r="234" spans="1:16" customFormat="1" x14ac:dyDescent="0.25">
      <c r="A234" s="7">
        <v>233</v>
      </c>
      <c r="B234" s="11" t="s">
        <v>249</v>
      </c>
      <c r="C234" s="7" t="s">
        <v>1039</v>
      </c>
      <c r="D234" s="7">
        <v>233</v>
      </c>
      <c r="E234" s="7">
        <v>233</v>
      </c>
      <c r="F234" s="7">
        <v>233</v>
      </c>
      <c r="G234" s="11" t="s">
        <v>1020</v>
      </c>
      <c r="H234" s="20">
        <v>66734</v>
      </c>
      <c r="I234" s="12">
        <v>44504</v>
      </c>
      <c r="J234" s="12">
        <v>44624</v>
      </c>
      <c r="K234" s="25">
        <v>32024</v>
      </c>
      <c r="L234" s="23">
        <v>34710</v>
      </c>
      <c r="M234" s="11"/>
      <c r="N234" s="7" t="str">
        <f ca="1">_xlfn.IFNA(VLOOKUP("2"&amp;B234,CountSpecific!E:F,2,0),"")</f>
        <v/>
      </c>
      <c r="O234" s="14" t="str">
        <f ca="1">_xlfn.IFNA(VLOOKUP("3"&amp;B234,CountSpecific!E:F,2,0),"")</f>
        <v/>
      </c>
      <c r="P234" s="7" t="str">
        <f ca="1">_xlfn.IFNA(VLOOKUP("4"&amp;B234,CountSpecific!E:F,2,0),"")</f>
        <v/>
      </c>
    </row>
    <row r="235" spans="1:16" customFormat="1" x14ac:dyDescent="0.25">
      <c r="A235" s="7">
        <v>234</v>
      </c>
      <c r="B235" s="11" t="s">
        <v>250</v>
      </c>
      <c r="C235" s="7" t="s">
        <v>1039</v>
      </c>
      <c r="D235" s="7">
        <v>234</v>
      </c>
      <c r="E235" s="9">
        <v>234</v>
      </c>
      <c r="F235" s="7">
        <v>234</v>
      </c>
      <c r="G235" s="11" t="s">
        <v>1022</v>
      </c>
      <c r="H235" s="20">
        <v>32701</v>
      </c>
      <c r="I235" s="12">
        <v>43887</v>
      </c>
      <c r="J235" s="12">
        <v>44373</v>
      </c>
      <c r="K235" s="25">
        <v>16185</v>
      </c>
      <c r="L235" s="23">
        <v>16516</v>
      </c>
      <c r="M235" s="11"/>
      <c r="N235" s="7" t="str">
        <f ca="1">_xlfn.IFNA(VLOOKUP("2"&amp;B235,CountSpecific!E:F,2,0),"")</f>
        <v/>
      </c>
      <c r="O235" s="14" t="str">
        <f ca="1">_xlfn.IFNA(VLOOKUP("3"&amp;B235,CountSpecific!E:F,2,0),"")</f>
        <v/>
      </c>
      <c r="P235" s="7" t="str">
        <f ca="1">_xlfn.IFNA(VLOOKUP("4"&amp;B235,CountSpecific!E:F,2,0),"")</f>
        <v/>
      </c>
    </row>
    <row r="236" spans="1:16" customFormat="1" x14ac:dyDescent="0.25">
      <c r="A236" s="7">
        <v>235</v>
      </c>
      <c r="B236" s="11" t="s">
        <v>251</v>
      </c>
      <c r="C236" s="7" t="s">
        <v>1039</v>
      </c>
      <c r="D236" s="7">
        <v>235</v>
      </c>
      <c r="E236" s="7">
        <v>235</v>
      </c>
      <c r="F236" s="7">
        <v>235</v>
      </c>
      <c r="G236" s="11" t="s">
        <v>1016</v>
      </c>
      <c r="H236" s="20">
        <v>39525</v>
      </c>
      <c r="I236" s="12">
        <v>45119</v>
      </c>
      <c r="J236" s="12">
        <v>45394</v>
      </c>
      <c r="K236" s="25">
        <v>1826</v>
      </c>
      <c r="L236" s="23">
        <v>37699</v>
      </c>
      <c r="M236" s="11"/>
      <c r="N236" s="7" t="str">
        <f ca="1">_xlfn.IFNA(VLOOKUP("2"&amp;B236,CountSpecific!E:F,2,0),"")</f>
        <v/>
      </c>
      <c r="O236" s="14" t="str">
        <f ca="1">_xlfn.IFNA(VLOOKUP("3"&amp;B236,CountSpecific!E:F,2,0),"")</f>
        <v/>
      </c>
      <c r="P236" s="7" t="str">
        <f ca="1">_xlfn.IFNA(VLOOKUP("4"&amp;B236,CountSpecific!E:F,2,0),"")</f>
        <v/>
      </c>
    </row>
    <row r="237" spans="1:16" customFormat="1" x14ac:dyDescent="0.25">
      <c r="A237" s="7">
        <v>236</v>
      </c>
      <c r="B237" s="11" t="s">
        <v>252</v>
      </c>
      <c r="C237" s="7" t="s">
        <v>1039</v>
      </c>
      <c r="D237" s="7">
        <v>236</v>
      </c>
      <c r="E237" s="7">
        <v>236</v>
      </c>
      <c r="F237" s="7">
        <v>236</v>
      </c>
      <c r="G237" s="11" t="s">
        <v>1020</v>
      </c>
      <c r="H237" s="20">
        <v>174960</v>
      </c>
      <c r="I237" s="12">
        <v>44905</v>
      </c>
      <c r="J237" s="12">
        <v>44995</v>
      </c>
      <c r="K237" s="25">
        <v>43153</v>
      </c>
      <c r="L237" s="23">
        <v>131807</v>
      </c>
      <c r="M237" s="11"/>
      <c r="N237" s="7" t="str">
        <f ca="1">_xlfn.IFNA(VLOOKUP("2"&amp;B237,CountSpecific!E:F,2,0),"")</f>
        <v/>
      </c>
      <c r="O237" s="14" t="str">
        <f ca="1">_xlfn.IFNA(VLOOKUP("3"&amp;B237,CountSpecific!E:F,2,0),"")</f>
        <v/>
      </c>
      <c r="P237" s="7" t="str">
        <f ca="1">_xlfn.IFNA(VLOOKUP("4"&amp;B237,CountSpecific!E:F,2,0),"")</f>
        <v/>
      </c>
    </row>
    <row r="238" spans="1:16" customFormat="1" x14ac:dyDescent="0.25">
      <c r="A238" s="7">
        <v>237</v>
      </c>
      <c r="B238" s="11" t="s">
        <v>253</v>
      </c>
      <c r="C238" s="7" t="s">
        <v>1039</v>
      </c>
      <c r="D238" s="7">
        <v>237</v>
      </c>
      <c r="E238" s="9">
        <v>237</v>
      </c>
      <c r="F238" s="7">
        <v>237</v>
      </c>
      <c r="G238" s="11" t="s">
        <v>1016</v>
      </c>
      <c r="H238" s="20">
        <v>8501</v>
      </c>
      <c r="I238" s="12">
        <v>44377</v>
      </c>
      <c r="J238" s="12">
        <v>44803</v>
      </c>
      <c r="K238" s="25">
        <v>8126</v>
      </c>
      <c r="L238" s="23">
        <v>375</v>
      </c>
      <c r="M238" s="11"/>
      <c r="N238" s="7" t="str">
        <f ca="1">_xlfn.IFNA(VLOOKUP("2"&amp;B238,CountSpecific!E:F,2,0),"")</f>
        <v/>
      </c>
      <c r="O238" s="14" t="str">
        <f ca="1">_xlfn.IFNA(VLOOKUP("3"&amp;B238,CountSpecific!E:F,2,0),"")</f>
        <v/>
      </c>
      <c r="P238" s="7" t="str">
        <f ca="1">_xlfn.IFNA(VLOOKUP("4"&amp;B238,CountSpecific!E:F,2,0),"")</f>
        <v/>
      </c>
    </row>
    <row r="239" spans="1:16" customFormat="1" x14ac:dyDescent="0.25">
      <c r="A239" s="7">
        <v>238</v>
      </c>
      <c r="B239" s="11" t="s">
        <v>254</v>
      </c>
      <c r="C239" s="7" t="s">
        <v>1039</v>
      </c>
      <c r="D239" s="7">
        <v>238</v>
      </c>
      <c r="E239" s="7">
        <v>238</v>
      </c>
      <c r="F239" s="7">
        <v>238</v>
      </c>
      <c r="G239" s="11" t="s">
        <v>1025</v>
      </c>
      <c r="H239" s="20">
        <v>256816</v>
      </c>
      <c r="I239" s="12">
        <v>44478</v>
      </c>
      <c r="J239" s="12">
        <v>44782</v>
      </c>
      <c r="K239" s="25">
        <v>51039</v>
      </c>
      <c r="L239" s="23">
        <v>205777</v>
      </c>
      <c r="M239" s="11"/>
      <c r="N239" s="7" t="str">
        <f ca="1">_xlfn.IFNA(VLOOKUP("2"&amp;B239,CountSpecific!E:F,2,0),"")</f>
        <v/>
      </c>
      <c r="O239" s="14" t="str">
        <f ca="1">_xlfn.IFNA(VLOOKUP("3"&amp;B239,CountSpecific!E:F,2,0),"")</f>
        <v/>
      </c>
      <c r="P239" s="7" t="str">
        <f ca="1">_xlfn.IFNA(VLOOKUP("4"&amp;B239,CountSpecific!E:F,2,0),"")</f>
        <v/>
      </c>
    </row>
    <row r="240" spans="1:16" customFormat="1" x14ac:dyDescent="0.25">
      <c r="A240" s="7">
        <v>239</v>
      </c>
      <c r="B240" s="11" t="s">
        <v>255</v>
      </c>
      <c r="C240" s="7" t="s">
        <v>1039</v>
      </c>
      <c r="D240" s="7">
        <v>239</v>
      </c>
      <c r="E240" s="7">
        <v>239</v>
      </c>
      <c r="F240" s="7">
        <v>239</v>
      </c>
      <c r="G240" s="11" t="s">
        <v>1021</v>
      </c>
      <c r="H240" s="20">
        <v>4656</v>
      </c>
      <c r="I240" s="12">
        <v>45413</v>
      </c>
      <c r="J240" s="12">
        <v>45962</v>
      </c>
      <c r="K240" s="25">
        <v>1077</v>
      </c>
      <c r="L240" s="23">
        <v>3579</v>
      </c>
      <c r="M240" s="11"/>
      <c r="N240" s="7" t="str">
        <f ca="1">_xlfn.IFNA(VLOOKUP("2"&amp;B240,CountSpecific!E:F,2,0),"")</f>
        <v/>
      </c>
      <c r="O240" s="14" t="str">
        <f ca="1">_xlfn.IFNA(VLOOKUP("3"&amp;B240,CountSpecific!E:F,2,0),"")</f>
        <v/>
      </c>
      <c r="P240" s="7" t="str">
        <f ca="1">_xlfn.IFNA(VLOOKUP("4"&amp;B240,CountSpecific!E:F,2,0),"")</f>
        <v/>
      </c>
    </row>
    <row r="241" spans="1:16" customFormat="1" x14ac:dyDescent="0.25">
      <c r="A241" s="7">
        <v>240</v>
      </c>
      <c r="B241" s="11" t="s">
        <v>256</v>
      </c>
      <c r="C241" s="7" t="s">
        <v>1039</v>
      </c>
      <c r="D241" s="7">
        <v>240</v>
      </c>
      <c r="E241" s="9">
        <v>240</v>
      </c>
      <c r="F241" s="7">
        <v>240</v>
      </c>
      <c r="G241" s="11" t="s">
        <v>1023</v>
      </c>
      <c r="H241" s="20">
        <v>415</v>
      </c>
      <c r="I241" s="12">
        <v>44038</v>
      </c>
      <c r="J241" s="12">
        <v>44373</v>
      </c>
      <c r="K241" s="25">
        <v>348</v>
      </c>
      <c r="L241" s="23">
        <v>67</v>
      </c>
      <c r="M241" s="11"/>
      <c r="N241" s="7" t="str">
        <f ca="1">_xlfn.IFNA(VLOOKUP("2"&amp;B241,CountSpecific!E:F,2,0),"")</f>
        <v/>
      </c>
      <c r="O241" s="14" t="str">
        <f ca="1">_xlfn.IFNA(VLOOKUP("3"&amp;B241,CountSpecific!E:F,2,0),"")</f>
        <v/>
      </c>
      <c r="P241" s="7" t="str">
        <f ca="1">_xlfn.IFNA(VLOOKUP("4"&amp;B241,CountSpecific!E:F,2,0),"")</f>
        <v/>
      </c>
    </row>
    <row r="242" spans="1:16" customFormat="1" x14ac:dyDescent="0.25">
      <c r="A242" s="7">
        <v>241</v>
      </c>
      <c r="B242" s="11" t="s">
        <v>257</v>
      </c>
      <c r="C242" s="7" t="s">
        <v>1039</v>
      </c>
      <c r="D242" s="7">
        <v>241</v>
      </c>
      <c r="E242" s="7">
        <v>241</v>
      </c>
      <c r="F242" s="7">
        <v>241</v>
      </c>
      <c r="G242" s="11" t="s">
        <v>1023</v>
      </c>
      <c r="H242" s="20">
        <v>800</v>
      </c>
      <c r="I242" s="12">
        <v>44173</v>
      </c>
      <c r="J242" s="12">
        <v>44569</v>
      </c>
      <c r="K242" s="25">
        <v>377</v>
      </c>
      <c r="L242" s="23">
        <v>423</v>
      </c>
      <c r="M242" s="11"/>
      <c r="N242" s="7" t="str">
        <f ca="1">_xlfn.IFNA(VLOOKUP("2"&amp;B242,CountSpecific!E:F,2,0),"")</f>
        <v/>
      </c>
      <c r="O242" s="14" t="str">
        <f ca="1">_xlfn.IFNA(VLOOKUP("3"&amp;B242,CountSpecific!E:F,2,0),"")</f>
        <v/>
      </c>
      <c r="P242" s="7" t="str">
        <f ca="1">_xlfn.IFNA(VLOOKUP("4"&amp;B242,CountSpecific!E:F,2,0),"")</f>
        <v/>
      </c>
    </row>
    <row r="243" spans="1:16" customFormat="1" x14ac:dyDescent="0.25">
      <c r="A243" s="7">
        <v>242</v>
      </c>
      <c r="B243" s="11" t="s">
        <v>258</v>
      </c>
      <c r="C243" s="7" t="s">
        <v>1039</v>
      </c>
      <c r="D243" s="7">
        <v>242</v>
      </c>
      <c r="E243" s="7">
        <v>242</v>
      </c>
      <c r="F243" s="7">
        <v>242</v>
      </c>
      <c r="G243" s="11" t="s">
        <v>1023</v>
      </c>
      <c r="H243" s="20">
        <v>998</v>
      </c>
      <c r="I243" s="12">
        <v>44858</v>
      </c>
      <c r="J243" s="12">
        <v>45101</v>
      </c>
      <c r="K243" s="25">
        <v>744</v>
      </c>
      <c r="L243" s="23">
        <v>254</v>
      </c>
      <c r="M243" s="11"/>
      <c r="N243" s="7" t="str">
        <f ca="1">_xlfn.IFNA(VLOOKUP("2"&amp;B243,CountSpecific!E:F,2,0),"")</f>
        <v/>
      </c>
      <c r="O243" s="14" t="str">
        <f ca="1">_xlfn.IFNA(VLOOKUP("3"&amp;B243,CountSpecific!E:F,2,0),"")</f>
        <v/>
      </c>
      <c r="P243" s="7" t="str">
        <f ca="1">_xlfn.IFNA(VLOOKUP("4"&amp;B243,CountSpecific!E:F,2,0),"")</f>
        <v/>
      </c>
    </row>
    <row r="244" spans="1:16" customFormat="1" x14ac:dyDescent="0.25">
      <c r="A244" s="7">
        <v>243</v>
      </c>
      <c r="B244" s="11" t="s">
        <v>259</v>
      </c>
      <c r="C244" s="7" t="s">
        <v>1039</v>
      </c>
      <c r="D244" s="7">
        <v>243</v>
      </c>
      <c r="E244" s="9">
        <v>243</v>
      </c>
      <c r="F244" s="7">
        <v>243</v>
      </c>
      <c r="G244" s="11" t="s">
        <v>1020</v>
      </c>
      <c r="H244" s="20">
        <v>48287</v>
      </c>
      <c r="I244" s="12">
        <v>45253</v>
      </c>
      <c r="J244" s="12">
        <v>45466</v>
      </c>
      <c r="K244" s="25">
        <v>23736</v>
      </c>
      <c r="L244" s="23">
        <v>24551</v>
      </c>
      <c r="M244" s="11"/>
      <c r="N244" s="7" t="str">
        <f ca="1">_xlfn.IFNA(VLOOKUP("2"&amp;B244,CountSpecific!E:F,2,0),"")</f>
        <v/>
      </c>
      <c r="O244" s="14" t="str">
        <f ca="1">_xlfn.IFNA(VLOOKUP("3"&amp;B244,CountSpecific!E:F,2,0),"")</f>
        <v/>
      </c>
      <c r="P244" s="7" t="str">
        <f ca="1">_xlfn.IFNA(VLOOKUP("4"&amp;B244,CountSpecific!E:F,2,0),"")</f>
        <v/>
      </c>
    </row>
    <row r="245" spans="1:16" customFormat="1" x14ac:dyDescent="0.25">
      <c r="A245" s="7">
        <v>244</v>
      </c>
      <c r="B245" s="11" t="s">
        <v>260</v>
      </c>
      <c r="C245" s="7" t="s">
        <v>1039</v>
      </c>
      <c r="D245" s="7">
        <v>244</v>
      </c>
      <c r="E245" s="7">
        <v>244</v>
      </c>
      <c r="F245" s="7">
        <v>244</v>
      </c>
      <c r="G245" s="11" t="s">
        <v>1016</v>
      </c>
      <c r="H245" s="20">
        <v>1847</v>
      </c>
      <c r="I245" s="12">
        <v>44288</v>
      </c>
      <c r="J245" s="12">
        <v>44563</v>
      </c>
      <c r="K245" s="25">
        <v>469</v>
      </c>
      <c r="L245" s="23">
        <v>1378</v>
      </c>
      <c r="M245" s="11"/>
      <c r="N245" s="7" t="str">
        <f ca="1">_xlfn.IFNA(VLOOKUP("2"&amp;B245,CountSpecific!E:F,2,0),"")</f>
        <v/>
      </c>
      <c r="O245" s="14" t="str">
        <f ca="1">_xlfn.IFNA(VLOOKUP("3"&amp;B245,CountSpecific!E:F,2,0),"")</f>
        <v/>
      </c>
      <c r="P245" s="7" t="str">
        <f ca="1">_xlfn.IFNA(VLOOKUP("4"&amp;B245,CountSpecific!E:F,2,0),"")</f>
        <v/>
      </c>
    </row>
    <row r="246" spans="1:16" customFormat="1" x14ac:dyDescent="0.25">
      <c r="A246" s="7">
        <v>245</v>
      </c>
      <c r="B246" s="11" t="s">
        <v>261</v>
      </c>
      <c r="C246" s="7" t="s">
        <v>1039</v>
      </c>
      <c r="D246" s="7">
        <v>245</v>
      </c>
      <c r="E246" s="7">
        <v>245</v>
      </c>
      <c r="F246" s="7">
        <v>245</v>
      </c>
      <c r="G246" s="11" t="s">
        <v>1016</v>
      </c>
      <c r="H246" s="20">
        <v>32173</v>
      </c>
      <c r="I246" s="12">
        <v>45287</v>
      </c>
      <c r="J246" s="12">
        <v>45653</v>
      </c>
      <c r="K246" s="25">
        <v>4911</v>
      </c>
      <c r="L246" s="23">
        <v>27262</v>
      </c>
      <c r="M246" s="11"/>
      <c r="N246" s="7" t="str">
        <f ca="1">_xlfn.IFNA(VLOOKUP("2"&amp;B246,CountSpecific!E:F,2,0),"")</f>
        <v/>
      </c>
      <c r="O246" s="14" t="str">
        <f ca="1">_xlfn.IFNA(VLOOKUP("3"&amp;B246,CountSpecific!E:F,2,0),"")</f>
        <v/>
      </c>
      <c r="P246" s="7" t="str">
        <f ca="1">_xlfn.IFNA(VLOOKUP("4"&amp;B246,CountSpecific!E:F,2,0),"")</f>
        <v/>
      </c>
    </row>
    <row r="247" spans="1:16" customFormat="1" x14ac:dyDescent="0.25">
      <c r="A247" s="7">
        <v>246</v>
      </c>
      <c r="B247" s="11" t="s">
        <v>262</v>
      </c>
      <c r="C247" s="7" t="s">
        <v>1039</v>
      </c>
      <c r="D247" s="7">
        <v>246</v>
      </c>
      <c r="E247" s="9">
        <v>246</v>
      </c>
      <c r="F247" s="7">
        <v>246</v>
      </c>
      <c r="G247" s="11" t="s">
        <v>1022</v>
      </c>
      <c r="H247" s="20">
        <v>25300</v>
      </c>
      <c r="I247" s="12">
        <v>44146</v>
      </c>
      <c r="J247" s="12">
        <v>44603</v>
      </c>
      <c r="K247" s="25">
        <v>23397</v>
      </c>
      <c r="L247" s="23">
        <v>1903</v>
      </c>
      <c r="M247" s="11"/>
      <c r="N247" s="7" t="str">
        <f ca="1">_xlfn.IFNA(VLOOKUP("2"&amp;B247,CountSpecific!E:F,2,0),"")</f>
        <v/>
      </c>
      <c r="O247" s="14" t="str">
        <f ca="1">_xlfn.IFNA(VLOOKUP("3"&amp;B247,CountSpecific!E:F,2,0),"")</f>
        <v/>
      </c>
      <c r="P247" s="7" t="str">
        <f ca="1">_xlfn.IFNA(VLOOKUP("4"&amp;B247,CountSpecific!E:F,2,0),"")</f>
        <v/>
      </c>
    </row>
    <row r="248" spans="1:16" customFormat="1" x14ac:dyDescent="0.25">
      <c r="A248" s="7">
        <v>247</v>
      </c>
      <c r="B248" s="11" t="s">
        <v>263</v>
      </c>
      <c r="C248" s="7" t="s">
        <v>1039</v>
      </c>
      <c r="D248" s="7">
        <v>247</v>
      </c>
      <c r="E248" s="7">
        <v>247</v>
      </c>
      <c r="F248" s="7">
        <v>247</v>
      </c>
      <c r="G248" s="11" t="s">
        <v>1016</v>
      </c>
      <c r="H248" s="20">
        <v>14206</v>
      </c>
      <c r="I248" s="12">
        <v>43906</v>
      </c>
      <c r="J248" s="12">
        <v>44212</v>
      </c>
      <c r="K248" s="25">
        <v>2763</v>
      </c>
      <c r="L248" s="23">
        <v>11443</v>
      </c>
      <c r="M248" s="11"/>
      <c r="N248" s="7" t="str">
        <f ca="1">_xlfn.IFNA(VLOOKUP("2"&amp;B248,CountSpecific!E:F,2,0),"")</f>
        <v/>
      </c>
      <c r="O248" s="14" t="str">
        <f ca="1">_xlfn.IFNA(VLOOKUP("3"&amp;B248,CountSpecific!E:F,2,0),"")</f>
        <v/>
      </c>
      <c r="P248" s="7" t="str">
        <f ca="1">_xlfn.IFNA(VLOOKUP("4"&amp;B248,CountSpecific!E:F,2,0),"")</f>
        <v/>
      </c>
    </row>
    <row r="249" spans="1:16" customFormat="1" x14ac:dyDescent="0.25">
      <c r="A249" s="7">
        <v>248</v>
      </c>
      <c r="B249" s="11" t="s">
        <v>264</v>
      </c>
      <c r="C249" s="7" t="s">
        <v>1039</v>
      </c>
      <c r="D249" s="7">
        <v>248</v>
      </c>
      <c r="E249" s="7">
        <v>248</v>
      </c>
      <c r="F249" s="7">
        <v>248</v>
      </c>
      <c r="G249" s="11" t="s">
        <v>1020</v>
      </c>
      <c r="H249" s="20">
        <v>100995</v>
      </c>
      <c r="I249" s="12">
        <v>43835</v>
      </c>
      <c r="J249" s="12">
        <v>44017</v>
      </c>
      <c r="K249" s="25">
        <v>61895</v>
      </c>
      <c r="L249" s="23">
        <v>39100</v>
      </c>
      <c r="M249" s="11"/>
      <c r="N249" s="7" t="str">
        <f ca="1">_xlfn.IFNA(VLOOKUP("2"&amp;B249,CountSpecific!E:F,2,0),"")</f>
        <v/>
      </c>
      <c r="O249" s="14" t="str">
        <f ca="1">_xlfn.IFNA(VLOOKUP("3"&amp;B249,CountSpecific!E:F,2,0),"")</f>
        <v/>
      </c>
      <c r="P249" s="7" t="str">
        <f ca="1">_xlfn.IFNA(VLOOKUP("4"&amp;B249,CountSpecific!E:F,2,0),"")</f>
        <v/>
      </c>
    </row>
    <row r="250" spans="1:16" customFormat="1" x14ac:dyDescent="0.25">
      <c r="A250" s="7">
        <v>249</v>
      </c>
      <c r="B250" s="11" t="s">
        <v>265</v>
      </c>
      <c r="C250" s="7" t="s">
        <v>1039</v>
      </c>
      <c r="D250" s="7">
        <v>249</v>
      </c>
      <c r="E250" s="9">
        <v>249</v>
      </c>
      <c r="F250" s="7">
        <v>249</v>
      </c>
      <c r="G250" s="11" t="s">
        <v>1023</v>
      </c>
      <c r="H250" s="20">
        <v>984</v>
      </c>
      <c r="I250" s="12">
        <v>45449</v>
      </c>
      <c r="J250" s="12">
        <v>45753</v>
      </c>
      <c r="K250" s="25">
        <v>206</v>
      </c>
      <c r="L250" s="23">
        <v>778</v>
      </c>
      <c r="M250" s="11"/>
      <c r="N250" s="7" t="str">
        <f ca="1">_xlfn.IFNA(VLOOKUP("2"&amp;B250,CountSpecific!E:F,2,0),"")</f>
        <v/>
      </c>
      <c r="O250" s="14" t="str">
        <f ca="1">_xlfn.IFNA(VLOOKUP("3"&amp;B250,CountSpecific!E:F,2,0),"")</f>
        <v/>
      </c>
      <c r="P250" s="7" t="str">
        <f ca="1">_xlfn.IFNA(VLOOKUP("4"&amp;B250,CountSpecific!E:F,2,0),"")</f>
        <v/>
      </c>
    </row>
    <row r="251" spans="1:16" customFormat="1" x14ac:dyDescent="0.25">
      <c r="A251" s="7">
        <v>250</v>
      </c>
      <c r="B251" s="11" t="s">
        <v>266</v>
      </c>
      <c r="C251" s="7" t="s">
        <v>1039</v>
      </c>
      <c r="D251" s="7">
        <v>250</v>
      </c>
      <c r="E251" s="7">
        <v>250</v>
      </c>
      <c r="F251" s="7">
        <v>250</v>
      </c>
      <c r="G251" s="11" t="s">
        <v>1024</v>
      </c>
      <c r="H251" s="20">
        <v>110705</v>
      </c>
      <c r="I251" s="12">
        <v>44871</v>
      </c>
      <c r="J251" s="12">
        <v>45357</v>
      </c>
      <c r="K251" s="25">
        <v>108679</v>
      </c>
      <c r="L251" s="23">
        <v>2026</v>
      </c>
      <c r="M251" s="11"/>
      <c r="N251" s="7" t="str">
        <f ca="1">_xlfn.IFNA(VLOOKUP("2"&amp;B251,CountSpecific!E:F,2,0),"")</f>
        <v/>
      </c>
      <c r="O251" s="14" t="str">
        <f ca="1">_xlfn.IFNA(VLOOKUP("3"&amp;B251,CountSpecific!E:F,2,0),"")</f>
        <v/>
      </c>
      <c r="P251" s="7" t="str">
        <f ca="1">_xlfn.IFNA(VLOOKUP("4"&amp;B251,CountSpecific!E:F,2,0),"")</f>
        <v/>
      </c>
    </row>
    <row r="252" spans="1:16" customFormat="1" x14ac:dyDescent="0.25">
      <c r="A252" s="7">
        <v>251</v>
      </c>
      <c r="B252" s="11" t="s">
        <v>267</v>
      </c>
      <c r="C252" s="7" t="s">
        <v>1039</v>
      </c>
      <c r="D252" s="7">
        <v>251</v>
      </c>
      <c r="E252" s="7">
        <v>251</v>
      </c>
      <c r="F252" s="7">
        <v>251</v>
      </c>
      <c r="G252" s="11" t="s">
        <v>1024</v>
      </c>
      <c r="H252" s="20">
        <v>687580</v>
      </c>
      <c r="I252" s="12">
        <v>44335</v>
      </c>
      <c r="J252" s="12">
        <v>45035</v>
      </c>
      <c r="K252" s="25">
        <v>263461</v>
      </c>
      <c r="L252" s="23">
        <v>424119</v>
      </c>
      <c r="M252" s="11"/>
      <c r="N252" s="7" t="str">
        <f ca="1">_xlfn.IFNA(VLOOKUP("2"&amp;B252,CountSpecific!E:F,2,0),"")</f>
        <v/>
      </c>
      <c r="O252" s="14" t="str">
        <f ca="1">_xlfn.IFNA(VLOOKUP("3"&amp;B252,CountSpecific!E:F,2,0),"")</f>
        <v/>
      </c>
      <c r="P252" s="7" t="str">
        <f ca="1">_xlfn.IFNA(VLOOKUP("4"&amp;B252,CountSpecific!E:F,2,0),"")</f>
        <v/>
      </c>
    </row>
    <row r="253" spans="1:16" customFormat="1" x14ac:dyDescent="0.25">
      <c r="A253" s="7">
        <v>252</v>
      </c>
      <c r="B253" s="11" t="s">
        <v>268</v>
      </c>
      <c r="C253" s="7" t="s">
        <v>1039</v>
      </c>
      <c r="D253" s="7">
        <v>252</v>
      </c>
      <c r="E253" s="9">
        <v>252</v>
      </c>
      <c r="F253" s="7">
        <v>252</v>
      </c>
      <c r="G253" s="11" t="s">
        <v>1026</v>
      </c>
      <c r="H253" s="20">
        <v>854228</v>
      </c>
      <c r="I253" s="12">
        <v>44502</v>
      </c>
      <c r="J253" s="12">
        <v>44653</v>
      </c>
      <c r="K253" s="25">
        <v>508277</v>
      </c>
      <c r="L253" s="23">
        <v>345951</v>
      </c>
      <c r="M253" s="11"/>
      <c r="N253" s="7" t="str">
        <f ca="1">_xlfn.IFNA(VLOOKUP("2"&amp;B253,CountSpecific!E:F,2,0),"")</f>
        <v/>
      </c>
      <c r="O253" s="14" t="str">
        <f ca="1">_xlfn.IFNA(VLOOKUP("3"&amp;B253,CountSpecific!E:F,2,0),"")</f>
        <v/>
      </c>
      <c r="P253" s="7" t="str">
        <f ca="1">_xlfn.IFNA(VLOOKUP("4"&amp;B253,CountSpecific!E:F,2,0),"")</f>
        <v/>
      </c>
    </row>
    <row r="254" spans="1:16" customFormat="1" x14ac:dyDescent="0.25">
      <c r="A254" s="7">
        <v>253</v>
      </c>
      <c r="B254" s="11" t="s">
        <v>269</v>
      </c>
      <c r="C254" s="7" t="s">
        <v>1039</v>
      </c>
      <c r="D254" s="7">
        <v>253</v>
      </c>
      <c r="E254" s="7">
        <v>253</v>
      </c>
      <c r="F254" s="7">
        <v>253</v>
      </c>
      <c r="G254" s="11" t="s">
        <v>1023</v>
      </c>
      <c r="H254" s="20">
        <v>650</v>
      </c>
      <c r="I254" s="12">
        <v>45321</v>
      </c>
      <c r="J254" s="12">
        <v>45534</v>
      </c>
      <c r="K254" s="25">
        <v>534</v>
      </c>
      <c r="L254" s="23">
        <v>116</v>
      </c>
      <c r="M254" s="11"/>
      <c r="N254" s="7" t="str">
        <f ca="1">_xlfn.IFNA(VLOOKUP("2"&amp;B254,CountSpecific!E:F,2,0),"")</f>
        <v/>
      </c>
      <c r="O254" s="14" t="str">
        <f ca="1">_xlfn.IFNA(VLOOKUP("3"&amp;B254,CountSpecific!E:F,2,0),"")</f>
        <v/>
      </c>
      <c r="P254" s="7" t="str">
        <f ca="1">_xlfn.IFNA(VLOOKUP("4"&amp;B254,CountSpecific!E:F,2,0),"")</f>
        <v/>
      </c>
    </row>
    <row r="255" spans="1:16" customFormat="1" x14ac:dyDescent="0.25">
      <c r="A255" s="7">
        <v>254</v>
      </c>
      <c r="B255" s="11" t="s">
        <v>270</v>
      </c>
      <c r="C255" s="7" t="s">
        <v>1039</v>
      </c>
      <c r="D255" s="7">
        <v>254</v>
      </c>
      <c r="E255" s="7">
        <v>254</v>
      </c>
      <c r="F255" s="7">
        <v>254</v>
      </c>
      <c r="G255" s="11" t="s">
        <v>1016</v>
      </c>
      <c r="H255" s="20">
        <v>3257</v>
      </c>
      <c r="I255" s="12">
        <v>44923</v>
      </c>
      <c r="J255" s="12">
        <v>45501</v>
      </c>
      <c r="K255" s="25">
        <v>2326</v>
      </c>
      <c r="L255" s="23">
        <v>931</v>
      </c>
      <c r="M255" s="11"/>
      <c r="N255" s="7" t="str">
        <f ca="1">_xlfn.IFNA(VLOOKUP("2"&amp;B255,CountSpecific!E:F,2,0),"")</f>
        <v/>
      </c>
      <c r="O255" s="14" t="str">
        <f ca="1">_xlfn.IFNA(VLOOKUP("3"&amp;B255,CountSpecific!E:F,2,0),"")</f>
        <v/>
      </c>
      <c r="P255" s="7" t="str">
        <f ca="1">_xlfn.IFNA(VLOOKUP("4"&amp;B255,CountSpecific!E:F,2,0),"")</f>
        <v/>
      </c>
    </row>
    <row r="256" spans="1:16" customFormat="1" x14ac:dyDescent="0.25">
      <c r="A256" s="7">
        <v>255</v>
      </c>
      <c r="B256" s="11" t="s">
        <v>271</v>
      </c>
      <c r="C256" s="7" t="s">
        <v>1039</v>
      </c>
      <c r="D256" s="7">
        <v>255</v>
      </c>
      <c r="E256" s="9">
        <v>255</v>
      </c>
      <c r="F256" s="7">
        <v>255</v>
      </c>
      <c r="G256" s="11" t="s">
        <v>1022</v>
      </c>
      <c r="H256" s="20">
        <v>34415</v>
      </c>
      <c r="I256" s="12">
        <v>44597</v>
      </c>
      <c r="J256" s="12">
        <v>45112</v>
      </c>
      <c r="K256" s="25">
        <v>24511</v>
      </c>
      <c r="L256" s="23">
        <v>9904</v>
      </c>
      <c r="M256" s="11"/>
      <c r="N256" s="7" t="str">
        <f ca="1">_xlfn.IFNA(VLOOKUP("2"&amp;B256,CountSpecific!E:F,2,0),"")</f>
        <v/>
      </c>
      <c r="O256" s="14" t="str">
        <f ca="1">_xlfn.IFNA(VLOOKUP("3"&amp;B256,CountSpecific!E:F,2,0),"")</f>
        <v/>
      </c>
      <c r="P256" s="7" t="str">
        <f ca="1">_xlfn.IFNA(VLOOKUP("4"&amp;B256,CountSpecific!E:F,2,0),"")</f>
        <v/>
      </c>
    </row>
    <row r="257" spans="1:16" customFormat="1" x14ac:dyDescent="0.25">
      <c r="A257" s="7">
        <v>256</v>
      </c>
      <c r="B257" s="11" t="s">
        <v>272</v>
      </c>
      <c r="C257" s="7" t="s">
        <v>1039</v>
      </c>
      <c r="D257" s="7">
        <v>256</v>
      </c>
      <c r="E257" s="7">
        <v>256</v>
      </c>
      <c r="F257" s="7">
        <v>256</v>
      </c>
      <c r="G257" s="11" t="s">
        <v>1023</v>
      </c>
      <c r="H257" s="20">
        <v>1407</v>
      </c>
      <c r="I257" s="12">
        <v>44581</v>
      </c>
      <c r="J257" s="12">
        <v>44762</v>
      </c>
      <c r="K257" s="25">
        <v>148</v>
      </c>
      <c r="L257" s="23">
        <v>1259</v>
      </c>
      <c r="M257" s="11"/>
      <c r="N257" s="7" t="str">
        <f ca="1">_xlfn.IFNA(VLOOKUP("2"&amp;B257,CountSpecific!E:F,2,0),"")</f>
        <v/>
      </c>
      <c r="O257" s="14" t="str">
        <f ca="1">_xlfn.IFNA(VLOOKUP("3"&amp;B257,CountSpecific!E:F,2,0),"")</f>
        <v/>
      </c>
      <c r="P257" s="7" t="str">
        <f ca="1">_xlfn.IFNA(VLOOKUP("4"&amp;B257,CountSpecific!E:F,2,0),"")</f>
        <v/>
      </c>
    </row>
    <row r="258" spans="1:16" customFormat="1" x14ac:dyDescent="0.25">
      <c r="A258" s="7">
        <v>257</v>
      </c>
      <c r="B258" s="11" t="s">
        <v>273</v>
      </c>
      <c r="C258" s="7" t="s">
        <v>1039</v>
      </c>
      <c r="D258" s="7">
        <v>257</v>
      </c>
      <c r="E258" s="7">
        <v>257</v>
      </c>
      <c r="F258" s="7">
        <v>257</v>
      </c>
      <c r="G258" s="11" t="s">
        <v>1027</v>
      </c>
      <c r="H258" s="20">
        <v>24979</v>
      </c>
      <c r="I258" s="12">
        <v>44450</v>
      </c>
      <c r="J258" s="12">
        <v>44572</v>
      </c>
      <c r="K258" s="25">
        <v>5055</v>
      </c>
      <c r="L258" s="23">
        <v>19924</v>
      </c>
      <c r="M258" s="11"/>
      <c r="N258" s="7" t="str">
        <f ca="1">_xlfn.IFNA(VLOOKUP("2"&amp;B258,CountSpecific!E:F,2,0),"")</f>
        <v/>
      </c>
      <c r="O258" s="14" t="str">
        <f ca="1">_xlfn.IFNA(VLOOKUP("3"&amp;B258,CountSpecific!E:F,2,0),"")</f>
        <v/>
      </c>
      <c r="P258" s="7" t="str">
        <f ca="1">_xlfn.IFNA(VLOOKUP("4"&amp;B258,CountSpecific!E:F,2,0),"")</f>
        <v/>
      </c>
    </row>
    <row r="259" spans="1:16" customFormat="1" x14ac:dyDescent="0.25">
      <c r="A259" s="7">
        <v>258</v>
      </c>
      <c r="B259" s="11" t="s">
        <v>274</v>
      </c>
      <c r="C259" s="7" t="s">
        <v>1039</v>
      </c>
      <c r="D259" s="7">
        <v>258</v>
      </c>
      <c r="E259" s="9">
        <v>258</v>
      </c>
      <c r="F259" s="7">
        <v>258</v>
      </c>
      <c r="G259" s="11" t="s">
        <v>1023</v>
      </c>
      <c r="H259" s="20">
        <v>796</v>
      </c>
      <c r="I259" s="12">
        <v>44540</v>
      </c>
      <c r="J259" s="12">
        <v>45026</v>
      </c>
      <c r="K259" s="25">
        <v>755</v>
      </c>
      <c r="L259" s="23">
        <v>41</v>
      </c>
      <c r="M259" s="11"/>
      <c r="N259" s="7" t="str">
        <f ca="1">_xlfn.IFNA(VLOOKUP("2"&amp;B259,CountSpecific!E:F,2,0),"")</f>
        <v/>
      </c>
      <c r="O259" s="14" t="str">
        <f ca="1">_xlfn.IFNA(VLOOKUP("3"&amp;B259,CountSpecific!E:F,2,0),"")</f>
        <v/>
      </c>
      <c r="P259" s="7" t="str">
        <f ca="1">_xlfn.IFNA(VLOOKUP("4"&amp;B259,CountSpecific!E:F,2,0),"")</f>
        <v/>
      </c>
    </row>
    <row r="260" spans="1:16" customFormat="1" x14ac:dyDescent="0.25">
      <c r="A260" s="7">
        <v>259</v>
      </c>
      <c r="B260" s="11" t="s">
        <v>275</v>
      </c>
      <c r="C260" s="7" t="s">
        <v>1039</v>
      </c>
      <c r="D260" s="7">
        <v>259</v>
      </c>
      <c r="E260" s="7">
        <v>259</v>
      </c>
      <c r="F260" s="7">
        <v>259</v>
      </c>
      <c r="G260" s="11" t="s">
        <v>1021</v>
      </c>
      <c r="H260" s="20">
        <v>21780</v>
      </c>
      <c r="I260" s="12">
        <v>45504</v>
      </c>
      <c r="J260" s="12">
        <v>45777</v>
      </c>
      <c r="K260" s="25">
        <v>6122</v>
      </c>
      <c r="L260" s="23">
        <v>15658</v>
      </c>
      <c r="M260" s="11"/>
      <c r="N260" s="7" t="str">
        <f ca="1">_xlfn.IFNA(VLOOKUP("2"&amp;B260,CountSpecific!E:F,2,0),"")</f>
        <v/>
      </c>
      <c r="O260" s="14" t="str">
        <f ca="1">_xlfn.IFNA(VLOOKUP("3"&amp;B260,CountSpecific!E:F,2,0),"")</f>
        <v/>
      </c>
      <c r="P260" s="7" t="str">
        <f ca="1">_xlfn.IFNA(VLOOKUP("4"&amp;B260,CountSpecific!E:F,2,0),"")</f>
        <v/>
      </c>
    </row>
    <row r="261" spans="1:16" customFormat="1" x14ac:dyDescent="0.25">
      <c r="A261" s="7">
        <v>260</v>
      </c>
      <c r="B261" s="11" t="s">
        <v>276</v>
      </c>
      <c r="C261" s="7" t="s">
        <v>1039</v>
      </c>
      <c r="D261" s="7">
        <v>260</v>
      </c>
      <c r="E261" s="7">
        <v>260</v>
      </c>
      <c r="F261" s="7">
        <v>260</v>
      </c>
      <c r="G261" s="11" t="s">
        <v>1026</v>
      </c>
      <c r="H261" s="20">
        <v>3640716</v>
      </c>
      <c r="I261" s="12">
        <v>44237</v>
      </c>
      <c r="J261" s="12">
        <v>44814</v>
      </c>
      <c r="K261" s="25">
        <v>1537164</v>
      </c>
      <c r="L261" s="23">
        <v>2103552</v>
      </c>
      <c r="M261" s="11"/>
      <c r="N261" s="7" t="str">
        <f ca="1">_xlfn.IFNA(VLOOKUP("2"&amp;B261,CountSpecific!E:F,2,0),"")</f>
        <v/>
      </c>
      <c r="O261" s="14" t="str">
        <f ca="1">_xlfn.IFNA(VLOOKUP("3"&amp;B261,CountSpecific!E:F,2,0),"")</f>
        <v/>
      </c>
      <c r="P261" s="7" t="str">
        <f ca="1">_xlfn.IFNA(VLOOKUP("4"&amp;B261,CountSpecific!E:F,2,0),"")</f>
        <v/>
      </c>
    </row>
    <row r="262" spans="1:16" customFormat="1" x14ac:dyDescent="0.25">
      <c r="A262" s="7">
        <v>261</v>
      </c>
      <c r="B262" s="11" t="s">
        <v>277</v>
      </c>
      <c r="C262" s="7" t="s">
        <v>1039</v>
      </c>
      <c r="D262" s="7">
        <v>261</v>
      </c>
      <c r="E262" s="9">
        <v>261</v>
      </c>
      <c r="F262" s="7">
        <v>261</v>
      </c>
      <c r="G262" s="11" t="s">
        <v>1025</v>
      </c>
      <c r="H262" s="20">
        <v>442422</v>
      </c>
      <c r="I262" s="12">
        <v>45187</v>
      </c>
      <c r="J262" s="12">
        <v>45553</v>
      </c>
      <c r="K262" s="25">
        <v>260907</v>
      </c>
      <c r="L262" s="23">
        <v>181515</v>
      </c>
      <c r="M262" s="11"/>
      <c r="N262" s="7" t="str">
        <f ca="1">_xlfn.IFNA(VLOOKUP("2"&amp;B262,CountSpecific!E:F,2,0),"")</f>
        <v/>
      </c>
      <c r="O262" s="14" t="str">
        <f ca="1">_xlfn.IFNA(VLOOKUP("3"&amp;B262,CountSpecific!E:F,2,0),"")</f>
        <v/>
      </c>
      <c r="P262" s="7" t="str">
        <f ca="1">_xlfn.IFNA(VLOOKUP("4"&amp;B262,CountSpecific!E:F,2,0),"")</f>
        <v/>
      </c>
    </row>
    <row r="263" spans="1:16" customFormat="1" x14ac:dyDescent="0.25">
      <c r="A263" s="7">
        <v>262</v>
      </c>
      <c r="B263" s="11" t="s">
        <v>278</v>
      </c>
      <c r="C263" s="7" t="s">
        <v>1039</v>
      </c>
      <c r="D263" s="7">
        <v>262</v>
      </c>
      <c r="E263" s="7">
        <v>262</v>
      </c>
      <c r="F263" s="7">
        <v>262</v>
      </c>
      <c r="G263" s="11" t="s">
        <v>1021</v>
      </c>
      <c r="H263" s="20">
        <v>91370</v>
      </c>
      <c r="I263" s="12">
        <v>45057</v>
      </c>
      <c r="J263" s="12">
        <v>45362</v>
      </c>
      <c r="K263" s="25">
        <v>14255</v>
      </c>
      <c r="L263" s="23">
        <v>77115</v>
      </c>
      <c r="M263" s="11"/>
      <c r="N263" s="7" t="str">
        <f ca="1">_xlfn.IFNA(VLOOKUP("2"&amp;B263,CountSpecific!E:F,2,0),"")</f>
        <v/>
      </c>
      <c r="O263" s="14" t="str">
        <f ca="1">_xlfn.IFNA(VLOOKUP("3"&amp;B263,CountSpecific!E:F,2,0),"")</f>
        <v/>
      </c>
      <c r="P263" s="7" t="str">
        <f ca="1">_xlfn.IFNA(VLOOKUP("4"&amp;B263,CountSpecific!E:F,2,0),"")</f>
        <v/>
      </c>
    </row>
    <row r="264" spans="1:16" customFormat="1" x14ac:dyDescent="0.25">
      <c r="A264" s="7">
        <v>263</v>
      </c>
      <c r="B264" s="11" t="s">
        <v>279</v>
      </c>
      <c r="C264" s="7" t="s">
        <v>1039</v>
      </c>
      <c r="D264" s="7">
        <v>263</v>
      </c>
      <c r="E264" s="7">
        <v>263</v>
      </c>
      <c r="F264" s="7">
        <v>263</v>
      </c>
      <c r="G264" s="11" t="s">
        <v>1022</v>
      </c>
      <c r="H264" s="20">
        <v>31542</v>
      </c>
      <c r="I264" s="12">
        <v>44255</v>
      </c>
      <c r="J264" s="12">
        <v>44801</v>
      </c>
      <c r="K264" s="25">
        <v>5779</v>
      </c>
      <c r="L264" s="23">
        <v>25763</v>
      </c>
      <c r="M264" s="11"/>
      <c r="N264" s="7" t="str">
        <f ca="1">_xlfn.IFNA(VLOOKUP("2"&amp;B264,CountSpecific!E:F,2,0),"")</f>
        <v/>
      </c>
      <c r="O264" s="14" t="str">
        <f ca="1">_xlfn.IFNA(VLOOKUP("3"&amp;B264,CountSpecific!E:F,2,0),"")</f>
        <v/>
      </c>
      <c r="P264" s="7" t="str">
        <f ca="1">_xlfn.IFNA(VLOOKUP("4"&amp;B264,CountSpecific!E:F,2,0),"")</f>
        <v/>
      </c>
    </row>
    <row r="265" spans="1:16" customFormat="1" x14ac:dyDescent="0.25">
      <c r="A265" s="7">
        <v>264</v>
      </c>
      <c r="B265" s="11" t="s">
        <v>280</v>
      </c>
      <c r="C265" s="7" t="s">
        <v>1039</v>
      </c>
      <c r="D265" s="7">
        <v>264</v>
      </c>
      <c r="E265" s="9">
        <v>264</v>
      </c>
      <c r="F265" s="7">
        <v>264</v>
      </c>
      <c r="G265" s="11" t="s">
        <v>1020</v>
      </c>
      <c r="H265" s="20">
        <v>461499</v>
      </c>
      <c r="I265" s="12">
        <v>44055</v>
      </c>
      <c r="J265" s="12">
        <v>44451</v>
      </c>
      <c r="K265" s="25">
        <v>272657</v>
      </c>
      <c r="L265" s="23">
        <v>188842</v>
      </c>
      <c r="M265" s="11"/>
      <c r="N265" s="7" t="str">
        <f ca="1">_xlfn.IFNA(VLOOKUP("2"&amp;B265,CountSpecific!E:F,2,0),"")</f>
        <v/>
      </c>
      <c r="O265" s="14" t="str">
        <f ca="1">_xlfn.IFNA(VLOOKUP("3"&amp;B265,CountSpecific!E:F,2,0),"")</f>
        <v/>
      </c>
      <c r="P265" s="7" t="str">
        <f ca="1">_xlfn.IFNA(VLOOKUP("4"&amp;B265,CountSpecific!E:F,2,0),"")</f>
        <v/>
      </c>
    </row>
    <row r="266" spans="1:16" customFormat="1" x14ac:dyDescent="0.25">
      <c r="A266" s="7">
        <v>265</v>
      </c>
      <c r="B266" s="11" t="s">
        <v>281</v>
      </c>
      <c r="C266" s="7" t="s">
        <v>1039</v>
      </c>
      <c r="D266" s="7">
        <v>265</v>
      </c>
      <c r="E266" s="7">
        <v>265</v>
      </c>
      <c r="F266" s="7">
        <v>265</v>
      </c>
      <c r="G266" s="11" t="s">
        <v>1027</v>
      </c>
      <c r="H266" s="20">
        <v>46840</v>
      </c>
      <c r="I266" s="12">
        <v>44272</v>
      </c>
      <c r="J266" s="12">
        <v>44851</v>
      </c>
      <c r="K266" s="25">
        <v>2384</v>
      </c>
      <c r="L266" s="23">
        <v>44456</v>
      </c>
      <c r="M266" s="11"/>
      <c r="N266" s="7" t="str">
        <f ca="1">_xlfn.IFNA(VLOOKUP("2"&amp;B266,CountSpecific!E:F,2,0),"")</f>
        <v/>
      </c>
      <c r="O266" s="14" t="str">
        <f ca="1">_xlfn.IFNA(VLOOKUP("3"&amp;B266,CountSpecific!E:F,2,0),"")</f>
        <v/>
      </c>
      <c r="P266" s="7" t="str">
        <f ca="1">_xlfn.IFNA(VLOOKUP("4"&amp;B266,CountSpecific!E:F,2,0),"")</f>
        <v/>
      </c>
    </row>
    <row r="267" spans="1:16" customFormat="1" x14ac:dyDescent="0.25">
      <c r="A267" s="7">
        <v>266</v>
      </c>
      <c r="B267" s="11" t="s">
        <v>282</v>
      </c>
      <c r="C267" s="7" t="s">
        <v>1039</v>
      </c>
      <c r="D267" s="7">
        <v>266</v>
      </c>
      <c r="E267" s="7">
        <v>266</v>
      </c>
      <c r="F267" s="7">
        <v>266</v>
      </c>
      <c r="G267" s="11" t="s">
        <v>1025</v>
      </c>
      <c r="H267" s="20">
        <v>343981</v>
      </c>
      <c r="I267" s="12">
        <v>44172</v>
      </c>
      <c r="J267" s="12">
        <v>44749</v>
      </c>
      <c r="K267" s="25">
        <v>336561</v>
      </c>
      <c r="L267" s="23">
        <v>7420</v>
      </c>
      <c r="M267" s="11"/>
      <c r="N267" s="7" t="str">
        <f ca="1">_xlfn.IFNA(VLOOKUP("2"&amp;B267,CountSpecific!E:F,2,0),"")</f>
        <v/>
      </c>
      <c r="O267" s="14" t="str">
        <f ca="1">_xlfn.IFNA(VLOOKUP("3"&amp;B267,CountSpecific!E:F,2,0),"")</f>
        <v/>
      </c>
      <c r="P267" s="7" t="str">
        <f ca="1">_xlfn.IFNA(VLOOKUP("4"&amp;B267,CountSpecific!E:F,2,0),"")</f>
        <v/>
      </c>
    </row>
    <row r="268" spans="1:16" customFormat="1" x14ac:dyDescent="0.25">
      <c r="A268" s="7">
        <v>267</v>
      </c>
      <c r="B268" s="11" t="s">
        <v>283</v>
      </c>
      <c r="C268" s="7" t="s">
        <v>1039</v>
      </c>
      <c r="D268" s="7">
        <v>267</v>
      </c>
      <c r="E268" s="9">
        <v>267</v>
      </c>
      <c r="F268" s="7">
        <v>267</v>
      </c>
      <c r="G268" s="11" t="s">
        <v>1026</v>
      </c>
      <c r="H268" s="20">
        <v>4106319</v>
      </c>
      <c r="I268" s="12">
        <v>44595</v>
      </c>
      <c r="J268" s="12">
        <v>45141</v>
      </c>
      <c r="K268" s="25">
        <v>2195326</v>
      </c>
      <c r="L268" s="23">
        <v>1910993</v>
      </c>
      <c r="M268" s="11"/>
      <c r="N268" s="7" t="str">
        <f ca="1">_xlfn.IFNA(VLOOKUP("2"&amp;B268,CountSpecific!E:F,2,0),"")</f>
        <v/>
      </c>
      <c r="O268" s="14" t="str">
        <f ca="1">_xlfn.IFNA(VLOOKUP("3"&amp;B268,CountSpecific!E:F,2,0),"")</f>
        <v/>
      </c>
      <c r="P268" s="7" t="str">
        <f ca="1">_xlfn.IFNA(VLOOKUP("4"&amp;B268,CountSpecific!E:F,2,0),"")</f>
        <v/>
      </c>
    </row>
    <row r="269" spans="1:16" customFormat="1" x14ac:dyDescent="0.25">
      <c r="A269" s="7">
        <v>268</v>
      </c>
      <c r="B269" s="11" t="s">
        <v>284</v>
      </c>
      <c r="C269" s="7" t="s">
        <v>1039</v>
      </c>
      <c r="D269" s="7">
        <v>268</v>
      </c>
      <c r="E269" s="7">
        <v>268</v>
      </c>
      <c r="F269" s="7">
        <v>268</v>
      </c>
      <c r="G269" s="11" t="s">
        <v>1020</v>
      </c>
      <c r="H269" s="20">
        <v>421743</v>
      </c>
      <c r="I269" s="12">
        <v>44191</v>
      </c>
      <c r="J269" s="12">
        <v>44526</v>
      </c>
      <c r="K269" s="25">
        <v>14510</v>
      </c>
      <c r="L269" s="23">
        <v>407233</v>
      </c>
      <c r="M269" s="11"/>
      <c r="N269" s="7" t="str">
        <f ca="1">_xlfn.IFNA(VLOOKUP("2"&amp;B269,CountSpecific!E:F,2,0),"")</f>
        <v/>
      </c>
      <c r="O269" s="14" t="str">
        <f ca="1">_xlfn.IFNA(VLOOKUP("3"&amp;B269,CountSpecific!E:F,2,0),"")</f>
        <v/>
      </c>
      <c r="P269" s="7" t="str">
        <f ca="1">_xlfn.IFNA(VLOOKUP("4"&amp;B269,CountSpecific!E:F,2,0),"")</f>
        <v/>
      </c>
    </row>
    <row r="270" spans="1:16" customFormat="1" x14ac:dyDescent="0.25">
      <c r="A270" s="7">
        <v>269</v>
      </c>
      <c r="B270" s="11" t="s">
        <v>285</v>
      </c>
      <c r="C270" s="7" t="s">
        <v>1039</v>
      </c>
      <c r="D270" s="7">
        <v>269</v>
      </c>
      <c r="E270" s="7">
        <v>269</v>
      </c>
      <c r="F270" s="7">
        <v>269</v>
      </c>
      <c r="G270" s="11" t="s">
        <v>1016</v>
      </c>
      <c r="H270" s="20">
        <v>12548</v>
      </c>
      <c r="I270" s="12">
        <v>44767</v>
      </c>
      <c r="J270" s="12">
        <v>45347</v>
      </c>
      <c r="K270" s="25">
        <v>3959</v>
      </c>
      <c r="L270" s="23">
        <v>8589</v>
      </c>
      <c r="M270" s="11"/>
      <c r="N270" s="7" t="str">
        <f ca="1">_xlfn.IFNA(VLOOKUP("2"&amp;B270,CountSpecific!E:F,2,0),"")</f>
        <v/>
      </c>
      <c r="O270" s="14" t="str">
        <f ca="1">_xlfn.IFNA(VLOOKUP("3"&amp;B270,CountSpecific!E:F,2,0),"")</f>
        <v/>
      </c>
      <c r="P270" s="7" t="str">
        <f ca="1">_xlfn.IFNA(VLOOKUP("4"&amp;B270,CountSpecific!E:F,2,0),"")</f>
        <v/>
      </c>
    </row>
    <row r="271" spans="1:16" customFormat="1" x14ac:dyDescent="0.25">
      <c r="A271" s="7">
        <v>270</v>
      </c>
      <c r="B271" s="11" t="s">
        <v>286</v>
      </c>
      <c r="C271" s="7" t="s">
        <v>1039</v>
      </c>
      <c r="D271" s="7">
        <v>270</v>
      </c>
      <c r="E271" s="9">
        <v>270</v>
      </c>
      <c r="F271" s="7">
        <v>270</v>
      </c>
      <c r="G271" s="11" t="s">
        <v>1023</v>
      </c>
      <c r="H271" s="20">
        <v>623</v>
      </c>
      <c r="I271" s="12">
        <v>44816</v>
      </c>
      <c r="J271" s="12">
        <v>45485</v>
      </c>
      <c r="K271" s="25">
        <v>297</v>
      </c>
      <c r="L271" s="23">
        <v>326</v>
      </c>
      <c r="M271" s="11"/>
      <c r="N271" s="7" t="str">
        <f ca="1">_xlfn.IFNA(VLOOKUP("2"&amp;B271,CountSpecific!E:F,2,0),"")</f>
        <v/>
      </c>
      <c r="O271" s="14" t="str">
        <f ca="1">_xlfn.IFNA(VLOOKUP("3"&amp;B271,CountSpecific!E:F,2,0),"")</f>
        <v/>
      </c>
      <c r="P271" s="7" t="str">
        <f ca="1">_xlfn.IFNA(VLOOKUP("4"&amp;B271,CountSpecific!E:F,2,0),"")</f>
        <v/>
      </c>
    </row>
    <row r="272" spans="1:16" customFormat="1" x14ac:dyDescent="0.25">
      <c r="A272" s="7">
        <v>271</v>
      </c>
      <c r="B272" s="11" t="s">
        <v>287</v>
      </c>
      <c r="C272" s="7" t="s">
        <v>1039</v>
      </c>
      <c r="D272" s="7">
        <v>271</v>
      </c>
      <c r="E272" s="7">
        <v>271</v>
      </c>
      <c r="F272" s="7">
        <v>271</v>
      </c>
      <c r="G272" s="11" t="s">
        <v>1022</v>
      </c>
      <c r="H272" s="20">
        <v>7336</v>
      </c>
      <c r="I272" s="12">
        <v>45500</v>
      </c>
      <c r="J272" s="12">
        <v>46108</v>
      </c>
      <c r="K272" s="25">
        <v>2802</v>
      </c>
      <c r="L272" s="23">
        <v>4534</v>
      </c>
      <c r="M272" s="11"/>
      <c r="N272" s="7" t="str">
        <f ca="1">_xlfn.IFNA(VLOOKUP("2"&amp;B272,CountSpecific!E:F,2,0),"")</f>
        <v/>
      </c>
      <c r="O272" s="14" t="str">
        <f ca="1">_xlfn.IFNA(VLOOKUP("3"&amp;B272,CountSpecific!E:F,2,0),"")</f>
        <v/>
      </c>
      <c r="P272" s="7" t="str">
        <f ca="1">_xlfn.IFNA(VLOOKUP("4"&amp;B272,CountSpecific!E:F,2,0),"")</f>
        <v/>
      </c>
    </row>
    <row r="273" spans="1:16" customFormat="1" x14ac:dyDescent="0.25">
      <c r="A273" s="7">
        <v>272</v>
      </c>
      <c r="B273" s="11" t="s">
        <v>288</v>
      </c>
      <c r="C273" s="7" t="s">
        <v>1039</v>
      </c>
      <c r="D273" s="7">
        <v>272</v>
      </c>
      <c r="E273" s="7">
        <v>272</v>
      </c>
      <c r="F273" s="7">
        <v>272</v>
      </c>
      <c r="G273" s="11" t="s">
        <v>1027</v>
      </c>
      <c r="H273" s="20">
        <v>29655</v>
      </c>
      <c r="I273" s="12">
        <v>43958</v>
      </c>
      <c r="J273" s="12">
        <v>44446</v>
      </c>
      <c r="K273" s="25">
        <v>11403</v>
      </c>
      <c r="L273" s="23">
        <v>18252</v>
      </c>
      <c r="M273" s="11"/>
      <c r="N273" s="7" t="str">
        <f ca="1">_xlfn.IFNA(VLOOKUP("2"&amp;B273,CountSpecific!E:F,2,0),"")</f>
        <v/>
      </c>
      <c r="O273" s="14" t="str">
        <f ca="1">_xlfn.IFNA(VLOOKUP("3"&amp;B273,CountSpecific!E:F,2,0),"")</f>
        <v/>
      </c>
      <c r="P273" s="7" t="str">
        <f ca="1">_xlfn.IFNA(VLOOKUP("4"&amp;B273,CountSpecific!E:F,2,0),"")</f>
        <v/>
      </c>
    </row>
    <row r="274" spans="1:16" customFormat="1" x14ac:dyDescent="0.25">
      <c r="A274" s="7">
        <v>273</v>
      </c>
      <c r="B274" s="11" t="s">
        <v>289</v>
      </c>
      <c r="C274" s="7" t="s">
        <v>1039</v>
      </c>
      <c r="D274" s="7">
        <v>273</v>
      </c>
      <c r="E274" s="9">
        <v>273</v>
      </c>
      <c r="F274" s="7">
        <v>273</v>
      </c>
      <c r="G274" s="11" t="s">
        <v>1022</v>
      </c>
      <c r="H274" s="20">
        <v>32103</v>
      </c>
      <c r="I274" s="12">
        <v>45101</v>
      </c>
      <c r="J274" s="12">
        <v>45620</v>
      </c>
      <c r="K274" s="25">
        <v>13848</v>
      </c>
      <c r="L274" s="23">
        <v>18255</v>
      </c>
      <c r="M274" s="11"/>
      <c r="N274" s="7" t="str">
        <f ca="1">_xlfn.IFNA(VLOOKUP("2"&amp;B274,CountSpecific!E:F,2,0),"")</f>
        <v/>
      </c>
      <c r="O274" s="14" t="str">
        <f ca="1">_xlfn.IFNA(VLOOKUP("3"&amp;B274,CountSpecific!E:F,2,0),"")</f>
        <v/>
      </c>
      <c r="P274" s="7" t="str">
        <f ca="1">_xlfn.IFNA(VLOOKUP("4"&amp;B274,CountSpecific!E:F,2,0),"")</f>
        <v/>
      </c>
    </row>
    <row r="275" spans="1:16" customFormat="1" x14ac:dyDescent="0.25">
      <c r="A275" s="7">
        <v>274</v>
      </c>
      <c r="B275" s="11" t="s">
        <v>290</v>
      </c>
      <c r="C275" s="7" t="s">
        <v>1039</v>
      </c>
      <c r="D275" s="7">
        <v>274</v>
      </c>
      <c r="E275" s="7">
        <v>274</v>
      </c>
      <c r="F275" s="7">
        <v>274</v>
      </c>
      <c r="G275" s="11" t="s">
        <v>1023</v>
      </c>
      <c r="H275" s="20">
        <v>413</v>
      </c>
      <c r="I275" s="12">
        <v>44084</v>
      </c>
      <c r="J275" s="12">
        <v>44722</v>
      </c>
      <c r="K275" s="25">
        <v>12</v>
      </c>
      <c r="L275" s="23">
        <v>401</v>
      </c>
      <c r="M275" s="11"/>
      <c r="N275" s="7" t="str">
        <f ca="1">_xlfn.IFNA(VLOOKUP("2"&amp;B275,CountSpecific!E:F,2,0),"")</f>
        <v/>
      </c>
      <c r="O275" s="14" t="str">
        <f ca="1">_xlfn.IFNA(VLOOKUP("3"&amp;B275,CountSpecific!E:F,2,0),"")</f>
        <v/>
      </c>
      <c r="P275" s="7" t="str">
        <f ca="1">_xlfn.IFNA(VLOOKUP("4"&amp;B275,CountSpecific!E:F,2,0),"")</f>
        <v/>
      </c>
    </row>
    <row r="276" spans="1:16" customFormat="1" x14ac:dyDescent="0.25">
      <c r="A276" s="7">
        <v>275</v>
      </c>
      <c r="B276" s="11" t="s">
        <v>291</v>
      </c>
      <c r="C276" s="7" t="s">
        <v>1039</v>
      </c>
      <c r="D276" s="7">
        <v>275</v>
      </c>
      <c r="E276" s="7">
        <v>275</v>
      </c>
      <c r="F276" s="7">
        <v>275</v>
      </c>
      <c r="G276" s="11" t="s">
        <v>1020</v>
      </c>
      <c r="H276" s="20">
        <v>34505</v>
      </c>
      <c r="I276" s="12">
        <v>43966</v>
      </c>
      <c r="J276" s="12">
        <v>44211</v>
      </c>
      <c r="K276" s="25">
        <v>8416</v>
      </c>
      <c r="L276" s="23">
        <v>26089</v>
      </c>
      <c r="M276" s="11"/>
      <c r="N276" s="7" t="str">
        <f ca="1">_xlfn.IFNA(VLOOKUP("2"&amp;B276,CountSpecific!E:F,2,0),"")</f>
        <v/>
      </c>
      <c r="O276" s="14" t="str">
        <f ca="1">_xlfn.IFNA(VLOOKUP("3"&amp;B276,CountSpecific!E:F,2,0),"")</f>
        <v/>
      </c>
      <c r="P276" s="7" t="str">
        <f ca="1">_xlfn.IFNA(VLOOKUP("4"&amp;B276,CountSpecific!E:F,2,0),"")</f>
        <v/>
      </c>
    </row>
    <row r="277" spans="1:16" customFormat="1" x14ac:dyDescent="0.25">
      <c r="A277" s="7">
        <v>276</v>
      </c>
      <c r="B277" s="11" t="s">
        <v>292</v>
      </c>
      <c r="C277" s="7" t="s">
        <v>1039</v>
      </c>
      <c r="D277" s="7">
        <v>276</v>
      </c>
      <c r="E277" s="9">
        <v>276</v>
      </c>
      <c r="F277" s="7">
        <v>276</v>
      </c>
      <c r="G277" s="11" t="s">
        <v>1024</v>
      </c>
      <c r="H277" s="20">
        <v>807779</v>
      </c>
      <c r="I277" s="12">
        <v>45543</v>
      </c>
      <c r="J277" s="12">
        <v>45969</v>
      </c>
      <c r="K277" s="25">
        <v>243035</v>
      </c>
      <c r="L277" s="23">
        <v>564744</v>
      </c>
      <c r="M277" s="11"/>
      <c r="N277" s="7" t="str">
        <f ca="1">_xlfn.IFNA(VLOOKUP("2"&amp;B277,CountSpecific!E:F,2,0),"")</f>
        <v/>
      </c>
      <c r="O277" s="14" t="str">
        <f ca="1">_xlfn.IFNA(VLOOKUP("3"&amp;B277,CountSpecific!E:F,2,0),"")</f>
        <v/>
      </c>
      <c r="P277" s="7" t="str">
        <f ca="1">_xlfn.IFNA(VLOOKUP("4"&amp;B277,CountSpecific!E:F,2,0),"")</f>
        <v/>
      </c>
    </row>
    <row r="278" spans="1:16" customFormat="1" x14ac:dyDescent="0.25">
      <c r="A278" s="7">
        <v>277</v>
      </c>
      <c r="B278" s="11" t="s">
        <v>293</v>
      </c>
      <c r="C278" s="7" t="s">
        <v>1039</v>
      </c>
      <c r="D278" s="7">
        <v>277</v>
      </c>
      <c r="E278" s="7">
        <v>277</v>
      </c>
      <c r="F278" s="7">
        <v>277</v>
      </c>
      <c r="G278" s="11" t="s">
        <v>1025</v>
      </c>
      <c r="H278" s="20">
        <v>110723</v>
      </c>
      <c r="I278" s="12">
        <v>45621</v>
      </c>
      <c r="J278" s="12">
        <v>45925</v>
      </c>
      <c r="K278" s="25">
        <v>85719</v>
      </c>
      <c r="L278" s="23">
        <v>25004</v>
      </c>
      <c r="M278" s="11"/>
      <c r="N278" s="7" t="str">
        <f ca="1">_xlfn.IFNA(VLOOKUP("2"&amp;B278,CountSpecific!E:F,2,0),"")</f>
        <v/>
      </c>
      <c r="O278" s="14" t="str">
        <f ca="1">_xlfn.IFNA(VLOOKUP("3"&amp;B278,CountSpecific!E:F,2,0),"")</f>
        <v/>
      </c>
      <c r="P278" s="7" t="str">
        <f ca="1">_xlfn.IFNA(VLOOKUP("4"&amp;B278,CountSpecific!E:F,2,0),"")</f>
        <v/>
      </c>
    </row>
    <row r="279" spans="1:16" customFormat="1" x14ac:dyDescent="0.25">
      <c r="A279" s="7">
        <v>278</v>
      </c>
      <c r="B279" s="11" t="s">
        <v>294</v>
      </c>
      <c r="C279" s="7" t="s">
        <v>1039</v>
      </c>
      <c r="D279" s="7">
        <v>278</v>
      </c>
      <c r="E279" s="7">
        <v>278</v>
      </c>
      <c r="F279" s="7">
        <v>278</v>
      </c>
      <c r="G279" s="11" t="s">
        <v>1020</v>
      </c>
      <c r="H279" s="20">
        <v>427142</v>
      </c>
      <c r="I279" s="12">
        <v>44172</v>
      </c>
      <c r="J279" s="12">
        <v>44415</v>
      </c>
      <c r="K279" s="25">
        <v>246257</v>
      </c>
      <c r="L279" s="23">
        <v>180885</v>
      </c>
      <c r="M279" s="11"/>
      <c r="N279" s="7" t="str">
        <f ca="1">_xlfn.IFNA(VLOOKUP("2"&amp;B279,CountSpecific!E:F,2,0),"")</f>
        <v/>
      </c>
      <c r="O279" s="14" t="str">
        <f ca="1">_xlfn.IFNA(VLOOKUP("3"&amp;B279,CountSpecific!E:F,2,0),"")</f>
        <v/>
      </c>
      <c r="P279" s="7" t="str">
        <f ca="1">_xlfn.IFNA(VLOOKUP("4"&amp;B279,CountSpecific!E:F,2,0),"")</f>
        <v/>
      </c>
    </row>
    <row r="280" spans="1:16" customFormat="1" x14ac:dyDescent="0.25">
      <c r="A280" s="7">
        <v>279</v>
      </c>
      <c r="B280" s="11" t="s">
        <v>295</v>
      </c>
      <c r="C280" s="7" t="s">
        <v>1039</v>
      </c>
      <c r="D280" s="7">
        <v>279</v>
      </c>
      <c r="E280" s="9">
        <v>279</v>
      </c>
      <c r="F280" s="7">
        <v>279</v>
      </c>
      <c r="G280" s="11" t="s">
        <v>1025</v>
      </c>
      <c r="H280" s="20">
        <v>457117</v>
      </c>
      <c r="I280" s="12">
        <v>44053</v>
      </c>
      <c r="J280" s="12">
        <v>44296</v>
      </c>
      <c r="K280" s="25">
        <v>24494</v>
      </c>
      <c r="L280" s="23">
        <v>432623</v>
      </c>
      <c r="M280" s="11"/>
      <c r="N280" s="7" t="str">
        <f ca="1">_xlfn.IFNA(VLOOKUP("2"&amp;B280,CountSpecific!E:F,2,0),"")</f>
        <v/>
      </c>
      <c r="O280" s="14" t="str">
        <f ca="1">_xlfn.IFNA(VLOOKUP("3"&amp;B280,CountSpecific!E:F,2,0),"")</f>
        <v/>
      </c>
      <c r="P280" s="7" t="str">
        <f ca="1">_xlfn.IFNA(VLOOKUP("4"&amp;B280,CountSpecific!E:F,2,0),"")</f>
        <v/>
      </c>
    </row>
    <row r="281" spans="1:16" customFormat="1" x14ac:dyDescent="0.25">
      <c r="A281" s="7">
        <v>280</v>
      </c>
      <c r="B281" s="11" t="s">
        <v>296</v>
      </c>
      <c r="C281" s="7" t="s">
        <v>1039</v>
      </c>
      <c r="D281" s="7">
        <v>280</v>
      </c>
      <c r="E281" s="7">
        <v>280</v>
      </c>
      <c r="F281" s="7">
        <v>280</v>
      </c>
      <c r="G281" s="11" t="s">
        <v>1024</v>
      </c>
      <c r="H281" s="20">
        <v>406524</v>
      </c>
      <c r="I281" s="12">
        <v>43918</v>
      </c>
      <c r="J281" s="12">
        <v>44224</v>
      </c>
      <c r="K281" s="25">
        <v>198246</v>
      </c>
      <c r="L281" s="23">
        <v>208278</v>
      </c>
      <c r="M281" s="11"/>
      <c r="N281" s="7" t="str">
        <f ca="1">_xlfn.IFNA(VLOOKUP("2"&amp;B281,CountSpecific!E:F,2,0),"")</f>
        <v/>
      </c>
      <c r="O281" s="14" t="str">
        <f ca="1">_xlfn.IFNA(VLOOKUP("3"&amp;B281,CountSpecific!E:F,2,0),"")</f>
        <v/>
      </c>
      <c r="P281" s="7" t="str">
        <f ca="1">_xlfn.IFNA(VLOOKUP("4"&amp;B281,CountSpecific!E:F,2,0),"")</f>
        <v/>
      </c>
    </row>
    <row r="282" spans="1:16" customFormat="1" x14ac:dyDescent="0.25">
      <c r="A282" s="7">
        <v>281</v>
      </c>
      <c r="B282" s="11" t="s">
        <v>297</v>
      </c>
      <c r="C282" s="7" t="s">
        <v>1039</v>
      </c>
      <c r="D282" s="7">
        <v>281</v>
      </c>
      <c r="E282" s="7">
        <v>281</v>
      </c>
      <c r="F282" s="7">
        <v>281</v>
      </c>
      <c r="G282" s="11" t="s">
        <v>1022</v>
      </c>
      <c r="H282" s="20">
        <v>27951</v>
      </c>
      <c r="I282" s="12">
        <v>44595</v>
      </c>
      <c r="J282" s="12">
        <v>44776</v>
      </c>
      <c r="K282" s="25">
        <v>17952</v>
      </c>
      <c r="L282" s="23">
        <v>9999</v>
      </c>
      <c r="M282" s="11"/>
      <c r="N282" s="7" t="str">
        <f ca="1">_xlfn.IFNA(VLOOKUP("2"&amp;B282,CountSpecific!E:F,2,0),"")</f>
        <v/>
      </c>
      <c r="O282" s="14" t="str">
        <f ca="1">_xlfn.IFNA(VLOOKUP("3"&amp;B282,CountSpecific!E:F,2,0),"")</f>
        <v/>
      </c>
      <c r="P282" s="7" t="str">
        <f ca="1">_xlfn.IFNA(VLOOKUP("4"&amp;B282,CountSpecific!E:F,2,0),"")</f>
        <v/>
      </c>
    </row>
    <row r="283" spans="1:16" customFormat="1" x14ac:dyDescent="0.25">
      <c r="A283" s="7">
        <v>282</v>
      </c>
      <c r="B283" s="11" t="s">
        <v>298</v>
      </c>
      <c r="C283" s="7" t="s">
        <v>1039</v>
      </c>
      <c r="D283" s="7">
        <v>282</v>
      </c>
      <c r="E283" s="9">
        <v>282</v>
      </c>
      <c r="F283" s="7">
        <v>282</v>
      </c>
      <c r="G283" s="11" t="s">
        <v>1027</v>
      </c>
      <c r="H283" s="20">
        <v>25987</v>
      </c>
      <c r="I283" s="12">
        <v>45068</v>
      </c>
      <c r="J283" s="12">
        <v>45373</v>
      </c>
      <c r="K283" s="25">
        <v>11696</v>
      </c>
      <c r="L283" s="23">
        <v>14291</v>
      </c>
      <c r="M283" s="11"/>
      <c r="N283" s="7" t="str">
        <f ca="1">_xlfn.IFNA(VLOOKUP("2"&amp;B283,CountSpecific!E:F,2,0),"")</f>
        <v/>
      </c>
      <c r="O283" s="14" t="str">
        <f ca="1">_xlfn.IFNA(VLOOKUP("3"&amp;B283,CountSpecific!E:F,2,0),"")</f>
        <v/>
      </c>
      <c r="P283" s="7" t="str">
        <f ca="1">_xlfn.IFNA(VLOOKUP("4"&amp;B283,CountSpecific!E:F,2,0),"")</f>
        <v/>
      </c>
    </row>
    <row r="284" spans="1:16" customFormat="1" x14ac:dyDescent="0.25">
      <c r="A284" s="7">
        <v>283</v>
      </c>
      <c r="B284" s="11" t="s">
        <v>299</v>
      </c>
      <c r="C284" s="7" t="s">
        <v>1039</v>
      </c>
      <c r="D284" s="7">
        <v>283</v>
      </c>
      <c r="E284" s="7">
        <v>283</v>
      </c>
      <c r="F284" s="7">
        <v>283</v>
      </c>
      <c r="G284" s="11" t="s">
        <v>1027</v>
      </c>
      <c r="H284" s="20">
        <v>52518</v>
      </c>
      <c r="I284" s="12">
        <v>44279</v>
      </c>
      <c r="J284" s="12">
        <v>44675</v>
      </c>
      <c r="K284" s="25">
        <v>22046</v>
      </c>
      <c r="L284" s="23">
        <v>30472</v>
      </c>
      <c r="M284" s="11"/>
      <c r="N284" s="7" t="str">
        <f ca="1">_xlfn.IFNA(VLOOKUP("2"&amp;B284,CountSpecific!E:F,2,0),"")</f>
        <v/>
      </c>
      <c r="O284" s="14" t="str">
        <f ca="1">_xlfn.IFNA(VLOOKUP("3"&amp;B284,CountSpecific!E:F,2,0),"")</f>
        <v/>
      </c>
      <c r="P284" s="7" t="str">
        <f ca="1">_xlfn.IFNA(VLOOKUP("4"&amp;B284,CountSpecific!E:F,2,0),"")</f>
        <v/>
      </c>
    </row>
    <row r="285" spans="1:16" customFormat="1" x14ac:dyDescent="0.25">
      <c r="A285" s="7">
        <v>284</v>
      </c>
      <c r="B285" s="11" t="s">
        <v>300</v>
      </c>
      <c r="C285" s="7" t="s">
        <v>1039</v>
      </c>
      <c r="D285" s="7">
        <v>284</v>
      </c>
      <c r="E285" s="7">
        <v>284</v>
      </c>
      <c r="F285" s="7">
        <v>284</v>
      </c>
      <c r="G285" s="11" t="s">
        <v>1021</v>
      </c>
      <c r="H285" s="20">
        <v>79380</v>
      </c>
      <c r="I285" s="12">
        <v>44177</v>
      </c>
      <c r="J285" s="12">
        <v>44542</v>
      </c>
      <c r="K285" s="25">
        <v>36520</v>
      </c>
      <c r="L285" s="23">
        <v>42860</v>
      </c>
      <c r="M285" s="11"/>
      <c r="N285" s="7" t="str">
        <f ca="1">_xlfn.IFNA(VLOOKUP("2"&amp;B285,CountSpecific!E:F,2,0),"")</f>
        <v/>
      </c>
      <c r="O285" s="14" t="str">
        <f ca="1">_xlfn.IFNA(VLOOKUP("3"&amp;B285,CountSpecific!E:F,2,0),"")</f>
        <v/>
      </c>
      <c r="P285" s="7" t="str">
        <f ca="1">_xlfn.IFNA(VLOOKUP("4"&amp;B285,CountSpecific!E:F,2,0),"")</f>
        <v/>
      </c>
    </row>
    <row r="286" spans="1:16" customFormat="1" x14ac:dyDescent="0.25">
      <c r="A286" s="7">
        <v>285</v>
      </c>
      <c r="B286" s="11" t="s">
        <v>301</v>
      </c>
      <c r="C286" s="7" t="s">
        <v>1039</v>
      </c>
      <c r="D286" s="7">
        <v>285</v>
      </c>
      <c r="E286" s="9">
        <v>285</v>
      </c>
      <c r="F286" s="7">
        <v>285</v>
      </c>
      <c r="G286" s="11" t="s">
        <v>1023</v>
      </c>
      <c r="H286" s="20">
        <v>454</v>
      </c>
      <c r="I286" s="12">
        <v>43880</v>
      </c>
      <c r="J286" s="12">
        <v>44519</v>
      </c>
      <c r="K286" s="25">
        <v>428</v>
      </c>
      <c r="L286" s="23">
        <v>26</v>
      </c>
      <c r="M286" s="11"/>
      <c r="N286" s="7" t="str">
        <f ca="1">_xlfn.IFNA(VLOOKUP("2"&amp;B286,CountSpecific!E:F,2,0),"")</f>
        <v/>
      </c>
      <c r="O286" s="14" t="str">
        <f ca="1">_xlfn.IFNA(VLOOKUP("3"&amp;B286,CountSpecific!E:F,2,0),"")</f>
        <v/>
      </c>
      <c r="P286" s="7" t="str">
        <f ca="1">_xlfn.IFNA(VLOOKUP("4"&amp;B286,CountSpecific!E:F,2,0),"")</f>
        <v/>
      </c>
    </row>
    <row r="287" spans="1:16" customFormat="1" x14ac:dyDescent="0.25">
      <c r="A287" s="7">
        <v>286</v>
      </c>
      <c r="B287" s="11" t="s">
        <v>302</v>
      </c>
      <c r="C287" s="7" t="s">
        <v>1039</v>
      </c>
      <c r="D287" s="7">
        <v>286</v>
      </c>
      <c r="E287" s="7">
        <v>286</v>
      </c>
      <c r="F287" s="7">
        <v>286</v>
      </c>
      <c r="G287" s="11" t="s">
        <v>1022</v>
      </c>
      <c r="H287" s="20">
        <v>12321</v>
      </c>
      <c r="I287" s="12">
        <v>44122</v>
      </c>
      <c r="J287" s="12">
        <v>44699</v>
      </c>
      <c r="K287" s="25">
        <v>11651</v>
      </c>
      <c r="L287" s="23">
        <v>670</v>
      </c>
      <c r="M287" s="11"/>
      <c r="N287" s="7" t="str">
        <f ca="1">_xlfn.IFNA(VLOOKUP("2"&amp;B287,CountSpecific!E:F,2,0),"")</f>
        <v/>
      </c>
      <c r="O287" s="14" t="str">
        <f ca="1">_xlfn.IFNA(VLOOKUP("3"&amp;B287,CountSpecific!E:F,2,0),"")</f>
        <v/>
      </c>
      <c r="P287" s="7" t="str">
        <f ca="1">_xlfn.IFNA(VLOOKUP("4"&amp;B287,CountSpecific!E:F,2,0),"")</f>
        <v/>
      </c>
    </row>
    <row r="288" spans="1:16" customFormat="1" x14ac:dyDescent="0.25">
      <c r="A288" s="7">
        <v>287</v>
      </c>
      <c r="B288" s="11" t="s">
        <v>303</v>
      </c>
      <c r="C288" s="7" t="s">
        <v>1039</v>
      </c>
      <c r="D288" s="7">
        <v>287</v>
      </c>
      <c r="E288" s="7">
        <v>287</v>
      </c>
      <c r="F288" s="7">
        <v>287</v>
      </c>
      <c r="G288" s="11" t="s">
        <v>1026</v>
      </c>
      <c r="H288" s="20">
        <v>929703</v>
      </c>
      <c r="I288" s="12">
        <v>44790</v>
      </c>
      <c r="J288" s="12">
        <v>45155</v>
      </c>
      <c r="K288" s="25">
        <v>828994</v>
      </c>
      <c r="L288" s="23">
        <v>100709</v>
      </c>
      <c r="M288" s="11"/>
      <c r="N288" s="7" t="str">
        <f ca="1">_xlfn.IFNA(VLOOKUP("2"&amp;B288,CountSpecific!E:F,2,0),"")</f>
        <v/>
      </c>
      <c r="O288" s="14" t="str">
        <f ca="1">_xlfn.IFNA(VLOOKUP("3"&amp;B288,CountSpecific!E:F,2,0),"")</f>
        <v/>
      </c>
      <c r="P288" s="7" t="str">
        <f ca="1">_xlfn.IFNA(VLOOKUP("4"&amp;B288,CountSpecific!E:F,2,0),"")</f>
        <v/>
      </c>
    </row>
    <row r="289" spans="1:16" customFormat="1" x14ac:dyDescent="0.25">
      <c r="A289" s="7">
        <v>288</v>
      </c>
      <c r="B289" s="11" t="s">
        <v>304</v>
      </c>
      <c r="C289" s="7" t="s">
        <v>1039</v>
      </c>
      <c r="D289" s="7">
        <v>288</v>
      </c>
      <c r="E289" s="9">
        <v>288</v>
      </c>
      <c r="F289" s="7">
        <v>288</v>
      </c>
      <c r="G289" s="11" t="s">
        <v>1020</v>
      </c>
      <c r="H289" s="20">
        <v>427919</v>
      </c>
      <c r="I289" s="12">
        <v>44458</v>
      </c>
      <c r="J289" s="12">
        <v>44611</v>
      </c>
      <c r="K289" s="25">
        <v>218492</v>
      </c>
      <c r="L289" s="23">
        <v>209427</v>
      </c>
      <c r="M289" s="11"/>
      <c r="N289" s="7" t="str">
        <f ca="1">_xlfn.IFNA(VLOOKUP("2"&amp;B289,CountSpecific!E:F,2,0),"")</f>
        <v/>
      </c>
      <c r="O289" s="14" t="str">
        <f ca="1">_xlfn.IFNA(VLOOKUP("3"&amp;B289,CountSpecific!E:F,2,0),"")</f>
        <v/>
      </c>
      <c r="P289" s="7" t="str">
        <f ca="1">_xlfn.IFNA(VLOOKUP("4"&amp;B289,CountSpecific!E:F,2,0),"")</f>
        <v/>
      </c>
    </row>
    <row r="290" spans="1:16" customFormat="1" x14ac:dyDescent="0.25">
      <c r="A290" s="7">
        <v>289</v>
      </c>
      <c r="B290" s="11" t="s">
        <v>305</v>
      </c>
      <c r="C290" s="7" t="s">
        <v>1039</v>
      </c>
      <c r="D290" s="7">
        <v>289</v>
      </c>
      <c r="E290" s="7">
        <v>289</v>
      </c>
      <c r="F290" s="7">
        <v>289</v>
      </c>
      <c r="G290" s="11" t="s">
        <v>1016</v>
      </c>
      <c r="H290" s="20">
        <v>4932</v>
      </c>
      <c r="I290" s="12">
        <v>45682</v>
      </c>
      <c r="J290" s="12">
        <v>45894</v>
      </c>
      <c r="K290" s="25">
        <v>4098</v>
      </c>
      <c r="L290" s="23">
        <v>834</v>
      </c>
      <c r="M290" s="11"/>
      <c r="N290" s="7" t="str">
        <f ca="1">_xlfn.IFNA(VLOOKUP("2"&amp;B290,CountSpecific!E:F,2,0),"")</f>
        <v/>
      </c>
      <c r="O290" s="14" t="str">
        <f ca="1">_xlfn.IFNA(VLOOKUP("3"&amp;B290,CountSpecific!E:F,2,0),"")</f>
        <v/>
      </c>
      <c r="P290" s="7" t="str">
        <f ca="1">_xlfn.IFNA(VLOOKUP("4"&amp;B290,CountSpecific!E:F,2,0),"")</f>
        <v/>
      </c>
    </row>
    <row r="291" spans="1:16" customFormat="1" x14ac:dyDescent="0.25">
      <c r="A291" s="7">
        <v>290</v>
      </c>
      <c r="B291" s="11" t="s">
        <v>306</v>
      </c>
      <c r="C291" s="7" t="s">
        <v>1039</v>
      </c>
      <c r="D291" s="7">
        <v>290</v>
      </c>
      <c r="E291" s="7">
        <v>290</v>
      </c>
      <c r="F291" s="7">
        <v>290</v>
      </c>
      <c r="G291" s="11" t="s">
        <v>1026</v>
      </c>
      <c r="H291" s="20">
        <v>354869</v>
      </c>
      <c r="I291" s="12">
        <v>44809</v>
      </c>
      <c r="J291" s="12">
        <v>45448</v>
      </c>
      <c r="K291" s="25">
        <v>9501</v>
      </c>
      <c r="L291" s="23">
        <v>345368</v>
      </c>
      <c r="M291" s="11"/>
      <c r="N291" s="7" t="str">
        <f ca="1">_xlfn.IFNA(VLOOKUP("2"&amp;B291,CountSpecific!E:F,2,0),"")</f>
        <v/>
      </c>
      <c r="O291" s="14" t="str">
        <f ca="1">_xlfn.IFNA(VLOOKUP("3"&amp;B291,CountSpecific!E:F,2,0),"")</f>
        <v/>
      </c>
      <c r="P291" s="7" t="str">
        <f ca="1">_xlfn.IFNA(VLOOKUP("4"&amp;B291,CountSpecific!E:F,2,0),"")</f>
        <v/>
      </c>
    </row>
    <row r="292" spans="1:16" customFormat="1" x14ac:dyDescent="0.25">
      <c r="A292" s="7">
        <v>291</v>
      </c>
      <c r="B292" s="11" t="s">
        <v>307</v>
      </c>
      <c r="C292" s="7" t="s">
        <v>1039</v>
      </c>
      <c r="D292" s="7">
        <v>291</v>
      </c>
      <c r="E292" s="9">
        <v>291</v>
      </c>
      <c r="F292" s="7">
        <v>291</v>
      </c>
      <c r="G292" s="11" t="s">
        <v>1026</v>
      </c>
      <c r="H292" s="20">
        <v>1407847</v>
      </c>
      <c r="I292" s="12">
        <v>44023</v>
      </c>
      <c r="J292" s="12">
        <v>44450</v>
      </c>
      <c r="K292" s="25">
        <v>739253</v>
      </c>
      <c r="L292" s="23">
        <v>668594</v>
      </c>
      <c r="M292" s="11"/>
      <c r="N292" s="7" t="str">
        <f ca="1">_xlfn.IFNA(VLOOKUP("2"&amp;B292,CountSpecific!E:F,2,0),"")</f>
        <v/>
      </c>
      <c r="O292" s="14" t="str">
        <f ca="1">_xlfn.IFNA(VLOOKUP("3"&amp;B292,CountSpecific!E:F,2,0),"")</f>
        <v/>
      </c>
      <c r="P292" s="7" t="str">
        <f ca="1">_xlfn.IFNA(VLOOKUP("4"&amp;B292,CountSpecific!E:F,2,0),"")</f>
        <v/>
      </c>
    </row>
    <row r="293" spans="1:16" customFormat="1" x14ac:dyDescent="0.25">
      <c r="A293" s="7">
        <v>292</v>
      </c>
      <c r="B293" s="11" t="s">
        <v>308</v>
      </c>
      <c r="C293" s="7" t="s">
        <v>1039</v>
      </c>
      <c r="D293" s="7">
        <v>292</v>
      </c>
      <c r="E293" s="7">
        <v>292</v>
      </c>
      <c r="F293" s="7">
        <v>292</v>
      </c>
      <c r="G293" s="11" t="s">
        <v>1026</v>
      </c>
      <c r="H293" s="20">
        <v>4016551</v>
      </c>
      <c r="I293" s="12">
        <v>45083</v>
      </c>
      <c r="J293" s="12">
        <v>45571</v>
      </c>
      <c r="K293" s="25">
        <v>1484928</v>
      </c>
      <c r="L293" s="23">
        <v>2531623</v>
      </c>
      <c r="M293" s="11"/>
      <c r="N293" s="7" t="str">
        <f ca="1">_xlfn.IFNA(VLOOKUP("2"&amp;B293,CountSpecific!E:F,2,0),"")</f>
        <v/>
      </c>
      <c r="O293" s="14" t="str">
        <f ca="1">_xlfn.IFNA(VLOOKUP("3"&amp;B293,CountSpecific!E:F,2,0),"")</f>
        <v/>
      </c>
      <c r="P293" s="7" t="str">
        <f ca="1">_xlfn.IFNA(VLOOKUP("4"&amp;B293,CountSpecific!E:F,2,0),"")</f>
        <v/>
      </c>
    </row>
    <row r="294" spans="1:16" customFormat="1" x14ac:dyDescent="0.25">
      <c r="A294" s="7">
        <v>293</v>
      </c>
      <c r="B294" s="11" t="s">
        <v>309</v>
      </c>
      <c r="C294" s="7" t="s">
        <v>1039</v>
      </c>
      <c r="D294" s="7">
        <v>293</v>
      </c>
      <c r="E294" s="7">
        <v>293</v>
      </c>
      <c r="F294" s="7">
        <v>293</v>
      </c>
      <c r="G294" s="11" t="s">
        <v>1025</v>
      </c>
      <c r="H294" s="20">
        <v>194020</v>
      </c>
      <c r="I294" s="12">
        <v>44003</v>
      </c>
      <c r="J294" s="12">
        <v>44733</v>
      </c>
      <c r="K294" s="25">
        <v>72737</v>
      </c>
      <c r="L294" s="23">
        <v>121283</v>
      </c>
      <c r="M294" s="11"/>
      <c r="N294" s="7" t="str">
        <f ca="1">_xlfn.IFNA(VLOOKUP("2"&amp;B294,CountSpecific!E:F,2,0),"")</f>
        <v/>
      </c>
      <c r="O294" s="14" t="str">
        <f ca="1">_xlfn.IFNA(VLOOKUP("3"&amp;B294,CountSpecific!E:F,2,0),"")</f>
        <v/>
      </c>
      <c r="P294" s="7" t="str">
        <f ca="1">_xlfn.IFNA(VLOOKUP("4"&amp;B294,CountSpecific!E:F,2,0),"")</f>
        <v/>
      </c>
    </row>
    <row r="295" spans="1:16" customFormat="1" x14ac:dyDescent="0.25">
      <c r="A295" s="7">
        <v>294</v>
      </c>
      <c r="B295" s="11" t="s">
        <v>310</v>
      </c>
      <c r="C295" s="7" t="s">
        <v>1039</v>
      </c>
      <c r="D295" s="7">
        <v>294</v>
      </c>
      <c r="E295" s="9">
        <v>294</v>
      </c>
      <c r="F295" s="7">
        <v>294</v>
      </c>
      <c r="G295" s="11" t="s">
        <v>1021</v>
      </c>
      <c r="H295" s="20">
        <v>26475</v>
      </c>
      <c r="I295" s="12">
        <v>45047</v>
      </c>
      <c r="J295" s="12">
        <v>45627</v>
      </c>
      <c r="K295" s="25">
        <v>7578</v>
      </c>
      <c r="L295" s="23">
        <v>18897</v>
      </c>
      <c r="M295" s="11"/>
      <c r="N295" s="7" t="str">
        <f ca="1">_xlfn.IFNA(VLOOKUP("2"&amp;B295,CountSpecific!E:F,2,0),"")</f>
        <v/>
      </c>
      <c r="O295" s="14" t="str">
        <f ca="1">_xlfn.IFNA(VLOOKUP("3"&amp;B295,CountSpecific!E:F,2,0),"")</f>
        <v/>
      </c>
      <c r="P295" s="7" t="str">
        <f ca="1">_xlfn.IFNA(VLOOKUP("4"&amp;B295,CountSpecific!E:F,2,0),"")</f>
        <v/>
      </c>
    </row>
    <row r="296" spans="1:16" customFormat="1" x14ac:dyDescent="0.25">
      <c r="A296" s="7">
        <v>295</v>
      </c>
      <c r="B296" s="11" t="s">
        <v>311</v>
      </c>
      <c r="C296" s="7" t="s">
        <v>1039</v>
      </c>
      <c r="D296" s="7">
        <v>295</v>
      </c>
      <c r="E296" s="7">
        <v>295</v>
      </c>
      <c r="F296" s="7">
        <v>295</v>
      </c>
      <c r="G296" s="11" t="s">
        <v>1027</v>
      </c>
      <c r="H296" s="20">
        <v>45110</v>
      </c>
      <c r="I296" s="12">
        <v>45704</v>
      </c>
      <c r="J296" s="12">
        <v>45854</v>
      </c>
      <c r="K296" s="25">
        <v>35787</v>
      </c>
      <c r="L296" s="23">
        <v>9323</v>
      </c>
      <c r="M296" s="11"/>
      <c r="N296" s="7" t="str">
        <f ca="1">_xlfn.IFNA(VLOOKUP("2"&amp;B296,CountSpecific!E:F,2,0),"")</f>
        <v/>
      </c>
      <c r="O296" s="14" t="str">
        <f ca="1">_xlfn.IFNA(VLOOKUP("3"&amp;B296,CountSpecific!E:F,2,0),"")</f>
        <v/>
      </c>
      <c r="P296" s="7" t="str">
        <f ca="1">_xlfn.IFNA(VLOOKUP("4"&amp;B296,CountSpecific!E:F,2,0),"")</f>
        <v/>
      </c>
    </row>
    <row r="297" spans="1:16" customFormat="1" x14ac:dyDescent="0.25">
      <c r="A297" s="7">
        <v>296</v>
      </c>
      <c r="B297" s="11" t="s">
        <v>312</v>
      </c>
      <c r="C297" s="7" t="s">
        <v>1039</v>
      </c>
      <c r="D297" s="7">
        <v>296</v>
      </c>
      <c r="E297" s="7">
        <v>296</v>
      </c>
      <c r="F297" s="7">
        <v>296</v>
      </c>
      <c r="G297" s="11" t="s">
        <v>1024</v>
      </c>
      <c r="H297" s="20">
        <v>218890</v>
      </c>
      <c r="I297" s="12">
        <v>45342</v>
      </c>
      <c r="J297" s="12">
        <v>45981</v>
      </c>
      <c r="K297" s="25">
        <v>77216</v>
      </c>
      <c r="L297" s="23">
        <v>141674</v>
      </c>
      <c r="M297" s="11"/>
      <c r="N297" s="7" t="str">
        <f ca="1">_xlfn.IFNA(VLOOKUP("2"&amp;B297,CountSpecific!E:F,2,0),"")</f>
        <v/>
      </c>
      <c r="O297" s="14" t="str">
        <f ca="1">_xlfn.IFNA(VLOOKUP("3"&amp;B297,CountSpecific!E:F,2,0),"")</f>
        <v/>
      </c>
      <c r="P297" s="7" t="str">
        <f ca="1">_xlfn.IFNA(VLOOKUP("4"&amp;B297,CountSpecific!E:F,2,0),"")</f>
        <v/>
      </c>
    </row>
    <row r="298" spans="1:16" customFormat="1" x14ac:dyDescent="0.25">
      <c r="A298" s="7">
        <v>297</v>
      </c>
      <c r="B298" s="11" t="s">
        <v>313</v>
      </c>
      <c r="C298" s="7" t="s">
        <v>1039</v>
      </c>
      <c r="D298" s="7">
        <v>297</v>
      </c>
      <c r="E298" s="9">
        <v>297</v>
      </c>
      <c r="F298" s="7">
        <v>297</v>
      </c>
      <c r="G298" s="11" t="s">
        <v>1026</v>
      </c>
      <c r="H298" s="20">
        <v>593884</v>
      </c>
      <c r="I298" s="12">
        <v>44758</v>
      </c>
      <c r="J298" s="12">
        <v>45215</v>
      </c>
      <c r="K298" s="25">
        <v>328888</v>
      </c>
      <c r="L298" s="23">
        <v>264996</v>
      </c>
      <c r="M298" s="11"/>
      <c r="N298" s="7" t="str">
        <f ca="1">_xlfn.IFNA(VLOOKUP("2"&amp;B298,CountSpecific!E:F,2,0),"")</f>
        <v/>
      </c>
      <c r="O298" s="14" t="str">
        <f ca="1">_xlfn.IFNA(VLOOKUP("3"&amp;B298,CountSpecific!E:F,2,0),"")</f>
        <v/>
      </c>
      <c r="P298" s="7" t="str">
        <f ca="1">_xlfn.IFNA(VLOOKUP("4"&amp;B298,CountSpecific!E:F,2,0),"")</f>
        <v/>
      </c>
    </row>
    <row r="299" spans="1:16" customFormat="1" x14ac:dyDescent="0.25">
      <c r="A299" s="7">
        <v>298</v>
      </c>
      <c r="B299" s="11" t="s">
        <v>314</v>
      </c>
      <c r="C299" s="7" t="s">
        <v>1039</v>
      </c>
      <c r="D299" s="7">
        <v>298</v>
      </c>
      <c r="E299" s="7">
        <v>298</v>
      </c>
      <c r="F299" s="7">
        <v>298</v>
      </c>
      <c r="G299" s="11" t="s">
        <v>1020</v>
      </c>
      <c r="H299" s="20">
        <v>149312</v>
      </c>
      <c r="I299" s="12">
        <v>44319</v>
      </c>
      <c r="J299" s="12">
        <v>44654</v>
      </c>
      <c r="K299" s="25">
        <v>58831</v>
      </c>
      <c r="L299" s="23">
        <v>90481</v>
      </c>
      <c r="M299" s="11"/>
      <c r="N299" s="7" t="str">
        <f ca="1">_xlfn.IFNA(VLOOKUP("2"&amp;B299,CountSpecific!E:F,2,0),"")</f>
        <v/>
      </c>
      <c r="O299" s="14" t="str">
        <f ca="1">_xlfn.IFNA(VLOOKUP("3"&amp;B299,CountSpecific!E:F,2,0),"")</f>
        <v/>
      </c>
      <c r="P299" s="7" t="str">
        <f ca="1">_xlfn.IFNA(VLOOKUP("4"&amp;B299,CountSpecific!E:F,2,0),"")</f>
        <v/>
      </c>
    </row>
    <row r="300" spans="1:16" customFormat="1" x14ac:dyDescent="0.25">
      <c r="A300" s="7">
        <v>299</v>
      </c>
      <c r="B300" s="11" t="s">
        <v>315</v>
      </c>
      <c r="C300" s="7" t="s">
        <v>1039</v>
      </c>
      <c r="D300" s="7">
        <v>299</v>
      </c>
      <c r="E300" s="7">
        <v>299</v>
      </c>
      <c r="F300" s="7">
        <v>299</v>
      </c>
      <c r="G300" s="11" t="s">
        <v>1025</v>
      </c>
      <c r="H300" s="20">
        <v>255504</v>
      </c>
      <c r="I300" s="12">
        <v>44245</v>
      </c>
      <c r="J300" s="12">
        <v>44944</v>
      </c>
      <c r="K300" s="25">
        <v>13991</v>
      </c>
      <c r="L300" s="23">
        <v>241513</v>
      </c>
      <c r="M300" s="11"/>
      <c r="N300" s="7" t="str">
        <f ca="1">_xlfn.IFNA(VLOOKUP("2"&amp;B300,CountSpecific!E:F,2,0),"")</f>
        <v/>
      </c>
      <c r="O300" s="14" t="str">
        <f ca="1">_xlfn.IFNA(VLOOKUP("3"&amp;B300,CountSpecific!E:F,2,0),"")</f>
        <v/>
      </c>
      <c r="P300" s="7" t="str">
        <f ca="1">_xlfn.IFNA(VLOOKUP("4"&amp;B300,CountSpecific!E:F,2,0),"")</f>
        <v/>
      </c>
    </row>
    <row r="301" spans="1:16" customFormat="1" x14ac:dyDescent="0.25">
      <c r="A301" s="7">
        <v>300</v>
      </c>
      <c r="B301" s="11" t="s">
        <v>316</v>
      </c>
      <c r="C301" s="7" t="s">
        <v>1039</v>
      </c>
      <c r="D301" s="7">
        <v>300</v>
      </c>
      <c r="E301" s="9">
        <v>300</v>
      </c>
      <c r="F301" s="7">
        <v>300</v>
      </c>
      <c r="G301" s="11" t="s">
        <v>1025</v>
      </c>
      <c r="H301" s="20">
        <v>74110</v>
      </c>
      <c r="I301" s="12">
        <v>44692</v>
      </c>
      <c r="J301" s="12">
        <v>45333</v>
      </c>
      <c r="K301" s="25">
        <v>72599</v>
      </c>
      <c r="L301" s="23">
        <v>1511</v>
      </c>
      <c r="M301" s="11"/>
      <c r="N301" s="7" t="str">
        <f ca="1">_xlfn.IFNA(VLOOKUP("2"&amp;B301,CountSpecific!E:F,2,0),"")</f>
        <v/>
      </c>
      <c r="O301" s="14" t="str">
        <f ca="1">_xlfn.IFNA(VLOOKUP("3"&amp;B301,CountSpecific!E:F,2,0),"")</f>
        <v/>
      </c>
      <c r="P301" s="7" t="str">
        <f ca="1">_xlfn.IFNA(VLOOKUP("4"&amp;B301,CountSpecific!E:F,2,0),"")</f>
        <v/>
      </c>
    </row>
    <row r="302" spans="1:16" customFormat="1" x14ac:dyDescent="0.25">
      <c r="A302" s="7">
        <v>301</v>
      </c>
      <c r="B302" s="11" t="s">
        <v>317</v>
      </c>
      <c r="C302" s="7" t="s">
        <v>1039</v>
      </c>
      <c r="D302" s="7">
        <v>301</v>
      </c>
      <c r="E302" s="7">
        <v>301</v>
      </c>
      <c r="F302" s="7">
        <v>301</v>
      </c>
      <c r="G302" s="11" t="s">
        <v>1024</v>
      </c>
      <c r="H302" s="20">
        <v>367000</v>
      </c>
      <c r="I302" s="12">
        <v>44226</v>
      </c>
      <c r="J302" s="12">
        <v>44438</v>
      </c>
      <c r="K302" s="25">
        <v>235184</v>
      </c>
      <c r="L302" s="23">
        <v>131816</v>
      </c>
      <c r="M302" s="11"/>
      <c r="N302" s="7" t="str">
        <f ca="1">_xlfn.IFNA(VLOOKUP("2"&amp;B302,CountSpecific!E:F,2,0),"")</f>
        <v/>
      </c>
      <c r="O302" s="14" t="str">
        <f ca="1">_xlfn.IFNA(VLOOKUP("3"&amp;B302,CountSpecific!E:F,2,0),"")</f>
        <v/>
      </c>
      <c r="P302" s="7" t="str">
        <f ca="1">_xlfn.IFNA(VLOOKUP("4"&amp;B302,CountSpecific!E:F,2,0),"")</f>
        <v/>
      </c>
    </row>
    <row r="303" spans="1:16" customFormat="1" x14ac:dyDescent="0.25">
      <c r="A303" s="7">
        <v>302</v>
      </c>
      <c r="B303" s="11" t="s">
        <v>318</v>
      </c>
      <c r="C303" s="7" t="s">
        <v>1039</v>
      </c>
      <c r="D303" s="7">
        <v>302</v>
      </c>
      <c r="E303" s="7">
        <v>302</v>
      </c>
      <c r="F303" s="7">
        <v>302</v>
      </c>
      <c r="G303" s="11" t="s">
        <v>1020</v>
      </c>
      <c r="H303" s="20">
        <v>122426</v>
      </c>
      <c r="I303" s="12">
        <v>45674</v>
      </c>
      <c r="J303" s="12">
        <v>45825</v>
      </c>
      <c r="K303" s="25">
        <v>78487</v>
      </c>
      <c r="L303" s="23">
        <v>43939</v>
      </c>
      <c r="M303" s="11"/>
      <c r="N303" s="7" t="str">
        <f ca="1">_xlfn.IFNA(VLOOKUP("2"&amp;B303,CountSpecific!E:F,2,0),"")</f>
        <v/>
      </c>
      <c r="O303" s="14" t="str">
        <f ca="1">_xlfn.IFNA(VLOOKUP("3"&amp;B303,CountSpecific!E:F,2,0),"")</f>
        <v/>
      </c>
      <c r="P303" s="7" t="str">
        <f ca="1">_xlfn.IFNA(VLOOKUP("4"&amp;B303,CountSpecific!E:F,2,0),"")</f>
        <v/>
      </c>
    </row>
    <row r="304" spans="1:16" customFormat="1" x14ac:dyDescent="0.25">
      <c r="A304" s="7">
        <v>303</v>
      </c>
      <c r="B304" s="11" t="s">
        <v>319</v>
      </c>
      <c r="C304" s="7" t="s">
        <v>1039</v>
      </c>
      <c r="D304" s="7">
        <v>303</v>
      </c>
      <c r="E304" s="9">
        <v>303</v>
      </c>
      <c r="F304" s="7">
        <v>303</v>
      </c>
      <c r="G304" s="11" t="s">
        <v>1025</v>
      </c>
      <c r="H304" s="20">
        <v>488442</v>
      </c>
      <c r="I304" s="12">
        <v>45426</v>
      </c>
      <c r="J304" s="12">
        <v>45822</v>
      </c>
      <c r="K304" s="25">
        <v>342062</v>
      </c>
      <c r="L304" s="23">
        <v>146380</v>
      </c>
      <c r="M304" s="11"/>
      <c r="N304" s="7" t="str">
        <f ca="1">_xlfn.IFNA(VLOOKUP("2"&amp;B304,CountSpecific!E:F,2,0),"")</f>
        <v/>
      </c>
      <c r="O304" s="14" t="str">
        <f ca="1">_xlfn.IFNA(VLOOKUP("3"&amp;B304,CountSpecific!E:F,2,0),"")</f>
        <v/>
      </c>
      <c r="P304" s="7" t="str">
        <f ca="1">_xlfn.IFNA(VLOOKUP("4"&amp;B304,CountSpecific!E:F,2,0),"")</f>
        <v/>
      </c>
    </row>
    <row r="305" spans="1:16" customFormat="1" x14ac:dyDescent="0.25">
      <c r="A305" s="7">
        <v>304</v>
      </c>
      <c r="B305" s="11" t="s">
        <v>320</v>
      </c>
      <c r="C305" s="7" t="s">
        <v>1039</v>
      </c>
      <c r="D305" s="7">
        <v>304</v>
      </c>
      <c r="E305" s="7">
        <v>304</v>
      </c>
      <c r="F305" s="7">
        <v>304</v>
      </c>
      <c r="G305" s="11" t="s">
        <v>1020</v>
      </c>
      <c r="H305" s="20">
        <v>339400</v>
      </c>
      <c r="I305" s="12">
        <v>44486</v>
      </c>
      <c r="J305" s="12">
        <v>44547</v>
      </c>
      <c r="K305" s="25">
        <v>41526</v>
      </c>
      <c r="L305" s="23">
        <v>297874</v>
      </c>
      <c r="M305" s="11"/>
      <c r="N305" s="7" t="str">
        <f ca="1">_xlfn.IFNA(VLOOKUP("2"&amp;B305,CountSpecific!E:F,2,0),"")</f>
        <v/>
      </c>
      <c r="O305" s="14" t="str">
        <f ca="1">_xlfn.IFNA(VLOOKUP("3"&amp;B305,CountSpecific!E:F,2,0),"")</f>
        <v/>
      </c>
      <c r="P305" s="7" t="str">
        <f ca="1">_xlfn.IFNA(VLOOKUP("4"&amp;B305,CountSpecific!E:F,2,0),"")</f>
        <v/>
      </c>
    </row>
    <row r="306" spans="1:16" customFormat="1" x14ac:dyDescent="0.25">
      <c r="A306" s="7">
        <v>305</v>
      </c>
      <c r="B306" s="11" t="s">
        <v>321</v>
      </c>
      <c r="C306" s="7" t="s">
        <v>1039</v>
      </c>
      <c r="D306" s="7">
        <v>305</v>
      </c>
      <c r="E306" s="7">
        <v>305</v>
      </c>
      <c r="F306" s="7">
        <v>305</v>
      </c>
      <c r="G306" s="11" t="s">
        <v>1021</v>
      </c>
      <c r="H306" s="20">
        <v>33360</v>
      </c>
      <c r="I306" s="12">
        <v>45512</v>
      </c>
      <c r="J306" s="12">
        <v>46181</v>
      </c>
      <c r="K306" s="25">
        <v>3588</v>
      </c>
      <c r="L306" s="23">
        <v>29772</v>
      </c>
      <c r="M306" s="11"/>
      <c r="N306" s="7" t="str">
        <f ca="1">_xlfn.IFNA(VLOOKUP("2"&amp;B306,CountSpecific!E:F,2,0),"")</f>
        <v/>
      </c>
      <c r="O306" s="14" t="str">
        <f ca="1">_xlfn.IFNA(VLOOKUP("3"&amp;B306,CountSpecific!E:F,2,0),"")</f>
        <v/>
      </c>
      <c r="P306" s="7" t="str">
        <f ca="1">_xlfn.IFNA(VLOOKUP("4"&amp;B306,CountSpecific!E:F,2,0),"")</f>
        <v/>
      </c>
    </row>
    <row r="307" spans="1:16" customFormat="1" x14ac:dyDescent="0.25">
      <c r="A307" s="7">
        <v>306</v>
      </c>
      <c r="B307" s="11" t="s">
        <v>322</v>
      </c>
      <c r="C307" s="7" t="s">
        <v>1039</v>
      </c>
      <c r="D307" s="7">
        <v>306</v>
      </c>
      <c r="E307" s="9">
        <v>306</v>
      </c>
      <c r="F307" s="7">
        <v>306</v>
      </c>
      <c r="G307" s="11" t="s">
        <v>1022</v>
      </c>
      <c r="H307" s="20">
        <v>20653</v>
      </c>
      <c r="I307" s="12">
        <v>45194</v>
      </c>
      <c r="J307" s="12">
        <v>45498</v>
      </c>
      <c r="K307" s="25">
        <v>8217</v>
      </c>
      <c r="L307" s="23">
        <v>12436</v>
      </c>
      <c r="M307" s="11"/>
      <c r="N307" s="7" t="str">
        <f ca="1">_xlfn.IFNA(VLOOKUP("2"&amp;B307,CountSpecific!E:F,2,0),"")</f>
        <v/>
      </c>
      <c r="O307" s="14" t="str">
        <f ca="1">_xlfn.IFNA(VLOOKUP("3"&amp;B307,CountSpecific!E:F,2,0),"")</f>
        <v/>
      </c>
      <c r="P307" s="7" t="str">
        <f ca="1">_xlfn.IFNA(VLOOKUP("4"&amp;B307,CountSpecific!E:F,2,0),"")</f>
        <v/>
      </c>
    </row>
    <row r="308" spans="1:16" customFormat="1" x14ac:dyDescent="0.25">
      <c r="A308" s="7">
        <v>307</v>
      </c>
      <c r="B308" s="11" t="s">
        <v>323</v>
      </c>
      <c r="C308" s="7" t="s">
        <v>1039</v>
      </c>
      <c r="D308" s="7">
        <v>307</v>
      </c>
      <c r="E308" s="7">
        <v>307</v>
      </c>
      <c r="F308" s="7">
        <v>307</v>
      </c>
      <c r="G308" s="11" t="s">
        <v>1025</v>
      </c>
      <c r="H308" s="20">
        <v>323556</v>
      </c>
      <c r="I308" s="12">
        <v>45636</v>
      </c>
      <c r="J308" s="12">
        <v>45848</v>
      </c>
      <c r="K308" s="25">
        <v>278102</v>
      </c>
      <c r="L308" s="23">
        <v>45454</v>
      </c>
      <c r="M308" s="11"/>
      <c r="N308" s="7" t="str">
        <f ca="1">_xlfn.IFNA(VLOOKUP("2"&amp;B308,CountSpecific!E:F,2,0),"")</f>
        <v/>
      </c>
      <c r="O308" s="14" t="str">
        <f ca="1">_xlfn.IFNA(VLOOKUP("3"&amp;B308,CountSpecific!E:F,2,0),"")</f>
        <v/>
      </c>
      <c r="P308" s="7" t="str">
        <f ca="1">_xlfn.IFNA(VLOOKUP("4"&amp;B308,CountSpecific!E:F,2,0),"")</f>
        <v/>
      </c>
    </row>
    <row r="309" spans="1:16" customFormat="1" x14ac:dyDescent="0.25">
      <c r="A309" s="7">
        <v>308</v>
      </c>
      <c r="B309" s="11" t="s">
        <v>324</v>
      </c>
      <c r="C309" s="7" t="s">
        <v>1039</v>
      </c>
      <c r="D309" s="7">
        <v>308</v>
      </c>
      <c r="E309" s="7">
        <v>308</v>
      </c>
      <c r="F309" s="7">
        <v>308</v>
      </c>
      <c r="G309" s="11" t="s">
        <v>1020</v>
      </c>
      <c r="H309" s="20">
        <v>189371</v>
      </c>
      <c r="I309" s="12">
        <v>44442</v>
      </c>
      <c r="J309" s="12">
        <v>44654</v>
      </c>
      <c r="K309" s="25">
        <v>159990</v>
      </c>
      <c r="L309" s="23">
        <v>29381</v>
      </c>
      <c r="M309" s="11"/>
      <c r="N309" s="7" t="str">
        <f ca="1">_xlfn.IFNA(VLOOKUP("2"&amp;B309,CountSpecific!E:F,2,0),"")</f>
        <v/>
      </c>
      <c r="O309" s="14" t="str">
        <f ca="1">_xlfn.IFNA(VLOOKUP("3"&amp;B309,CountSpecific!E:F,2,0),"")</f>
        <v/>
      </c>
      <c r="P309" s="7" t="str">
        <f ca="1">_xlfn.IFNA(VLOOKUP("4"&amp;B309,CountSpecific!E:F,2,0),"")</f>
        <v/>
      </c>
    </row>
    <row r="310" spans="1:16" customFormat="1" x14ac:dyDescent="0.25">
      <c r="A310" s="7">
        <v>309</v>
      </c>
      <c r="B310" s="11" t="s">
        <v>325</v>
      </c>
      <c r="C310" s="7" t="s">
        <v>1039</v>
      </c>
      <c r="D310" s="7">
        <v>309</v>
      </c>
      <c r="E310" s="9">
        <v>309</v>
      </c>
      <c r="F310" s="7">
        <v>309</v>
      </c>
      <c r="G310" s="11" t="s">
        <v>1026</v>
      </c>
      <c r="H310" s="20">
        <v>1963813</v>
      </c>
      <c r="I310" s="12">
        <v>44506</v>
      </c>
      <c r="J310" s="12">
        <v>44840</v>
      </c>
      <c r="K310" s="25">
        <v>915142</v>
      </c>
      <c r="L310" s="23">
        <v>1048671</v>
      </c>
      <c r="M310" s="11"/>
      <c r="N310" s="7" t="str">
        <f ca="1">_xlfn.IFNA(VLOOKUP("2"&amp;B310,CountSpecific!E:F,2,0),"")</f>
        <v/>
      </c>
      <c r="O310" s="14" t="str">
        <f ca="1">_xlfn.IFNA(VLOOKUP("3"&amp;B310,CountSpecific!E:F,2,0),"")</f>
        <v/>
      </c>
      <c r="P310" s="7" t="str">
        <f ca="1">_xlfn.IFNA(VLOOKUP("4"&amp;B310,CountSpecific!E:F,2,0),"")</f>
        <v/>
      </c>
    </row>
    <row r="311" spans="1:16" customFormat="1" x14ac:dyDescent="0.25">
      <c r="A311" s="7">
        <v>310</v>
      </c>
      <c r="B311" s="11" t="s">
        <v>326</v>
      </c>
      <c r="C311" s="7" t="s">
        <v>1039</v>
      </c>
      <c r="D311" s="7">
        <v>310</v>
      </c>
      <c r="E311" s="7">
        <v>310</v>
      </c>
      <c r="F311" s="7">
        <v>310</v>
      </c>
      <c r="G311" s="11" t="s">
        <v>1025</v>
      </c>
      <c r="H311" s="20">
        <v>169252</v>
      </c>
      <c r="I311" s="12">
        <v>44206</v>
      </c>
      <c r="J311" s="12">
        <v>44752</v>
      </c>
      <c r="K311" s="25">
        <v>92569</v>
      </c>
      <c r="L311" s="23">
        <v>76683</v>
      </c>
      <c r="M311" s="11"/>
      <c r="N311" s="7" t="str">
        <f ca="1">_xlfn.IFNA(VLOOKUP("2"&amp;B311,CountSpecific!E:F,2,0),"")</f>
        <v/>
      </c>
      <c r="O311" s="14" t="str">
        <f ca="1">_xlfn.IFNA(VLOOKUP("3"&amp;B311,CountSpecific!E:F,2,0),"")</f>
        <v/>
      </c>
      <c r="P311" s="7" t="str">
        <f ca="1">_xlfn.IFNA(VLOOKUP("4"&amp;B311,CountSpecific!E:F,2,0),"")</f>
        <v/>
      </c>
    </row>
    <row r="312" spans="1:16" customFormat="1" x14ac:dyDescent="0.25">
      <c r="A312" s="7">
        <v>311</v>
      </c>
      <c r="B312" s="11" t="s">
        <v>327</v>
      </c>
      <c r="C312" s="7" t="s">
        <v>1039</v>
      </c>
      <c r="D312" s="7">
        <v>311</v>
      </c>
      <c r="E312" s="7">
        <v>311</v>
      </c>
      <c r="F312" s="7">
        <v>311</v>
      </c>
      <c r="G312" s="11" t="s">
        <v>1022</v>
      </c>
      <c r="H312" s="20">
        <v>28699</v>
      </c>
      <c r="I312" s="12">
        <v>45375</v>
      </c>
      <c r="J312" s="12">
        <v>45712</v>
      </c>
      <c r="K312" s="25">
        <v>15312</v>
      </c>
      <c r="L312" s="23">
        <v>13387</v>
      </c>
      <c r="M312" s="11"/>
      <c r="N312" s="7" t="str">
        <f ca="1">_xlfn.IFNA(VLOOKUP("2"&amp;B312,CountSpecific!E:F,2,0),"")</f>
        <v/>
      </c>
      <c r="O312" s="14" t="str">
        <f ca="1">_xlfn.IFNA(VLOOKUP("3"&amp;B312,CountSpecific!E:F,2,0),"")</f>
        <v/>
      </c>
      <c r="P312" s="7" t="str">
        <f ca="1">_xlfn.IFNA(VLOOKUP("4"&amp;B312,CountSpecific!E:F,2,0),"")</f>
        <v/>
      </c>
    </row>
    <row r="313" spans="1:16" customFormat="1" x14ac:dyDescent="0.25">
      <c r="A313" s="7">
        <v>312</v>
      </c>
      <c r="B313" s="11" t="s">
        <v>328</v>
      </c>
      <c r="C313" s="7" t="s">
        <v>1039</v>
      </c>
      <c r="D313" s="7">
        <v>312</v>
      </c>
      <c r="E313" s="9">
        <v>312</v>
      </c>
      <c r="F313" s="7">
        <v>312</v>
      </c>
      <c r="G313" s="11" t="s">
        <v>1024</v>
      </c>
      <c r="H313" s="20">
        <v>937837</v>
      </c>
      <c r="I313" s="12">
        <v>45232</v>
      </c>
      <c r="J313" s="12">
        <v>45902</v>
      </c>
      <c r="K313" s="25">
        <v>778325</v>
      </c>
      <c r="L313" s="23">
        <v>159512</v>
      </c>
      <c r="M313" s="11"/>
      <c r="N313" s="7" t="str">
        <f ca="1">_xlfn.IFNA(VLOOKUP("2"&amp;B313,CountSpecific!E:F,2,0),"")</f>
        <v/>
      </c>
      <c r="O313" s="14" t="str">
        <f ca="1">_xlfn.IFNA(VLOOKUP("3"&amp;B313,CountSpecific!E:F,2,0),"")</f>
        <v/>
      </c>
      <c r="P313" s="7" t="str">
        <f ca="1">_xlfn.IFNA(VLOOKUP("4"&amp;B313,CountSpecific!E:F,2,0),"")</f>
        <v/>
      </c>
    </row>
    <row r="314" spans="1:16" customFormat="1" x14ac:dyDescent="0.25">
      <c r="A314" s="7">
        <v>313</v>
      </c>
      <c r="B314" s="11" t="s">
        <v>329</v>
      </c>
      <c r="C314" s="7" t="s">
        <v>1039</v>
      </c>
      <c r="D314" s="7">
        <v>313</v>
      </c>
      <c r="E314" s="7">
        <v>313</v>
      </c>
      <c r="F314" s="7">
        <v>313</v>
      </c>
      <c r="G314" s="11" t="s">
        <v>1026</v>
      </c>
      <c r="H314" s="20">
        <v>1623753</v>
      </c>
      <c r="I314" s="12">
        <v>44928</v>
      </c>
      <c r="J314" s="12">
        <v>45140</v>
      </c>
      <c r="K314" s="25">
        <v>1325312</v>
      </c>
      <c r="L314" s="23">
        <v>298441</v>
      </c>
      <c r="M314" s="11"/>
      <c r="N314" s="7" t="str">
        <f ca="1">_xlfn.IFNA(VLOOKUP("2"&amp;B314,CountSpecific!E:F,2,0),"")</f>
        <v/>
      </c>
      <c r="O314" s="14" t="str">
        <f ca="1">_xlfn.IFNA(VLOOKUP("3"&amp;B314,CountSpecific!E:F,2,0),"")</f>
        <v/>
      </c>
      <c r="P314" s="7" t="str">
        <f ca="1">_xlfn.IFNA(VLOOKUP("4"&amp;B314,CountSpecific!E:F,2,0),"")</f>
        <v/>
      </c>
    </row>
    <row r="315" spans="1:16" customFormat="1" x14ac:dyDescent="0.25">
      <c r="A315" s="7">
        <v>314</v>
      </c>
      <c r="B315" s="11" t="s">
        <v>330</v>
      </c>
      <c r="C315" s="7" t="s">
        <v>1039</v>
      </c>
      <c r="D315" s="7">
        <v>314</v>
      </c>
      <c r="E315" s="7">
        <v>314</v>
      </c>
      <c r="F315" s="7">
        <v>314</v>
      </c>
      <c r="G315" s="11" t="s">
        <v>1021</v>
      </c>
      <c r="H315" s="20">
        <v>22962</v>
      </c>
      <c r="I315" s="12">
        <v>45194</v>
      </c>
      <c r="J315" s="12">
        <v>45925</v>
      </c>
      <c r="K315" s="25">
        <v>6084</v>
      </c>
      <c r="L315" s="23">
        <v>16878</v>
      </c>
      <c r="M315" s="11"/>
      <c r="N315" s="7" t="str">
        <f ca="1">_xlfn.IFNA(VLOOKUP("2"&amp;B315,CountSpecific!E:F,2,0),"")</f>
        <v/>
      </c>
      <c r="O315" s="14" t="str">
        <f ca="1">_xlfn.IFNA(VLOOKUP("3"&amp;B315,CountSpecific!E:F,2,0),"")</f>
        <v/>
      </c>
      <c r="P315" s="7" t="str">
        <f ca="1">_xlfn.IFNA(VLOOKUP("4"&amp;B315,CountSpecific!E:F,2,0),"")</f>
        <v/>
      </c>
    </row>
    <row r="316" spans="1:16" customFormat="1" x14ac:dyDescent="0.25">
      <c r="A316" s="7">
        <v>315</v>
      </c>
      <c r="B316" s="11" t="s">
        <v>331</v>
      </c>
      <c r="C316" s="7" t="s">
        <v>1039</v>
      </c>
      <c r="D316" s="7">
        <v>315</v>
      </c>
      <c r="E316" s="9">
        <v>315</v>
      </c>
      <c r="F316" s="7">
        <v>315</v>
      </c>
      <c r="G316" s="11" t="s">
        <v>1022</v>
      </c>
      <c r="H316" s="20">
        <v>17619</v>
      </c>
      <c r="I316" s="12">
        <v>44201</v>
      </c>
      <c r="J316" s="12">
        <v>44321</v>
      </c>
      <c r="K316" s="25">
        <v>10658</v>
      </c>
      <c r="L316" s="23">
        <v>6961</v>
      </c>
      <c r="M316" s="11"/>
      <c r="N316" s="7" t="str">
        <f ca="1">_xlfn.IFNA(VLOOKUP("2"&amp;B316,CountSpecific!E:F,2,0),"")</f>
        <v/>
      </c>
      <c r="O316" s="14" t="str">
        <f ca="1">_xlfn.IFNA(VLOOKUP("3"&amp;B316,CountSpecific!E:F,2,0),"")</f>
        <v/>
      </c>
      <c r="P316" s="7" t="str">
        <f ca="1">_xlfn.IFNA(VLOOKUP("4"&amp;B316,CountSpecific!E:F,2,0),"")</f>
        <v/>
      </c>
    </row>
    <row r="317" spans="1:16" customFormat="1" x14ac:dyDescent="0.25">
      <c r="A317" s="7">
        <v>316</v>
      </c>
      <c r="B317" s="11" t="s">
        <v>332</v>
      </c>
      <c r="C317" s="7" t="s">
        <v>1039</v>
      </c>
      <c r="D317" s="7">
        <v>316</v>
      </c>
      <c r="E317" s="7">
        <v>316</v>
      </c>
      <c r="F317" s="7">
        <v>316</v>
      </c>
      <c r="G317" s="11" t="s">
        <v>1021</v>
      </c>
      <c r="H317" s="20">
        <v>97290</v>
      </c>
      <c r="I317" s="12">
        <v>45670</v>
      </c>
      <c r="J317" s="12">
        <v>46035</v>
      </c>
      <c r="K317" s="25">
        <v>81830</v>
      </c>
      <c r="L317" s="23">
        <v>15460</v>
      </c>
      <c r="M317" s="11"/>
      <c r="N317" s="7" t="str">
        <f ca="1">_xlfn.IFNA(VLOOKUP("2"&amp;B317,CountSpecific!E:F,2,0),"")</f>
        <v/>
      </c>
      <c r="O317" s="14" t="str">
        <f ca="1">_xlfn.IFNA(VLOOKUP("3"&amp;B317,CountSpecific!E:F,2,0),"")</f>
        <v/>
      </c>
      <c r="P317" s="7" t="str">
        <f ca="1">_xlfn.IFNA(VLOOKUP("4"&amp;B317,CountSpecific!E:F,2,0),"")</f>
        <v/>
      </c>
    </row>
    <row r="318" spans="1:16" customFormat="1" x14ac:dyDescent="0.25">
      <c r="A318" s="7">
        <v>317</v>
      </c>
      <c r="B318" s="11" t="s">
        <v>333</v>
      </c>
      <c r="C318" s="7" t="s">
        <v>1039</v>
      </c>
      <c r="D318" s="7">
        <v>317</v>
      </c>
      <c r="E318" s="7">
        <v>317</v>
      </c>
      <c r="F318" s="7">
        <v>317</v>
      </c>
      <c r="G318" s="11" t="s">
        <v>1027</v>
      </c>
      <c r="H318" s="20">
        <v>53699</v>
      </c>
      <c r="I318" s="12">
        <v>44185</v>
      </c>
      <c r="J318" s="12">
        <v>44550</v>
      </c>
      <c r="K318" s="25">
        <v>1675</v>
      </c>
      <c r="L318" s="23">
        <v>52024</v>
      </c>
      <c r="M318" s="11"/>
      <c r="N318" s="7" t="str">
        <f ca="1">_xlfn.IFNA(VLOOKUP("2"&amp;B318,CountSpecific!E:F,2,0),"")</f>
        <v/>
      </c>
      <c r="O318" s="14" t="str">
        <f ca="1">_xlfn.IFNA(VLOOKUP("3"&amp;B318,CountSpecific!E:F,2,0),"")</f>
        <v/>
      </c>
      <c r="P318" s="7" t="str">
        <f ca="1">_xlfn.IFNA(VLOOKUP("4"&amp;B318,CountSpecific!E:F,2,0),"")</f>
        <v/>
      </c>
    </row>
    <row r="319" spans="1:16" customFormat="1" x14ac:dyDescent="0.25">
      <c r="A319" s="7">
        <v>318</v>
      </c>
      <c r="B319" s="11" t="s">
        <v>334</v>
      </c>
      <c r="C319" s="7" t="s">
        <v>1039</v>
      </c>
      <c r="D319" s="7">
        <v>318</v>
      </c>
      <c r="E319" s="9">
        <v>318</v>
      </c>
      <c r="F319" s="7">
        <v>318</v>
      </c>
      <c r="G319" s="11" t="s">
        <v>1027</v>
      </c>
      <c r="H319" s="20">
        <v>26892</v>
      </c>
      <c r="I319" s="12">
        <v>44496</v>
      </c>
      <c r="J319" s="12">
        <v>44892</v>
      </c>
      <c r="K319" s="25">
        <v>23445</v>
      </c>
      <c r="L319" s="23">
        <v>3447</v>
      </c>
      <c r="M319" s="11"/>
      <c r="N319" s="7" t="str">
        <f ca="1">_xlfn.IFNA(VLOOKUP("2"&amp;B319,CountSpecific!E:F,2,0),"")</f>
        <v/>
      </c>
      <c r="O319" s="14" t="str">
        <f ca="1">_xlfn.IFNA(VLOOKUP("3"&amp;B319,CountSpecific!E:F,2,0),"")</f>
        <v/>
      </c>
      <c r="P319" s="7" t="str">
        <f ca="1">_xlfn.IFNA(VLOOKUP("4"&amp;B319,CountSpecific!E:F,2,0),"")</f>
        <v/>
      </c>
    </row>
    <row r="320" spans="1:16" customFormat="1" x14ac:dyDescent="0.25">
      <c r="A320" s="7">
        <v>319</v>
      </c>
      <c r="B320" s="11" t="s">
        <v>335</v>
      </c>
      <c r="C320" s="7" t="s">
        <v>1039</v>
      </c>
      <c r="D320" s="7">
        <v>319</v>
      </c>
      <c r="E320" s="7">
        <v>319</v>
      </c>
      <c r="F320" s="7">
        <v>319</v>
      </c>
      <c r="G320" s="11" t="s">
        <v>1021</v>
      </c>
      <c r="H320" s="20">
        <v>47997</v>
      </c>
      <c r="I320" s="12">
        <v>44423</v>
      </c>
      <c r="J320" s="12">
        <v>45153</v>
      </c>
      <c r="K320" s="25">
        <v>32785</v>
      </c>
      <c r="L320" s="23">
        <v>15212</v>
      </c>
      <c r="M320" s="11"/>
      <c r="N320" s="7" t="str">
        <f ca="1">_xlfn.IFNA(VLOOKUP("2"&amp;B320,CountSpecific!E:F,2,0),"")</f>
        <v/>
      </c>
      <c r="O320" s="14" t="str">
        <f ca="1">_xlfn.IFNA(VLOOKUP("3"&amp;B320,CountSpecific!E:F,2,0),"")</f>
        <v/>
      </c>
      <c r="P320" s="7" t="str">
        <f ca="1">_xlfn.IFNA(VLOOKUP("4"&amp;B320,CountSpecific!E:F,2,0),"")</f>
        <v/>
      </c>
    </row>
    <row r="321" spans="1:16" customFormat="1" x14ac:dyDescent="0.25">
      <c r="A321" s="7">
        <v>320</v>
      </c>
      <c r="B321" s="11" t="s">
        <v>336</v>
      </c>
      <c r="C321" s="7" t="s">
        <v>1039</v>
      </c>
      <c r="D321" s="7">
        <v>320</v>
      </c>
      <c r="E321" s="7">
        <v>320</v>
      </c>
      <c r="F321" s="7">
        <v>320</v>
      </c>
      <c r="G321" s="11" t="s">
        <v>1023</v>
      </c>
      <c r="H321" s="20">
        <v>650</v>
      </c>
      <c r="I321" s="12">
        <v>45618</v>
      </c>
      <c r="J321" s="12">
        <v>46317</v>
      </c>
      <c r="K321" s="25">
        <v>483</v>
      </c>
      <c r="L321" s="23">
        <v>167</v>
      </c>
      <c r="M321" s="11"/>
      <c r="N321" s="7" t="str">
        <f ca="1">_xlfn.IFNA(VLOOKUP("2"&amp;B321,CountSpecific!E:F,2,0),"")</f>
        <v/>
      </c>
      <c r="O321" s="14" t="str">
        <f ca="1">_xlfn.IFNA(VLOOKUP("3"&amp;B321,CountSpecific!E:F,2,0),"")</f>
        <v/>
      </c>
      <c r="P321" s="7" t="str">
        <f ca="1">_xlfn.IFNA(VLOOKUP("4"&amp;B321,CountSpecific!E:F,2,0),"")</f>
        <v/>
      </c>
    </row>
    <row r="322" spans="1:16" customFormat="1" x14ac:dyDescent="0.25">
      <c r="A322" s="7">
        <v>321</v>
      </c>
      <c r="B322" s="11" t="s">
        <v>337</v>
      </c>
      <c r="C322" s="7" t="s">
        <v>1039</v>
      </c>
      <c r="D322" s="7">
        <v>321</v>
      </c>
      <c r="E322" s="9">
        <v>321</v>
      </c>
      <c r="F322" s="7">
        <v>321</v>
      </c>
      <c r="G322" s="11" t="s">
        <v>1016</v>
      </c>
      <c r="H322" s="20">
        <v>21649</v>
      </c>
      <c r="I322" s="12">
        <v>44835</v>
      </c>
      <c r="J322" s="12">
        <v>45017</v>
      </c>
      <c r="K322" s="25">
        <v>8833</v>
      </c>
      <c r="L322" s="23">
        <v>12816</v>
      </c>
      <c r="M322" s="11"/>
      <c r="N322" s="7" t="str">
        <f ca="1">_xlfn.IFNA(VLOOKUP("2"&amp;B322,CountSpecific!E:F,2,0),"")</f>
        <v/>
      </c>
      <c r="O322" s="14" t="str">
        <f ca="1">_xlfn.IFNA(VLOOKUP("3"&amp;B322,CountSpecific!E:F,2,0),"")</f>
        <v/>
      </c>
      <c r="P322" s="7" t="str">
        <f ca="1">_xlfn.IFNA(VLOOKUP("4"&amp;B322,CountSpecific!E:F,2,0),"")</f>
        <v/>
      </c>
    </row>
    <row r="323" spans="1:16" customFormat="1" x14ac:dyDescent="0.25">
      <c r="A323" s="7">
        <v>322</v>
      </c>
      <c r="B323" s="11" t="s">
        <v>338</v>
      </c>
      <c r="C323" s="7" t="s">
        <v>1039</v>
      </c>
      <c r="D323" s="7">
        <v>322</v>
      </c>
      <c r="E323" s="7">
        <v>322</v>
      </c>
      <c r="F323" s="7">
        <v>322</v>
      </c>
      <c r="G323" s="11" t="s">
        <v>1022</v>
      </c>
      <c r="H323" s="20">
        <v>6849</v>
      </c>
      <c r="I323" s="12">
        <v>45127</v>
      </c>
      <c r="J323" s="12">
        <v>45585</v>
      </c>
      <c r="K323" s="25">
        <v>3386</v>
      </c>
      <c r="L323" s="23">
        <v>3463</v>
      </c>
      <c r="M323" s="11"/>
      <c r="N323" s="7" t="str">
        <f ca="1">_xlfn.IFNA(VLOOKUP("2"&amp;B323,CountSpecific!E:F,2,0),"")</f>
        <v/>
      </c>
      <c r="O323" s="14" t="str">
        <f ca="1">_xlfn.IFNA(VLOOKUP("3"&amp;B323,CountSpecific!E:F,2,0),"")</f>
        <v/>
      </c>
      <c r="P323" s="7" t="str">
        <f ca="1">_xlfn.IFNA(VLOOKUP("4"&amp;B323,CountSpecific!E:F,2,0),"")</f>
        <v/>
      </c>
    </row>
    <row r="324" spans="1:16" customFormat="1" x14ac:dyDescent="0.25">
      <c r="A324" s="7">
        <v>323</v>
      </c>
      <c r="B324" s="11" t="s">
        <v>339</v>
      </c>
      <c r="C324" s="7" t="s">
        <v>1039</v>
      </c>
      <c r="D324" s="7">
        <v>323</v>
      </c>
      <c r="E324" s="7">
        <v>323</v>
      </c>
      <c r="F324" s="7">
        <v>323</v>
      </c>
      <c r="G324" s="11" t="s">
        <v>1023</v>
      </c>
      <c r="H324" s="20">
        <v>1264</v>
      </c>
      <c r="I324" s="12">
        <v>44739</v>
      </c>
      <c r="J324" s="12">
        <v>44861</v>
      </c>
      <c r="K324" s="25">
        <v>1078</v>
      </c>
      <c r="L324" s="23">
        <v>186</v>
      </c>
      <c r="M324" s="11"/>
      <c r="N324" s="7" t="str">
        <f ca="1">_xlfn.IFNA(VLOOKUP("2"&amp;B324,CountSpecific!E:F,2,0),"")</f>
        <v/>
      </c>
      <c r="O324" s="14" t="str">
        <f ca="1">_xlfn.IFNA(VLOOKUP("3"&amp;B324,CountSpecific!E:F,2,0),"")</f>
        <v/>
      </c>
      <c r="P324" s="7" t="str">
        <f ca="1">_xlfn.IFNA(VLOOKUP("4"&amp;B324,CountSpecific!E:F,2,0),"")</f>
        <v/>
      </c>
    </row>
    <row r="325" spans="1:16" customFormat="1" x14ac:dyDescent="0.25">
      <c r="A325" s="7">
        <v>324</v>
      </c>
      <c r="B325" s="11" t="s">
        <v>340</v>
      </c>
      <c r="C325" s="7" t="s">
        <v>1039</v>
      </c>
      <c r="D325" s="7">
        <v>324</v>
      </c>
      <c r="E325" s="9">
        <v>324</v>
      </c>
      <c r="F325" s="7">
        <v>324</v>
      </c>
      <c r="G325" s="11" t="s">
        <v>1022</v>
      </c>
      <c r="H325" s="20">
        <v>11723</v>
      </c>
      <c r="I325" s="12">
        <v>45465</v>
      </c>
      <c r="J325" s="12">
        <v>45679</v>
      </c>
      <c r="K325" s="25">
        <v>3036</v>
      </c>
      <c r="L325" s="23">
        <v>8687</v>
      </c>
      <c r="M325" s="11"/>
      <c r="N325" s="7" t="str">
        <f ca="1">_xlfn.IFNA(VLOOKUP("2"&amp;B325,CountSpecific!E:F,2,0),"")</f>
        <v/>
      </c>
      <c r="O325" s="14" t="str">
        <f ca="1">_xlfn.IFNA(VLOOKUP("3"&amp;B325,CountSpecific!E:F,2,0),"")</f>
        <v/>
      </c>
      <c r="P325" s="7" t="str">
        <f ca="1">_xlfn.IFNA(VLOOKUP("4"&amp;B325,CountSpecific!E:F,2,0),"")</f>
        <v/>
      </c>
    </row>
    <row r="326" spans="1:16" customFormat="1" x14ac:dyDescent="0.25">
      <c r="A326" s="7">
        <v>325</v>
      </c>
      <c r="B326" s="11" t="s">
        <v>341</v>
      </c>
      <c r="C326" s="7" t="s">
        <v>1039</v>
      </c>
      <c r="D326" s="7">
        <v>325</v>
      </c>
      <c r="E326" s="7">
        <v>325</v>
      </c>
      <c r="F326" s="7">
        <v>325</v>
      </c>
      <c r="G326" s="11" t="s">
        <v>1026</v>
      </c>
      <c r="H326" s="20">
        <v>3770688</v>
      </c>
      <c r="I326" s="12">
        <v>44716</v>
      </c>
      <c r="J326" s="12">
        <v>45173</v>
      </c>
      <c r="K326" s="25">
        <v>1658038</v>
      </c>
      <c r="L326" s="23">
        <v>2112650</v>
      </c>
      <c r="M326" s="11"/>
      <c r="N326" s="7" t="str">
        <f ca="1">_xlfn.IFNA(VLOOKUP("2"&amp;B326,CountSpecific!E:F,2,0),"")</f>
        <v/>
      </c>
      <c r="O326" s="14" t="str">
        <f ca="1">_xlfn.IFNA(VLOOKUP("3"&amp;B326,CountSpecific!E:F,2,0),"")</f>
        <v/>
      </c>
      <c r="P326" s="7" t="str">
        <f ca="1">_xlfn.IFNA(VLOOKUP("4"&amp;B326,CountSpecific!E:F,2,0),"")</f>
        <v/>
      </c>
    </row>
    <row r="327" spans="1:16" customFormat="1" x14ac:dyDescent="0.25">
      <c r="A327" s="7">
        <v>326</v>
      </c>
      <c r="B327" s="11" t="s">
        <v>342</v>
      </c>
      <c r="C327" s="7" t="s">
        <v>1039</v>
      </c>
      <c r="D327" s="7">
        <v>326</v>
      </c>
      <c r="E327" s="7">
        <v>326</v>
      </c>
      <c r="F327" s="7">
        <v>326</v>
      </c>
      <c r="G327" s="11" t="s">
        <v>1020</v>
      </c>
      <c r="H327" s="20">
        <v>256715</v>
      </c>
      <c r="I327" s="12">
        <v>44146</v>
      </c>
      <c r="J327" s="12">
        <v>44541</v>
      </c>
      <c r="K327" s="25">
        <v>177819</v>
      </c>
      <c r="L327" s="23">
        <v>78896</v>
      </c>
      <c r="M327" s="11"/>
      <c r="N327" s="7" t="str">
        <f ca="1">_xlfn.IFNA(VLOOKUP("2"&amp;B327,CountSpecific!E:F,2,0),"")</f>
        <v/>
      </c>
      <c r="O327" s="14" t="str">
        <f ca="1">_xlfn.IFNA(VLOOKUP("3"&amp;B327,CountSpecific!E:F,2,0),"")</f>
        <v/>
      </c>
      <c r="P327" s="7" t="str">
        <f ca="1">_xlfn.IFNA(VLOOKUP("4"&amp;B327,CountSpecific!E:F,2,0),"")</f>
        <v/>
      </c>
    </row>
    <row r="328" spans="1:16" customFormat="1" x14ac:dyDescent="0.25">
      <c r="A328" s="7">
        <v>327</v>
      </c>
      <c r="B328" s="11" t="s">
        <v>343</v>
      </c>
      <c r="C328" s="7" t="s">
        <v>1039</v>
      </c>
      <c r="D328" s="7">
        <v>327</v>
      </c>
      <c r="E328" s="9">
        <v>327</v>
      </c>
      <c r="F328" s="7">
        <v>327</v>
      </c>
      <c r="G328" s="11" t="s">
        <v>1024</v>
      </c>
      <c r="H328" s="20">
        <v>319887</v>
      </c>
      <c r="I328" s="12">
        <v>44265</v>
      </c>
      <c r="J328" s="12">
        <v>44905</v>
      </c>
      <c r="K328" s="25">
        <v>233556</v>
      </c>
      <c r="L328" s="23">
        <v>86331</v>
      </c>
      <c r="M328" s="11"/>
      <c r="N328" s="7" t="str">
        <f ca="1">_xlfn.IFNA(VLOOKUP("2"&amp;B328,CountSpecific!E:F,2,0),"")</f>
        <v/>
      </c>
      <c r="O328" s="14" t="str">
        <f ca="1">_xlfn.IFNA(VLOOKUP("3"&amp;B328,CountSpecific!E:F,2,0),"")</f>
        <v/>
      </c>
      <c r="P328" s="7" t="str">
        <f ca="1">_xlfn.IFNA(VLOOKUP("4"&amp;B328,CountSpecific!E:F,2,0),"")</f>
        <v/>
      </c>
    </row>
    <row r="329" spans="1:16" customFormat="1" x14ac:dyDescent="0.25">
      <c r="A329" s="7">
        <v>328</v>
      </c>
      <c r="B329" s="11" t="s">
        <v>344</v>
      </c>
      <c r="C329" s="7" t="s">
        <v>1039</v>
      </c>
      <c r="D329" s="7">
        <v>328</v>
      </c>
      <c r="E329" s="7">
        <v>328</v>
      </c>
      <c r="F329" s="7">
        <v>328</v>
      </c>
      <c r="G329" s="11" t="s">
        <v>1023</v>
      </c>
      <c r="H329" s="20">
        <v>1149</v>
      </c>
      <c r="I329" s="12">
        <v>44676</v>
      </c>
      <c r="J329" s="12">
        <v>44982</v>
      </c>
      <c r="K329" s="25">
        <v>181</v>
      </c>
      <c r="L329" s="23">
        <v>968</v>
      </c>
      <c r="M329" s="11"/>
      <c r="N329" s="7" t="str">
        <f ca="1">_xlfn.IFNA(VLOOKUP("2"&amp;B329,CountSpecific!E:F,2,0),"")</f>
        <v/>
      </c>
      <c r="O329" s="14" t="str">
        <f ca="1">_xlfn.IFNA(VLOOKUP("3"&amp;B329,CountSpecific!E:F,2,0),"")</f>
        <v/>
      </c>
      <c r="P329" s="7" t="str">
        <f ca="1">_xlfn.IFNA(VLOOKUP("4"&amp;B329,CountSpecific!E:F,2,0),"")</f>
        <v/>
      </c>
    </row>
    <row r="330" spans="1:16" customFormat="1" x14ac:dyDescent="0.25">
      <c r="A330" s="7">
        <v>329</v>
      </c>
      <c r="B330" s="11" t="s">
        <v>345</v>
      </c>
      <c r="C330" s="7" t="s">
        <v>1039</v>
      </c>
      <c r="D330" s="7">
        <v>329</v>
      </c>
      <c r="E330" s="7">
        <v>329</v>
      </c>
      <c r="F330" s="7">
        <v>329</v>
      </c>
      <c r="G330" s="11" t="s">
        <v>1024</v>
      </c>
      <c r="H330" s="20">
        <v>150391</v>
      </c>
      <c r="I330" s="12">
        <v>45475</v>
      </c>
      <c r="J330" s="12">
        <v>45749</v>
      </c>
      <c r="K330" s="25">
        <v>15318</v>
      </c>
      <c r="L330" s="23">
        <v>135073</v>
      </c>
      <c r="M330" s="11"/>
      <c r="N330" s="7" t="str">
        <f ca="1">_xlfn.IFNA(VLOOKUP("2"&amp;B330,CountSpecific!E:F,2,0),"")</f>
        <v/>
      </c>
      <c r="O330" s="14" t="str">
        <f ca="1">_xlfn.IFNA(VLOOKUP("3"&amp;B330,CountSpecific!E:F,2,0),"")</f>
        <v/>
      </c>
      <c r="P330" s="7" t="str">
        <f ca="1">_xlfn.IFNA(VLOOKUP("4"&amp;B330,CountSpecific!E:F,2,0),"")</f>
        <v/>
      </c>
    </row>
    <row r="331" spans="1:16" customFormat="1" x14ac:dyDescent="0.25">
      <c r="A331" s="7">
        <v>330</v>
      </c>
      <c r="B331" s="11" t="s">
        <v>346</v>
      </c>
      <c r="C331" s="7" t="s">
        <v>1039</v>
      </c>
      <c r="D331" s="7">
        <v>330</v>
      </c>
      <c r="E331" s="9">
        <v>330</v>
      </c>
      <c r="F331" s="7">
        <v>330</v>
      </c>
      <c r="G331" s="11" t="s">
        <v>1025</v>
      </c>
      <c r="H331" s="20">
        <v>93917</v>
      </c>
      <c r="I331" s="12">
        <v>45325</v>
      </c>
      <c r="J331" s="12">
        <v>45476</v>
      </c>
      <c r="K331" s="25">
        <v>3334</v>
      </c>
      <c r="L331" s="23">
        <v>90583</v>
      </c>
      <c r="M331" s="11"/>
      <c r="N331" s="7" t="str">
        <f ca="1">_xlfn.IFNA(VLOOKUP("2"&amp;B331,CountSpecific!E:F,2,0),"")</f>
        <v/>
      </c>
      <c r="O331" s="14" t="str">
        <f ca="1">_xlfn.IFNA(VLOOKUP("3"&amp;B331,CountSpecific!E:F,2,0),"")</f>
        <v/>
      </c>
      <c r="P331" s="7" t="str">
        <f ca="1">_xlfn.IFNA(VLOOKUP("4"&amp;B331,CountSpecific!E:F,2,0),"")</f>
        <v/>
      </c>
    </row>
    <row r="332" spans="1:16" customFormat="1" x14ac:dyDescent="0.25">
      <c r="A332" s="7">
        <v>331</v>
      </c>
      <c r="B332" s="11" t="s">
        <v>347</v>
      </c>
      <c r="C332" s="7" t="s">
        <v>1039</v>
      </c>
      <c r="D332" s="7">
        <v>331</v>
      </c>
      <c r="E332" s="7">
        <v>331</v>
      </c>
      <c r="F332" s="7">
        <v>331</v>
      </c>
      <c r="G332" s="11" t="s">
        <v>1025</v>
      </c>
      <c r="H332" s="20">
        <v>419652</v>
      </c>
      <c r="I332" s="12">
        <v>44122</v>
      </c>
      <c r="J332" s="12">
        <v>44304</v>
      </c>
      <c r="K332" s="25">
        <v>98180</v>
      </c>
      <c r="L332" s="23">
        <v>321472</v>
      </c>
      <c r="M332" s="11"/>
      <c r="N332" s="7" t="str">
        <f ca="1">_xlfn.IFNA(VLOOKUP("2"&amp;B332,CountSpecific!E:F,2,0),"")</f>
        <v/>
      </c>
      <c r="O332" s="14" t="str">
        <f ca="1">_xlfn.IFNA(VLOOKUP("3"&amp;B332,CountSpecific!E:F,2,0),"")</f>
        <v/>
      </c>
      <c r="P332" s="7" t="str">
        <f ca="1">_xlfn.IFNA(VLOOKUP("4"&amp;B332,CountSpecific!E:F,2,0),"")</f>
        <v/>
      </c>
    </row>
    <row r="333" spans="1:16" customFormat="1" x14ac:dyDescent="0.25">
      <c r="A333" s="7">
        <v>332</v>
      </c>
      <c r="B333" s="11" t="s">
        <v>348</v>
      </c>
      <c r="C333" s="7" t="s">
        <v>1039</v>
      </c>
      <c r="D333" s="7">
        <v>332</v>
      </c>
      <c r="E333" s="7">
        <v>332</v>
      </c>
      <c r="F333" s="7">
        <v>332</v>
      </c>
      <c r="G333" s="11" t="s">
        <v>1023</v>
      </c>
      <c r="H333" s="20">
        <v>1326</v>
      </c>
      <c r="I333" s="12">
        <v>44612</v>
      </c>
      <c r="J333" s="12">
        <v>44701</v>
      </c>
      <c r="K333" s="25">
        <v>951</v>
      </c>
      <c r="L333" s="23">
        <v>375</v>
      </c>
      <c r="M333" s="11"/>
      <c r="N333" s="7" t="str">
        <f ca="1">_xlfn.IFNA(VLOOKUP("2"&amp;B333,CountSpecific!E:F,2,0),"")</f>
        <v/>
      </c>
      <c r="O333" s="14" t="str">
        <f ca="1">_xlfn.IFNA(VLOOKUP("3"&amp;B333,CountSpecific!E:F,2,0),"")</f>
        <v/>
      </c>
      <c r="P333" s="7" t="str">
        <f ca="1">_xlfn.IFNA(VLOOKUP("4"&amp;B333,CountSpecific!E:F,2,0),"")</f>
        <v/>
      </c>
    </row>
    <row r="334" spans="1:16" customFormat="1" x14ac:dyDescent="0.25">
      <c r="A334" s="7">
        <v>333</v>
      </c>
      <c r="B334" s="11" t="s">
        <v>349</v>
      </c>
      <c r="C334" s="7" t="s">
        <v>1039</v>
      </c>
      <c r="D334" s="7">
        <v>333</v>
      </c>
      <c r="E334" s="9">
        <v>333</v>
      </c>
      <c r="F334" s="7">
        <v>333</v>
      </c>
      <c r="G334" s="11" t="s">
        <v>1026</v>
      </c>
      <c r="H334" s="20">
        <v>4529196</v>
      </c>
      <c r="I334" s="12">
        <v>44993</v>
      </c>
      <c r="J334" s="12">
        <v>45330</v>
      </c>
      <c r="K334" s="25">
        <v>2345535</v>
      </c>
      <c r="L334" s="23">
        <v>2183661</v>
      </c>
      <c r="M334" s="11"/>
      <c r="N334" s="7" t="str">
        <f ca="1">_xlfn.IFNA(VLOOKUP("2"&amp;B334,CountSpecific!E:F,2,0),"")</f>
        <v/>
      </c>
      <c r="O334" s="14" t="str">
        <f ca="1">_xlfn.IFNA(VLOOKUP("3"&amp;B334,CountSpecific!E:F,2,0),"")</f>
        <v/>
      </c>
      <c r="P334" s="7" t="str">
        <f ca="1">_xlfn.IFNA(VLOOKUP("4"&amp;B334,CountSpecific!E:F,2,0),"")</f>
        <v/>
      </c>
    </row>
    <row r="335" spans="1:16" customFormat="1" x14ac:dyDescent="0.25">
      <c r="A335" s="7">
        <v>334</v>
      </c>
      <c r="B335" s="11" t="s">
        <v>350</v>
      </c>
      <c r="C335" s="7" t="s">
        <v>1039</v>
      </c>
      <c r="D335" s="7">
        <v>334</v>
      </c>
      <c r="E335" s="7">
        <v>334</v>
      </c>
      <c r="F335" s="7">
        <v>334</v>
      </c>
      <c r="G335" s="11" t="s">
        <v>1021</v>
      </c>
      <c r="H335" s="20">
        <v>35814</v>
      </c>
      <c r="I335" s="12">
        <v>44444</v>
      </c>
      <c r="J335" s="12">
        <v>44839</v>
      </c>
      <c r="K335" s="25">
        <v>30405</v>
      </c>
      <c r="L335" s="23">
        <v>5409</v>
      </c>
      <c r="M335" s="11"/>
      <c r="N335" s="7" t="str">
        <f ca="1">_xlfn.IFNA(VLOOKUP("2"&amp;B335,CountSpecific!E:F,2,0),"")</f>
        <v/>
      </c>
      <c r="O335" s="14" t="str">
        <f ca="1">_xlfn.IFNA(VLOOKUP("3"&amp;B335,CountSpecific!E:F,2,0),"")</f>
        <v/>
      </c>
      <c r="P335" s="7" t="str">
        <f ca="1">_xlfn.IFNA(VLOOKUP("4"&amp;B335,CountSpecific!E:F,2,0),"")</f>
        <v/>
      </c>
    </row>
    <row r="336" spans="1:16" customFormat="1" x14ac:dyDescent="0.25">
      <c r="A336" s="7">
        <v>335</v>
      </c>
      <c r="B336" s="11" t="s">
        <v>351</v>
      </c>
      <c r="C336" s="7" t="s">
        <v>1039</v>
      </c>
      <c r="D336" s="7">
        <v>335</v>
      </c>
      <c r="E336" s="7">
        <v>335</v>
      </c>
      <c r="F336" s="7">
        <v>335</v>
      </c>
      <c r="G336" s="11" t="s">
        <v>1024</v>
      </c>
      <c r="H336" s="20">
        <v>567698</v>
      </c>
      <c r="I336" s="12">
        <v>44235</v>
      </c>
      <c r="J336" s="12">
        <v>44477</v>
      </c>
      <c r="K336" s="25">
        <v>27569</v>
      </c>
      <c r="L336" s="23">
        <v>540129</v>
      </c>
      <c r="M336" s="11"/>
      <c r="N336" s="7" t="str">
        <f ca="1">_xlfn.IFNA(VLOOKUP("2"&amp;B336,CountSpecific!E:F,2,0),"")</f>
        <v/>
      </c>
      <c r="O336" s="14" t="str">
        <f ca="1">_xlfn.IFNA(VLOOKUP("3"&amp;B336,CountSpecific!E:F,2,0),"")</f>
        <v/>
      </c>
      <c r="P336" s="7" t="str">
        <f ca="1">_xlfn.IFNA(VLOOKUP("4"&amp;B336,CountSpecific!E:F,2,0),"")</f>
        <v/>
      </c>
    </row>
    <row r="337" spans="1:16" customFormat="1" x14ac:dyDescent="0.25">
      <c r="A337" s="7">
        <v>336</v>
      </c>
      <c r="B337" s="11" t="s">
        <v>352</v>
      </c>
      <c r="C337" s="7" t="s">
        <v>1039</v>
      </c>
      <c r="D337" s="7">
        <v>336</v>
      </c>
      <c r="E337" s="9">
        <v>336</v>
      </c>
      <c r="F337" s="7">
        <v>336</v>
      </c>
      <c r="G337" s="11" t="s">
        <v>1026</v>
      </c>
      <c r="H337" s="20">
        <v>443094</v>
      </c>
      <c r="I337" s="12">
        <v>44325</v>
      </c>
      <c r="J337" s="12">
        <v>44539</v>
      </c>
      <c r="K337" s="25">
        <v>295325</v>
      </c>
      <c r="L337" s="23">
        <v>147769</v>
      </c>
      <c r="M337" s="11"/>
      <c r="N337" s="7" t="str">
        <f ca="1">_xlfn.IFNA(VLOOKUP("2"&amp;B337,CountSpecific!E:F,2,0),"")</f>
        <v/>
      </c>
      <c r="O337" s="14" t="str">
        <f ca="1">_xlfn.IFNA(VLOOKUP("3"&amp;B337,CountSpecific!E:F,2,0),"")</f>
        <v/>
      </c>
      <c r="P337" s="7" t="str">
        <f ca="1">_xlfn.IFNA(VLOOKUP("4"&amp;B337,CountSpecific!E:F,2,0),"")</f>
        <v/>
      </c>
    </row>
    <row r="338" spans="1:16" customFormat="1" x14ac:dyDescent="0.25">
      <c r="A338" s="7">
        <v>337</v>
      </c>
      <c r="B338" s="11" t="s">
        <v>353</v>
      </c>
      <c r="C338" s="7" t="s">
        <v>1039</v>
      </c>
      <c r="D338" s="7">
        <v>337</v>
      </c>
      <c r="E338" s="7">
        <v>337</v>
      </c>
      <c r="F338" s="7">
        <v>337</v>
      </c>
      <c r="G338" s="11" t="s">
        <v>1023</v>
      </c>
      <c r="H338" s="20">
        <v>514</v>
      </c>
      <c r="I338" s="12">
        <v>43998</v>
      </c>
      <c r="J338" s="12">
        <v>44608</v>
      </c>
      <c r="K338" s="25">
        <v>121</v>
      </c>
      <c r="L338" s="23">
        <v>393</v>
      </c>
      <c r="M338" s="11"/>
      <c r="N338" s="7" t="str">
        <f ca="1">_xlfn.IFNA(VLOOKUP("2"&amp;B338,CountSpecific!E:F,2,0),"")</f>
        <v/>
      </c>
      <c r="O338" s="14" t="str">
        <f ca="1">_xlfn.IFNA(VLOOKUP("3"&amp;B338,CountSpecific!E:F,2,0),"")</f>
        <v/>
      </c>
      <c r="P338" s="7" t="str">
        <f ca="1">_xlfn.IFNA(VLOOKUP("4"&amp;B338,CountSpecific!E:F,2,0),"")</f>
        <v/>
      </c>
    </row>
    <row r="339" spans="1:16" customFormat="1" x14ac:dyDescent="0.25">
      <c r="A339" s="7">
        <v>338</v>
      </c>
      <c r="B339" s="11" t="s">
        <v>354</v>
      </c>
      <c r="C339" s="7" t="s">
        <v>1039</v>
      </c>
      <c r="D339" s="7">
        <v>338</v>
      </c>
      <c r="E339" s="7">
        <v>338</v>
      </c>
      <c r="F339" s="7">
        <v>338</v>
      </c>
      <c r="G339" s="11" t="s">
        <v>1016</v>
      </c>
      <c r="H339" s="20">
        <v>27313</v>
      </c>
      <c r="I339" s="12">
        <v>45430</v>
      </c>
      <c r="J339" s="12">
        <v>45765</v>
      </c>
      <c r="K339" s="25">
        <v>7367</v>
      </c>
      <c r="L339" s="23">
        <v>19946</v>
      </c>
      <c r="M339" s="11"/>
      <c r="N339" s="7" t="str">
        <f ca="1">_xlfn.IFNA(VLOOKUP("2"&amp;B339,CountSpecific!E:F,2,0),"")</f>
        <v/>
      </c>
      <c r="O339" s="14" t="str">
        <f ca="1">_xlfn.IFNA(VLOOKUP("3"&amp;B339,CountSpecific!E:F,2,0),"")</f>
        <v/>
      </c>
      <c r="P339" s="7" t="str">
        <f ca="1">_xlfn.IFNA(VLOOKUP("4"&amp;B339,CountSpecific!E:F,2,0),"")</f>
        <v/>
      </c>
    </row>
    <row r="340" spans="1:16" customFormat="1" x14ac:dyDescent="0.25">
      <c r="A340" s="7">
        <v>339</v>
      </c>
      <c r="B340" s="11" t="s">
        <v>355</v>
      </c>
      <c r="C340" s="7" t="s">
        <v>1039</v>
      </c>
      <c r="D340" s="7">
        <v>339</v>
      </c>
      <c r="E340" s="9">
        <v>339</v>
      </c>
      <c r="F340" s="7">
        <v>339</v>
      </c>
      <c r="G340" s="11" t="s">
        <v>1027</v>
      </c>
      <c r="H340" s="20">
        <v>47487</v>
      </c>
      <c r="I340" s="12">
        <v>45551</v>
      </c>
      <c r="J340" s="12">
        <v>45581</v>
      </c>
      <c r="K340" s="25">
        <v>29087</v>
      </c>
      <c r="L340" s="23">
        <v>18400</v>
      </c>
      <c r="M340" s="11"/>
      <c r="N340" s="7" t="str">
        <f ca="1">_xlfn.IFNA(VLOOKUP("2"&amp;B340,CountSpecific!E:F,2,0),"")</f>
        <v/>
      </c>
      <c r="O340" s="14" t="str">
        <f ca="1">_xlfn.IFNA(VLOOKUP("3"&amp;B340,CountSpecific!E:F,2,0),"")</f>
        <v/>
      </c>
      <c r="P340" s="7" t="str">
        <f ca="1">_xlfn.IFNA(VLOOKUP("4"&amp;B340,CountSpecific!E:F,2,0),"")</f>
        <v/>
      </c>
    </row>
    <row r="341" spans="1:16" customFormat="1" x14ac:dyDescent="0.25">
      <c r="A341" s="7">
        <v>340</v>
      </c>
      <c r="B341" s="11" t="s">
        <v>356</v>
      </c>
      <c r="C341" s="7" t="s">
        <v>1039</v>
      </c>
      <c r="D341" s="7">
        <v>340</v>
      </c>
      <c r="E341" s="7">
        <v>340</v>
      </c>
      <c r="F341" s="7">
        <v>340</v>
      </c>
      <c r="G341" s="11" t="s">
        <v>1021</v>
      </c>
      <c r="H341" s="20">
        <v>1183</v>
      </c>
      <c r="I341" s="12">
        <v>43857</v>
      </c>
      <c r="J341" s="12">
        <v>44435</v>
      </c>
      <c r="K341" s="25">
        <v>569</v>
      </c>
      <c r="L341" s="23">
        <v>614</v>
      </c>
      <c r="M341" s="11"/>
      <c r="N341" s="7" t="str">
        <f ca="1">_xlfn.IFNA(VLOOKUP("2"&amp;B341,CountSpecific!E:F,2,0),"")</f>
        <v/>
      </c>
      <c r="O341" s="14" t="str">
        <f ca="1">_xlfn.IFNA(VLOOKUP("3"&amp;B341,CountSpecific!E:F,2,0),"")</f>
        <v/>
      </c>
      <c r="P341" s="7" t="str">
        <f ca="1">_xlfn.IFNA(VLOOKUP("4"&amp;B341,CountSpecific!E:F,2,0),"")</f>
        <v/>
      </c>
    </row>
    <row r="342" spans="1:16" customFormat="1" x14ac:dyDescent="0.25">
      <c r="A342" s="7">
        <v>341</v>
      </c>
      <c r="B342" s="11" t="s">
        <v>357</v>
      </c>
      <c r="C342" s="7" t="s">
        <v>1039</v>
      </c>
      <c r="D342" s="7">
        <v>341</v>
      </c>
      <c r="E342" s="7">
        <v>341</v>
      </c>
      <c r="F342" s="7">
        <v>341</v>
      </c>
      <c r="G342" s="11" t="s">
        <v>1021</v>
      </c>
      <c r="H342" s="20">
        <v>40185</v>
      </c>
      <c r="I342" s="12">
        <v>44571</v>
      </c>
      <c r="J342" s="12">
        <v>45270</v>
      </c>
      <c r="K342" s="25">
        <v>2115</v>
      </c>
      <c r="L342" s="23">
        <v>38070</v>
      </c>
      <c r="M342" s="11"/>
      <c r="N342" s="7" t="str">
        <f ca="1">_xlfn.IFNA(VLOOKUP("2"&amp;B342,CountSpecific!E:F,2,0),"")</f>
        <v/>
      </c>
      <c r="O342" s="14" t="str">
        <f ca="1">_xlfn.IFNA(VLOOKUP("3"&amp;B342,CountSpecific!E:F,2,0),"")</f>
        <v/>
      </c>
      <c r="P342" s="7" t="str">
        <f ca="1">_xlfn.IFNA(VLOOKUP("4"&amp;B342,CountSpecific!E:F,2,0),"")</f>
        <v/>
      </c>
    </row>
    <row r="343" spans="1:16" customFormat="1" x14ac:dyDescent="0.25">
      <c r="A343" s="7">
        <v>342</v>
      </c>
      <c r="B343" s="11" t="s">
        <v>358</v>
      </c>
      <c r="C343" s="7" t="s">
        <v>1039</v>
      </c>
      <c r="D343" s="7">
        <v>342</v>
      </c>
      <c r="E343" s="9">
        <v>342</v>
      </c>
      <c r="F343" s="7">
        <v>342</v>
      </c>
      <c r="G343" s="11" t="s">
        <v>1027</v>
      </c>
      <c r="H343" s="20">
        <v>36406</v>
      </c>
      <c r="I343" s="12">
        <v>44505</v>
      </c>
      <c r="J343" s="12">
        <v>44625</v>
      </c>
      <c r="K343" s="25">
        <v>35178</v>
      </c>
      <c r="L343" s="23">
        <v>1228</v>
      </c>
      <c r="M343" s="11"/>
      <c r="N343" s="7" t="str">
        <f ca="1">_xlfn.IFNA(VLOOKUP("2"&amp;B343,CountSpecific!E:F,2,0),"")</f>
        <v/>
      </c>
      <c r="O343" s="14" t="str">
        <f ca="1">_xlfn.IFNA(VLOOKUP("3"&amp;B343,CountSpecific!E:F,2,0),"")</f>
        <v/>
      </c>
      <c r="P343" s="7" t="str">
        <f ca="1">_xlfn.IFNA(VLOOKUP("4"&amp;B343,CountSpecific!E:F,2,0),"")</f>
        <v/>
      </c>
    </row>
    <row r="344" spans="1:16" customFormat="1" x14ac:dyDescent="0.25">
      <c r="A344" s="7">
        <v>343</v>
      </c>
      <c r="B344" s="11" t="s">
        <v>359</v>
      </c>
      <c r="C344" s="7" t="s">
        <v>1039</v>
      </c>
      <c r="D344" s="7">
        <v>343</v>
      </c>
      <c r="E344" s="7">
        <v>343</v>
      </c>
      <c r="F344" s="7">
        <v>343</v>
      </c>
      <c r="G344" s="11" t="s">
        <v>1016</v>
      </c>
      <c r="H344" s="20">
        <v>27407</v>
      </c>
      <c r="I344" s="12">
        <v>45514</v>
      </c>
      <c r="J344" s="12">
        <v>46063</v>
      </c>
      <c r="K344" s="25">
        <v>1725</v>
      </c>
      <c r="L344" s="23">
        <v>25682</v>
      </c>
      <c r="M344" s="11"/>
      <c r="N344" s="7" t="str">
        <f ca="1">_xlfn.IFNA(VLOOKUP("2"&amp;B344,CountSpecific!E:F,2,0),"")</f>
        <v/>
      </c>
      <c r="O344" s="14" t="str">
        <f ca="1">_xlfn.IFNA(VLOOKUP("3"&amp;B344,CountSpecific!E:F,2,0),"")</f>
        <v/>
      </c>
      <c r="P344" s="7" t="str">
        <f ca="1">_xlfn.IFNA(VLOOKUP("4"&amp;B344,CountSpecific!E:F,2,0),"")</f>
        <v/>
      </c>
    </row>
    <row r="345" spans="1:16" customFormat="1" x14ac:dyDescent="0.25">
      <c r="A345" s="7">
        <v>344</v>
      </c>
      <c r="B345" s="11" t="s">
        <v>360</v>
      </c>
      <c r="C345" s="7" t="s">
        <v>1039</v>
      </c>
      <c r="D345" s="7">
        <v>344</v>
      </c>
      <c r="E345" s="7">
        <v>344</v>
      </c>
      <c r="F345" s="7">
        <v>344</v>
      </c>
      <c r="G345" s="11" t="s">
        <v>1016</v>
      </c>
      <c r="H345" s="20">
        <v>39751</v>
      </c>
      <c r="I345" s="12">
        <v>43982</v>
      </c>
      <c r="J345" s="12">
        <v>44135</v>
      </c>
      <c r="K345" s="25">
        <v>38768</v>
      </c>
      <c r="L345" s="23">
        <v>983</v>
      </c>
      <c r="M345" s="11"/>
      <c r="N345" s="7" t="str">
        <f ca="1">_xlfn.IFNA(VLOOKUP("2"&amp;B345,CountSpecific!E:F,2,0),"")</f>
        <v/>
      </c>
      <c r="O345" s="14" t="str">
        <f ca="1">_xlfn.IFNA(VLOOKUP("3"&amp;B345,CountSpecific!E:F,2,0),"")</f>
        <v/>
      </c>
      <c r="P345" s="7" t="str">
        <f ca="1">_xlfn.IFNA(VLOOKUP("4"&amp;B345,CountSpecific!E:F,2,0),"")</f>
        <v/>
      </c>
    </row>
    <row r="346" spans="1:16" customFormat="1" x14ac:dyDescent="0.25">
      <c r="A346" s="7">
        <v>345</v>
      </c>
      <c r="B346" s="11" t="s">
        <v>361</v>
      </c>
      <c r="C346" s="7" t="s">
        <v>1039</v>
      </c>
      <c r="D346" s="7">
        <v>345</v>
      </c>
      <c r="E346" s="9">
        <v>345</v>
      </c>
      <c r="F346" s="7">
        <v>345</v>
      </c>
      <c r="G346" s="11" t="s">
        <v>1025</v>
      </c>
      <c r="H346" s="20">
        <v>298469</v>
      </c>
      <c r="I346" s="12">
        <v>45278</v>
      </c>
      <c r="J346" s="12">
        <v>45918</v>
      </c>
      <c r="K346" s="25">
        <v>117989</v>
      </c>
      <c r="L346" s="23">
        <v>180480</v>
      </c>
      <c r="M346" s="11"/>
      <c r="N346" s="7" t="str">
        <f ca="1">_xlfn.IFNA(VLOOKUP("2"&amp;B346,CountSpecific!E:F,2,0),"")</f>
        <v/>
      </c>
      <c r="O346" s="14" t="str">
        <f ca="1">_xlfn.IFNA(VLOOKUP("3"&amp;B346,CountSpecific!E:F,2,0),"")</f>
        <v/>
      </c>
      <c r="P346" s="7" t="str">
        <f ca="1">_xlfn.IFNA(VLOOKUP("4"&amp;B346,CountSpecific!E:F,2,0),"")</f>
        <v/>
      </c>
    </row>
    <row r="347" spans="1:16" customFormat="1" x14ac:dyDescent="0.25">
      <c r="A347" s="7">
        <v>346</v>
      </c>
      <c r="B347" s="11" t="s">
        <v>362</v>
      </c>
      <c r="C347" s="7" t="s">
        <v>1039</v>
      </c>
      <c r="D347" s="7">
        <v>346</v>
      </c>
      <c r="E347" s="7">
        <v>346</v>
      </c>
      <c r="F347" s="7">
        <v>346</v>
      </c>
      <c r="G347" s="11" t="s">
        <v>1023</v>
      </c>
      <c r="H347" s="20">
        <v>191</v>
      </c>
      <c r="I347" s="12">
        <v>43986</v>
      </c>
      <c r="J347" s="12">
        <v>44624</v>
      </c>
      <c r="K347" s="25">
        <v>34</v>
      </c>
      <c r="L347" s="23">
        <v>157</v>
      </c>
      <c r="M347" s="11"/>
      <c r="N347" s="7" t="str">
        <f ca="1">_xlfn.IFNA(VLOOKUP("2"&amp;B347,CountSpecific!E:F,2,0),"")</f>
        <v/>
      </c>
      <c r="O347" s="14" t="str">
        <f ca="1">_xlfn.IFNA(VLOOKUP("3"&amp;B347,CountSpecific!E:F,2,0),"")</f>
        <v/>
      </c>
      <c r="P347" s="7" t="str">
        <f ca="1">_xlfn.IFNA(VLOOKUP("4"&amp;B347,CountSpecific!E:F,2,0),"")</f>
        <v/>
      </c>
    </row>
    <row r="348" spans="1:16" customFormat="1" x14ac:dyDescent="0.25">
      <c r="A348" s="7">
        <v>347</v>
      </c>
      <c r="B348" s="11" t="s">
        <v>363</v>
      </c>
      <c r="C348" s="7" t="s">
        <v>1039</v>
      </c>
      <c r="D348" s="7">
        <v>347</v>
      </c>
      <c r="E348" s="7">
        <v>347</v>
      </c>
      <c r="F348" s="7">
        <v>347</v>
      </c>
      <c r="G348" s="11" t="s">
        <v>1026</v>
      </c>
      <c r="H348" s="20">
        <v>3093237</v>
      </c>
      <c r="I348" s="12">
        <v>43895</v>
      </c>
      <c r="J348" s="12">
        <v>44535</v>
      </c>
      <c r="K348" s="25">
        <v>1410699</v>
      </c>
      <c r="L348" s="23">
        <v>1682538</v>
      </c>
      <c r="M348" s="11"/>
      <c r="N348" s="7" t="str">
        <f ca="1">_xlfn.IFNA(VLOOKUP("2"&amp;B348,CountSpecific!E:F,2,0),"")</f>
        <v/>
      </c>
      <c r="O348" s="14" t="str">
        <f ca="1">_xlfn.IFNA(VLOOKUP("3"&amp;B348,CountSpecific!E:F,2,0),"")</f>
        <v/>
      </c>
      <c r="P348" s="7" t="str">
        <f ca="1">_xlfn.IFNA(VLOOKUP("4"&amp;B348,CountSpecific!E:F,2,0),"")</f>
        <v/>
      </c>
    </row>
    <row r="349" spans="1:16" customFormat="1" x14ac:dyDescent="0.25">
      <c r="A349" s="7">
        <v>348</v>
      </c>
      <c r="B349" s="11" t="s">
        <v>364</v>
      </c>
      <c r="C349" s="7" t="s">
        <v>1039</v>
      </c>
      <c r="D349" s="7">
        <v>348</v>
      </c>
      <c r="E349" s="9">
        <v>348</v>
      </c>
      <c r="F349" s="7">
        <v>348</v>
      </c>
      <c r="G349" s="11" t="s">
        <v>1026</v>
      </c>
      <c r="H349" s="20">
        <v>3897092</v>
      </c>
      <c r="I349" s="12">
        <v>44769</v>
      </c>
      <c r="J349" s="12">
        <v>45073</v>
      </c>
      <c r="K349" s="25">
        <v>1257788</v>
      </c>
      <c r="L349" s="23">
        <v>2639304</v>
      </c>
      <c r="M349" s="11"/>
      <c r="N349" s="7" t="str">
        <f ca="1">_xlfn.IFNA(VLOOKUP("2"&amp;B349,CountSpecific!E:F,2,0),"")</f>
        <v/>
      </c>
      <c r="O349" s="14" t="str">
        <f ca="1">_xlfn.IFNA(VLOOKUP("3"&amp;B349,CountSpecific!E:F,2,0),"")</f>
        <v/>
      </c>
      <c r="P349" s="7" t="str">
        <f ca="1">_xlfn.IFNA(VLOOKUP("4"&amp;B349,CountSpecific!E:F,2,0),"")</f>
        <v/>
      </c>
    </row>
    <row r="350" spans="1:16" customFormat="1" x14ac:dyDescent="0.25">
      <c r="A350" s="7">
        <v>349</v>
      </c>
      <c r="B350" s="11" t="s">
        <v>365</v>
      </c>
      <c r="C350" s="7" t="s">
        <v>1039</v>
      </c>
      <c r="D350" s="7">
        <v>349</v>
      </c>
      <c r="E350" s="7">
        <v>349</v>
      </c>
      <c r="F350" s="7">
        <v>349</v>
      </c>
      <c r="G350" s="11" t="s">
        <v>1026</v>
      </c>
      <c r="H350" s="20">
        <v>4336209</v>
      </c>
      <c r="I350" s="12">
        <v>45559</v>
      </c>
      <c r="J350" s="12">
        <v>45954</v>
      </c>
      <c r="K350" s="25">
        <v>3101201</v>
      </c>
      <c r="L350" s="23">
        <v>1235008</v>
      </c>
      <c r="M350" s="11"/>
      <c r="N350" s="7" t="str">
        <f ca="1">_xlfn.IFNA(VLOOKUP("2"&amp;B350,CountSpecific!E:F,2,0),"")</f>
        <v/>
      </c>
      <c r="O350" s="14" t="str">
        <f ca="1">_xlfn.IFNA(VLOOKUP("3"&amp;B350,CountSpecific!E:F,2,0),"")</f>
        <v/>
      </c>
      <c r="P350" s="7" t="str">
        <f ca="1">_xlfn.IFNA(VLOOKUP("4"&amp;B350,CountSpecific!E:F,2,0),"")</f>
        <v/>
      </c>
    </row>
    <row r="351" spans="1:16" customFormat="1" x14ac:dyDescent="0.25">
      <c r="A351" s="7">
        <v>350</v>
      </c>
      <c r="B351" s="11" t="s">
        <v>366</v>
      </c>
      <c r="C351" s="7" t="s">
        <v>1039</v>
      </c>
      <c r="D351" s="7">
        <v>350</v>
      </c>
      <c r="E351" s="7">
        <v>350</v>
      </c>
      <c r="F351" s="7">
        <v>350</v>
      </c>
      <c r="G351" s="11" t="s">
        <v>1026</v>
      </c>
      <c r="H351" s="20">
        <v>2473551</v>
      </c>
      <c r="I351" s="12">
        <v>43939</v>
      </c>
      <c r="J351" s="12">
        <v>44214</v>
      </c>
      <c r="K351" s="25">
        <v>960542</v>
      </c>
      <c r="L351" s="23">
        <v>1513009</v>
      </c>
      <c r="M351" s="11"/>
      <c r="N351" s="7" t="str">
        <f ca="1">_xlfn.IFNA(VLOOKUP("2"&amp;B351,CountSpecific!E:F,2,0),"")</f>
        <v/>
      </c>
      <c r="O351" s="14" t="str">
        <f ca="1">_xlfn.IFNA(VLOOKUP("3"&amp;B351,CountSpecific!E:F,2,0),"")</f>
        <v/>
      </c>
      <c r="P351" s="7" t="str">
        <f ca="1">_xlfn.IFNA(VLOOKUP("4"&amp;B351,CountSpecific!E:F,2,0),"")</f>
        <v/>
      </c>
    </row>
    <row r="352" spans="1:16" customFormat="1" x14ac:dyDescent="0.25">
      <c r="A352" s="7">
        <v>351</v>
      </c>
      <c r="B352" s="11" t="s">
        <v>367</v>
      </c>
      <c r="C352" s="7" t="s">
        <v>1039</v>
      </c>
      <c r="D352" s="7">
        <v>351</v>
      </c>
      <c r="E352" s="9">
        <v>351</v>
      </c>
      <c r="F352" s="7">
        <v>351</v>
      </c>
      <c r="G352" s="11" t="s">
        <v>1016</v>
      </c>
      <c r="H352" s="20">
        <v>39253</v>
      </c>
      <c r="I352" s="12">
        <v>44768</v>
      </c>
      <c r="J352" s="12">
        <v>44860</v>
      </c>
      <c r="K352" s="25">
        <v>7461</v>
      </c>
      <c r="L352" s="23">
        <v>31792</v>
      </c>
      <c r="M352" s="11"/>
      <c r="N352" s="7" t="str">
        <f ca="1">_xlfn.IFNA(VLOOKUP("2"&amp;B352,CountSpecific!E:F,2,0),"")</f>
        <v/>
      </c>
      <c r="O352" s="14" t="str">
        <f ca="1">_xlfn.IFNA(VLOOKUP("3"&amp;B352,CountSpecific!E:F,2,0),"")</f>
        <v/>
      </c>
      <c r="P352" s="7" t="str">
        <f ca="1">_xlfn.IFNA(VLOOKUP("4"&amp;B352,CountSpecific!E:F,2,0),"")</f>
        <v/>
      </c>
    </row>
    <row r="353" spans="1:16" customFormat="1" x14ac:dyDescent="0.25">
      <c r="A353" s="7">
        <v>352</v>
      </c>
      <c r="B353" s="11" t="s">
        <v>368</v>
      </c>
      <c r="C353" s="7" t="s">
        <v>1039</v>
      </c>
      <c r="D353" s="7">
        <v>352</v>
      </c>
      <c r="E353" s="7">
        <v>352</v>
      </c>
      <c r="F353" s="7">
        <v>352</v>
      </c>
      <c r="G353" s="11" t="s">
        <v>1026</v>
      </c>
      <c r="H353" s="20">
        <v>1883271</v>
      </c>
      <c r="I353" s="12">
        <v>44834</v>
      </c>
      <c r="J353" s="12">
        <v>45442</v>
      </c>
      <c r="K353" s="25">
        <v>1742546</v>
      </c>
      <c r="L353" s="23">
        <v>140725</v>
      </c>
      <c r="M353" s="11"/>
      <c r="N353" s="7" t="str">
        <f ca="1">_xlfn.IFNA(VLOOKUP("2"&amp;B353,CountSpecific!E:F,2,0),"")</f>
        <v/>
      </c>
      <c r="O353" s="14" t="str">
        <f ca="1">_xlfn.IFNA(VLOOKUP("3"&amp;B353,CountSpecific!E:F,2,0),"")</f>
        <v/>
      </c>
      <c r="P353" s="7" t="str">
        <f ca="1">_xlfn.IFNA(VLOOKUP("4"&amp;B353,CountSpecific!E:F,2,0),"")</f>
        <v/>
      </c>
    </row>
    <row r="354" spans="1:16" customFormat="1" x14ac:dyDescent="0.25">
      <c r="A354" s="7">
        <v>353</v>
      </c>
      <c r="B354" s="11" t="s">
        <v>369</v>
      </c>
      <c r="C354" s="7" t="s">
        <v>1039</v>
      </c>
      <c r="D354" s="7">
        <v>353</v>
      </c>
      <c r="E354" s="7">
        <v>353</v>
      </c>
      <c r="F354" s="7">
        <v>353</v>
      </c>
      <c r="G354" s="11" t="s">
        <v>1025</v>
      </c>
      <c r="H354" s="20">
        <v>80949</v>
      </c>
      <c r="I354" s="12">
        <v>44807</v>
      </c>
      <c r="J354" s="12">
        <v>45294</v>
      </c>
      <c r="K354" s="25">
        <v>360</v>
      </c>
      <c r="L354" s="23">
        <v>80589</v>
      </c>
      <c r="M354" s="11"/>
      <c r="N354" s="7" t="str">
        <f ca="1">_xlfn.IFNA(VLOOKUP("2"&amp;B354,CountSpecific!E:F,2,0),"")</f>
        <v/>
      </c>
      <c r="O354" s="14" t="str">
        <f ca="1">_xlfn.IFNA(VLOOKUP("3"&amp;B354,CountSpecific!E:F,2,0),"")</f>
        <v/>
      </c>
      <c r="P354" s="7" t="str">
        <f ca="1">_xlfn.IFNA(VLOOKUP("4"&amp;B354,CountSpecific!E:F,2,0),"")</f>
        <v/>
      </c>
    </row>
    <row r="355" spans="1:16" customFormat="1" x14ac:dyDescent="0.25">
      <c r="A355" s="7">
        <v>354</v>
      </c>
      <c r="B355" s="11" t="s">
        <v>370</v>
      </c>
      <c r="C355" s="7" t="s">
        <v>1039</v>
      </c>
      <c r="D355" s="7">
        <v>354</v>
      </c>
      <c r="E355" s="9">
        <v>354</v>
      </c>
      <c r="F355" s="7">
        <v>354</v>
      </c>
      <c r="G355" s="11" t="s">
        <v>1025</v>
      </c>
      <c r="H355" s="20">
        <v>240403</v>
      </c>
      <c r="I355" s="12">
        <v>43860</v>
      </c>
      <c r="J355" s="12">
        <v>44499</v>
      </c>
      <c r="K355" s="25">
        <v>160711</v>
      </c>
      <c r="L355" s="23">
        <v>79692</v>
      </c>
      <c r="M355" s="11"/>
      <c r="N355" s="7" t="str">
        <f ca="1">_xlfn.IFNA(VLOOKUP("2"&amp;B355,CountSpecific!E:F,2,0),"")</f>
        <v/>
      </c>
      <c r="O355" s="14" t="str">
        <f ca="1">_xlfn.IFNA(VLOOKUP("3"&amp;B355,CountSpecific!E:F,2,0),"")</f>
        <v/>
      </c>
      <c r="P355" s="7" t="str">
        <f ca="1">_xlfn.IFNA(VLOOKUP("4"&amp;B355,CountSpecific!E:F,2,0),"")</f>
        <v/>
      </c>
    </row>
    <row r="356" spans="1:16" customFormat="1" x14ac:dyDescent="0.25">
      <c r="A356" s="7">
        <v>355</v>
      </c>
      <c r="B356" s="11" t="s">
        <v>371</v>
      </c>
      <c r="C356" s="7" t="s">
        <v>1039</v>
      </c>
      <c r="D356" s="7">
        <v>355</v>
      </c>
      <c r="E356" s="7">
        <v>355</v>
      </c>
      <c r="F356" s="7">
        <v>355</v>
      </c>
      <c r="G356" s="11" t="s">
        <v>1023</v>
      </c>
      <c r="H356" s="20">
        <v>74</v>
      </c>
      <c r="I356" s="12">
        <v>44491</v>
      </c>
      <c r="J356" s="12">
        <v>44948</v>
      </c>
      <c r="K356" s="25">
        <v>44</v>
      </c>
      <c r="L356" s="23">
        <v>30</v>
      </c>
      <c r="M356" s="11"/>
      <c r="N356" s="7" t="str">
        <f ca="1">_xlfn.IFNA(VLOOKUP("2"&amp;B356,CountSpecific!E:F,2,0),"")</f>
        <v/>
      </c>
      <c r="O356" s="14" t="str">
        <f ca="1">_xlfn.IFNA(VLOOKUP("3"&amp;B356,CountSpecific!E:F,2,0),"")</f>
        <v/>
      </c>
      <c r="P356" s="7" t="str">
        <f ca="1">_xlfn.IFNA(VLOOKUP("4"&amp;B356,CountSpecific!E:F,2,0),"")</f>
        <v/>
      </c>
    </row>
    <row r="357" spans="1:16" customFormat="1" x14ac:dyDescent="0.25">
      <c r="A357" s="7">
        <v>356</v>
      </c>
      <c r="B357" s="11" t="s">
        <v>372</v>
      </c>
      <c r="C357" s="7" t="s">
        <v>1039</v>
      </c>
      <c r="D357" s="7">
        <v>356</v>
      </c>
      <c r="E357" s="7">
        <v>356</v>
      </c>
      <c r="F357" s="7">
        <v>356</v>
      </c>
      <c r="G357" s="11" t="s">
        <v>1026</v>
      </c>
      <c r="H357" s="20">
        <v>448853</v>
      </c>
      <c r="I357" s="12">
        <v>44355</v>
      </c>
      <c r="J357" s="12">
        <v>44781</v>
      </c>
      <c r="K357" s="25">
        <v>443983</v>
      </c>
      <c r="L357" s="23">
        <v>4870</v>
      </c>
      <c r="M357" s="11"/>
      <c r="N357" s="7" t="str">
        <f ca="1">_xlfn.IFNA(VLOOKUP("2"&amp;B357,CountSpecific!E:F,2,0),"")</f>
        <v/>
      </c>
      <c r="O357" s="14" t="str">
        <f ca="1">_xlfn.IFNA(VLOOKUP("3"&amp;B357,CountSpecific!E:F,2,0),"")</f>
        <v/>
      </c>
      <c r="P357" s="7" t="str">
        <f ca="1">_xlfn.IFNA(VLOOKUP("4"&amp;B357,CountSpecific!E:F,2,0),"")</f>
        <v/>
      </c>
    </row>
    <row r="358" spans="1:16" customFormat="1" x14ac:dyDescent="0.25">
      <c r="A358" s="7">
        <v>357</v>
      </c>
      <c r="B358" s="11" t="s">
        <v>373</v>
      </c>
      <c r="C358" s="7" t="s">
        <v>1039</v>
      </c>
      <c r="D358" s="7">
        <v>357</v>
      </c>
      <c r="E358" s="9">
        <v>357</v>
      </c>
      <c r="F358" s="7">
        <v>357</v>
      </c>
      <c r="G358" s="11" t="s">
        <v>1024</v>
      </c>
      <c r="H358" s="20">
        <v>186053</v>
      </c>
      <c r="I358" s="12">
        <v>44310</v>
      </c>
      <c r="J358" s="12">
        <v>45009</v>
      </c>
      <c r="K358" s="25">
        <v>164816</v>
      </c>
      <c r="L358" s="23">
        <v>21237</v>
      </c>
      <c r="M358" s="11"/>
      <c r="N358" s="7" t="str">
        <f ca="1">_xlfn.IFNA(VLOOKUP("2"&amp;B358,CountSpecific!E:F,2,0),"")</f>
        <v/>
      </c>
      <c r="O358" s="14" t="str">
        <f ca="1">_xlfn.IFNA(VLOOKUP("3"&amp;B358,CountSpecific!E:F,2,0),"")</f>
        <v/>
      </c>
      <c r="P358" s="7" t="str">
        <f ca="1">_xlfn.IFNA(VLOOKUP("4"&amp;B358,CountSpecific!E:F,2,0),"")</f>
        <v/>
      </c>
    </row>
    <row r="359" spans="1:16" customFormat="1" x14ac:dyDescent="0.25">
      <c r="A359" s="7">
        <v>358</v>
      </c>
      <c r="B359" s="11" t="s">
        <v>374</v>
      </c>
      <c r="C359" s="7" t="s">
        <v>1039</v>
      </c>
      <c r="D359" s="7">
        <v>358</v>
      </c>
      <c r="E359" s="7">
        <v>358</v>
      </c>
      <c r="F359" s="7">
        <v>358</v>
      </c>
      <c r="G359" s="11" t="s">
        <v>1022</v>
      </c>
      <c r="H359" s="20">
        <v>7863</v>
      </c>
      <c r="I359" s="12">
        <v>44613</v>
      </c>
      <c r="J359" s="12">
        <v>45159</v>
      </c>
      <c r="K359" s="25">
        <v>5171</v>
      </c>
      <c r="L359" s="23">
        <v>2692</v>
      </c>
      <c r="M359" s="11"/>
      <c r="N359" s="7" t="str">
        <f ca="1">_xlfn.IFNA(VLOOKUP("2"&amp;B359,CountSpecific!E:F,2,0),"")</f>
        <v/>
      </c>
      <c r="O359" s="14" t="str">
        <f ca="1">_xlfn.IFNA(VLOOKUP("3"&amp;B359,CountSpecific!E:F,2,0),"")</f>
        <v/>
      </c>
      <c r="P359" s="7" t="str">
        <f ca="1">_xlfn.IFNA(VLOOKUP("4"&amp;B359,CountSpecific!E:F,2,0),"")</f>
        <v/>
      </c>
    </row>
    <row r="360" spans="1:16" customFormat="1" x14ac:dyDescent="0.25">
      <c r="A360" s="7">
        <v>359</v>
      </c>
      <c r="B360" s="11" t="s">
        <v>375</v>
      </c>
      <c r="C360" s="7" t="s">
        <v>1039</v>
      </c>
      <c r="D360" s="7">
        <v>359</v>
      </c>
      <c r="E360" s="7">
        <v>359</v>
      </c>
      <c r="F360" s="7">
        <v>359</v>
      </c>
      <c r="G360" s="11" t="s">
        <v>1022</v>
      </c>
      <c r="H360" s="20">
        <v>26410</v>
      </c>
      <c r="I360" s="12">
        <v>43911</v>
      </c>
      <c r="J360" s="12">
        <v>44582</v>
      </c>
      <c r="K360" s="25">
        <v>9879</v>
      </c>
      <c r="L360" s="23">
        <v>16531</v>
      </c>
      <c r="M360" s="11"/>
      <c r="N360" s="7" t="str">
        <f ca="1">_xlfn.IFNA(VLOOKUP("2"&amp;B360,CountSpecific!E:F,2,0),"")</f>
        <v/>
      </c>
      <c r="O360" s="14" t="str">
        <f ca="1">_xlfn.IFNA(VLOOKUP("3"&amp;B360,CountSpecific!E:F,2,0),"")</f>
        <v/>
      </c>
      <c r="P360" s="7" t="str">
        <f ca="1">_xlfn.IFNA(VLOOKUP("4"&amp;B360,CountSpecific!E:F,2,0),"")</f>
        <v/>
      </c>
    </row>
    <row r="361" spans="1:16" customFormat="1" x14ac:dyDescent="0.25">
      <c r="A361" s="7">
        <v>360</v>
      </c>
      <c r="B361" s="11" t="s">
        <v>376</v>
      </c>
      <c r="C361" s="7" t="s">
        <v>1039</v>
      </c>
      <c r="D361" s="7">
        <v>360</v>
      </c>
      <c r="E361" s="9">
        <v>360</v>
      </c>
      <c r="F361" s="7">
        <v>360</v>
      </c>
      <c r="G361" s="11" t="s">
        <v>1022</v>
      </c>
      <c r="H361" s="20">
        <v>27720</v>
      </c>
      <c r="I361" s="12">
        <v>45075</v>
      </c>
      <c r="J361" s="12">
        <v>45441</v>
      </c>
      <c r="K361" s="25">
        <v>12469</v>
      </c>
      <c r="L361" s="23">
        <v>15251</v>
      </c>
      <c r="M361" s="11"/>
      <c r="N361" s="7" t="str">
        <f ca="1">_xlfn.IFNA(VLOOKUP("2"&amp;B361,CountSpecific!E:F,2,0),"")</f>
        <v/>
      </c>
      <c r="O361" s="14" t="str">
        <f ca="1">_xlfn.IFNA(VLOOKUP("3"&amp;B361,CountSpecific!E:F,2,0),"")</f>
        <v/>
      </c>
      <c r="P361" s="7" t="str">
        <f ca="1">_xlfn.IFNA(VLOOKUP("4"&amp;B361,CountSpecific!E:F,2,0),"")</f>
        <v/>
      </c>
    </row>
    <row r="362" spans="1:16" customFormat="1" x14ac:dyDescent="0.25">
      <c r="A362" s="7">
        <v>361</v>
      </c>
      <c r="B362" s="11" t="s">
        <v>377</v>
      </c>
      <c r="C362" s="7" t="s">
        <v>1039</v>
      </c>
      <c r="D362" s="7">
        <v>361</v>
      </c>
      <c r="E362" s="7">
        <v>361</v>
      </c>
      <c r="F362" s="7">
        <v>361</v>
      </c>
      <c r="G362" s="11" t="s">
        <v>1024</v>
      </c>
      <c r="H362" s="20">
        <v>924744</v>
      </c>
      <c r="I362" s="12">
        <v>44659</v>
      </c>
      <c r="J362" s="12">
        <v>44873</v>
      </c>
      <c r="K362" s="25">
        <v>51602</v>
      </c>
      <c r="L362" s="23">
        <v>873142</v>
      </c>
      <c r="M362" s="11"/>
      <c r="N362" s="7" t="str">
        <f ca="1">_xlfn.IFNA(VLOOKUP("2"&amp;B362,CountSpecific!E:F,2,0),"")</f>
        <v/>
      </c>
      <c r="O362" s="14" t="str">
        <f ca="1">_xlfn.IFNA(VLOOKUP("3"&amp;B362,CountSpecific!E:F,2,0),"")</f>
        <v/>
      </c>
      <c r="P362" s="7" t="str">
        <f ca="1">_xlfn.IFNA(VLOOKUP("4"&amp;B362,CountSpecific!E:F,2,0),"")</f>
        <v/>
      </c>
    </row>
    <row r="363" spans="1:16" customFormat="1" x14ac:dyDescent="0.25">
      <c r="A363" s="7">
        <v>362</v>
      </c>
      <c r="B363" s="11" t="s">
        <v>378</v>
      </c>
      <c r="C363" s="7" t="s">
        <v>1039</v>
      </c>
      <c r="D363" s="7">
        <v>362</v>
      </c>
      <c r="E363" s="7">
        <v>362</v>
      </c>
      <c r="F363" s="7">
        <v>362</v>
      </c>
      <c r="G363" s="11" t="s">
        <v>1016</v>
      </c>
      <c r="H363" s="20">
        <v>30124</v>
      </c>
      <c r="I363" s="12">
        <v>44244</v>
      </c>
      <c r="J363" s="12">
        <v>44609</v>
      </c>
      <c r="K363" s="25">
        <v>21563</v>
      </c>
      <c r="L363" s="23">
        <v>8561</v>
      </c>
      <c r="M363" s="11"/>
      <c r="N363" s="7" t="str">
        <f ca="1">_xlfn.IFNA(VLOOKUP("2"&amp;B363,CountSpecific!E:F,2,0),"")</f>
        <v/>
      </c>
      <c r="O363" s="14" t="str">
        <f ca="1">_xlfn.IFNA(VLOOKUP("3"&amp;B363,CountSpecific!E:F,2,0),"")</f>
        <v/>
      </c>
      <c r="P363" s="7" t="str">
        <f ca="1">_xlfn.IFNA(VLOOKUP("4"&amp;B363,CountSpecific!E:F,2,0),"")</f>
        <v/>
      </c>
    </row>
    <row r="364" spans="1:16" customFormat="1" x14ac:dyDescent="0.25">
      <c r="A364" s="7">
        <v>363</v>
      </c>
      <c r="B364" s="11" t="s">
        <v>379</v>
      </c>
      <c r="C364" s="7" t="s">
        <v>1039</v>
      </c>
      <c r="D364" s="7">
        <v>363</v>
      </c>
      <c r="E364" s="9">
        <v>363</v>
      </c>
      <c r="F364" s="7">
        <v>363</v>
      </c>
      <c r="G364" s="11" t="s">
        <v>1027</v>
      </c>
      <c r="H364" s="20">
        <v>37387</v>
      </c>
      <c r="I364" s="12">
        <v>44344</v>
      </c>
      <c r="J364" s="12">
        <v>44679</v>
      </c>
      <c r="K364" s="25">
        <v>34731</v>
      </c>
      <c r="L364" s="23">
        <v>2656</v>
      </c>
      <c r="M364" s="11"/>
      <c r="N364" s="7" t="str">
        <f ca="1">_xlfn.IFNA(VLOOKUP("2"&amp;B364,CountSpecific!E:F,2,0),"")</f>
        <v/>
      </c>
      <c r="O364" s="14" t="str">
        <f ca="1">_xlfn.IFNA(VLOOKUP("3"&amp;B364,CountSpecific!E:F,2,0),"")</f>
        <v/>
      </c>
      <c r="P364" s="7" t="str">
        <f ca="1">_xlfn.IFNA(VLOOKUP("4"&amp;B364,CountSpecific!E:F,2,0),"")</f>
        <v/>
      </c>
    </row>
    <row r="365" spans="1:16" customFormat="1" x14ac:dyDescent="0.25">
      <c r="A365" s="7">
        <v>364</v>
      </c>
      <c r="B365" s="11" t="s">
        <v>380</v>
      </c>
      <c r="C365" s="7" t="s">
        <v>1039</v>
      </c>
      <c r="D365" s="7">
        <v>364</v>
      </c>
      <c r="E365" s="7">
        <v>364</v>
      </c>
      <c r="F365" s="7">
        <v>364</v>
      </c>
      <c r="G365" s="11" t="s">
        <v>1024</v>
      </c>
      <c r="H365" s="20">
        <v>235995</v>
      </c>
      <c r="I365" s="12">
        <v>44990</v>
      </c>
      <c r="J365" s="12">
        <v>45082</v>
      </c>
      <c r="K365" s="25">
        <v>95051</v>
      </c>
      <c r="L365" s="23">
        <v>140944</v>
      </c>
      <c r="M365" s="11"/>
      <c r="N365" s="7" t="str">
        <f ca="1">_xlfn.IFNA(VLOOKUP("2"&amp;B365,CountSpecific!E:F,2,0),"")</f>
        <v/>
      </c>
      <c r="O365" s="14" t="str">
        <f ca="1">_xlfn.IFNA(VLOOKUP("3"&amp;B365,CountSpecific!E:F,2,0),"")</f>
        <v/>
      </c>
      <c r="P365" s="7" t="str">
        <f ca="1">_xlfn.IFNA(VLOOKUP("4"&amp;B365,CountSpecific!E:F,2,0),"")</f>
        <v/>
      </c>
    </row>
    <row r="366" spans="1:16" customFormat="1" x14ac:dyDescent="0.25">
      <c r="A366" s="7">
        <v>365</v>
      </c>
      <c r="B366" s="11" t="s">
        <v>381</v>
      </c>
      <c r="C366" s="7" t="s">
        <v>1039</v>
      </c>
      <c r="D366" s="7">
        <v>365</v>
      </c>
      <c r="E366" s="7">
        <v>365</v>
      </c>
      <c r="F366" s="7">
        <v>365</v>
      </c>
      <c r="G366" s="11" t="s">
        <v>1022</v>
      </c>
      <c r="H366" s="20">
        <v>7222</v>
      </c>
      <c r="I366" s="12">
        <v>44481</v>
      </c>
      <c r="J366" s="12">
        <v>44693</v>
      </c>
      <c r="K366" s="25">
        <v>5434</v>
      </c>
      <c r="L366" s="23">
        <v>1788</v>
      </c>
      <c r="M366" s="11"/>
      <c r="N366" s="7" t="str">
        <f ca="1">_xlfn.IFNA(VLOOKUP("2"&amp;B366,CountSpecific!E:F,2,0),"")</f>
        <v/>
      </c>
      <c r="O366" s="14" t="str">
        <f ca="1">_xlfn.IFNA(VLOOKUP("3"&amp;B366,CountSpecific!E:F,2,0),"")</f>
        <v/>
      </c>
      <c r="P366" s="7" t="str">
        <f ca="1">_xlfn.IFNA(VLOOKUP("4"&amp;B366,CountSpecific!E:F,2,0),"")</f>
        <v/>
      </c>
    </row>
    <row r="367" spans="1:16" customFormat="1" x14ac:dyDescent="0.25">
      <c r="A367" s="7">
        <v>366</v>
      </c>
      <c r="B367" s="11" t="s">
        <v>382</v>
      </c>
      <c r="C367" s="7" t="s">
        <v>1039</v>
      </c>
      <c r="D367" s="7">
        <v>366</v>
      </c>
      <c r="E367" s="9">
        <v>366</v>
      </c>
      <c r="F367" s="7">
        <v>366</v>
      </c>
      <c r="G367" s="11" t="s">
        <v>1021</v>
      </c>
      <c r="H367" s="20">
        <v>59420</v>
      </c>
      <c r="I367" s="12">
        <v>44390</v>
      </c>
      <c r="J367" s="12">
        <v>44633</v>
      </c>
      <c r="K367" s="25">
        <v>15703</v>
      </c>
      <c r="L367" s="23">
        <v>43717</v>
      </c>
      <c r="M367" s="11"/>
      <c r="N367" s="7" t="str">
        <f ca="1">_xlfn.IFNA(VLOOKUP("2"&amp;B367,CountSpecific!E:F,2,0),"")</f>
        <v/>
      </c>
      <c r="O367" s="14" t="str">
        <f ca="1">_xlfn.IFNA(VLOOKUP("3"&amp;B367,CountSpecific!E:F,2,0),"")</f>
        <v/>
      </c>
      <c r="P367" s="7" t="str">
        <f ca="1">_xlfn.IFNA(VLOOKUP("4"&amp;B367,CountSpecific!E:F,2,0),"")</f>
        <v/>
      </c>
    </row>
    <row r="368" spans="1:16" customFormat="1" x14ac:dyDescent="0.25">
      <c r="A368" s="7">
        <v>367</v>
      </c>
      <c r="B368" s="11" t="s">
        <v>383</v>
      </c>
      <c r="C368" s="7" t="s">
        <v>1039</v>
      </c>
      <c r="D368" s="7">
        <v>367</v>
      </c>
      <c r="E368" s="7">
        <v>367</v>
      </c>
      <c r="F368" s="7">
        <v>367</v>
      </c>
      <c r="G368" s="11" t="s">
        <v>1024</v>
      </c>
      <c r="H368" s="20">
        <v>400293</v>
      </c>
      <c r="I368" s="12">
        <v>45122</v>
      </c>
      <c r="J368" s="12">
        <v>45853</v>
      </c>
      <c r="K368" s="25">
        <v>356513</v>
      </c>
      <c r="L368" s="23">
        <v>43780</v>
      </c>
      <c r="M368" s="11"/>
      <c r="N368" s="7" t="str">
        <f ca="1">_xlfn.IFNA(VLOOKUP("2"&amp;B368,CountSpecific!E:F,2,0),"")</f>
        <v/>
      </c>
      <c r="O368" s="14" t="str">
        <f ca="1">_xlfn.IFNA(VLOOKUP("3"&amp;B368,CountSpecific!E:F,2,0),"")</f>
        <v/>
      </c>
      <c r="P368" s="7" t="str">
        <f ca="1">_xlfn.IFNA(VLOOKUP("4"&amp;B368,CountSpecific!E:F,2,0),"")</f>
        <v/>
      </c>
    </row>
    <row r="369" spans="1:16" customFormat="1" x14ac:dyDescent="0.25">
      <c r="A369" s="7">
        <v>368</v>
      </c>
      <c r="B369" s="11" t="s">
        <v>384</v>
      </c>
      <c r="C369" s="7" t="s">
        <v>1039</v>
      </c>
      <c r="D369" s="7">
        <v>368</v>
      </c>
      <c r="E369" s="7">
        <v>368</v>
      </c>
      <c r="F369" s="7">
        <v>368</v>
      </c>
      <c r="G369" s="11" t="s">
        <v>1021</v>
      </c>
      <c r="H369" s="20">
        <v>98819</v>
      </c>
      <c r="I369" s="12">
        <v>44822</v>
      </c>
      <c r="J369" s="12">
        <v>45309</v>
      </c>
      <c r="K369" s="25">
        <v>84925</v>
      </c>
      <c r="L369" s="23">
        <v>13894</v>
      </c>
      <c r="M369" s="11"/>
      <c r="N369" s="7" t="str">
        <f ca="1">_xlfn.IFNA(VLOOKUP("2"&amp;B369,CountSpecific!E:F,2,0),"")</f>
        <v/>
      </c>
      <c r="O369" s="14" t="str">
        <f ca="1">_xlfn.IFNA(VLOOKUP("3"&amp;B369,CountSpecific!E:F,2,0),"")</f>
        <v/>
      </c>
      <c r="P369" s="7" t="str">
        <f ca="1">_xlfn.IFNA(VLOOKUP("4"&amp;B369,CountSpecific!E:F,2,0),"")</f>
        <v/>
      </c>
    </row>
    <row r="370" spans="1:16" customFormat="1" x14ac:dyDescent="0.25">
      <c r="A370" s="7">
        <v>369</v>
      </c>
      <c r="B370" s="11" t="s">
        <v>385</v>
      </c>
      <c r="C370" s="7" t="s">
        <v>1039</v>
      </c>
      <c r="D370" s="7">
        <v>369</v>
      </c>
      <c r="E370" s="9">
        <v>369</v>
      </c>
      <c r="F370" s="7">
        <v>369</v>
      </c>
      <c r="G370" s="11" t="s">
        <v>1025</v>
      </c>
      <c r="H370" s="20">
        <v>272432</v>
      </c>
      <c r="I370" s="12">
        <v>44067</v>
      </c>
      <c r="J370" s="12">
        <v>44340</v>
      </c>
      <c r="K370" s="25">
        <v>97177</v>
      </c>
      <c r="L370" s="23">
        <v>175255</v>
      </c>
      <c r="M370" s="11"/>
      <c r="N370" s="7" t="str">
        <f ca="1">_xlfn.IFNA(VLOOKUP("2"&amp;B370,CountSpecific!E:F,2,0),"")</f>
        <v/>
      </c>
      <c r="O370" s="14" t="str">
        <f ca="1">_xlfn.IFNA(VLOOKUP("3"&amp;B370,CountSpecific!E:F,2,0),"")</f>
        <v/>
      </c>
      <c r="P370" s="7" t="str">
        <f ca="1">_xlfn.IFNA(VLOOKUP("4"&amp;B370,CountSpecific!E:F,2,0),"")</f>
        <v/>
      </c>
    </row>
    <row r="371" spans="1:16" customFormat="1" x14ac:dyDescent="0.25">
      <c r="A371" s="7">
        <v>370</v>
      </c>
      <c r="B371" s="11" t="s">
        <v>386</v>
      </c>
      <c r="C371" s="7" t="s">
        <v>1039</v>
      </c>
      <c r="D371" s="7">
        <v>370</v>
      </c>
      <c r="E371" s="7">
        <v>370</v>
      </c>
      <c r="F371" s="7">
        <v>370</v>
      </c>
      <c r="G371" s="11" t="s">
        <v>1022</v>
      </c>
      <c r="H371" s="20">
        <v>36088</v>
      </c>
      <c r="I371" s="12">
        <v>44470</v>
      </c>
      <c r="J371" s="12">
        <v>44927</v>
      </c>
      <c r="K371" s="25">
        <v>1130</v>
      </c>
      <c r="L371" s="23">
        <v>34958</v>
      </c>
      <c r="M371" s="11"/>
      <c r="N371" s="7" t="str">
        <f ca="1">_xlfn.IFNA(VLOOKUP("2"&amp;B371,CountSpecific!E:F,2,0),"")</f>
        <v/>
      </c>
      <c r="O371" s="14" t="str">
        <f ca="1">_xlfn.IFNA(VLOOKUP("3"&amp;B371,CountSpecific!E:F,2,0),"")</f>
        <v/>
      </c>
      <c r="P371" s="7" t="str">
        <f ca="1">_xlfn.IFNA(VLOOKUP("4"&amp;B371,CountSpecific!E:F,2,0),"")</f>
        <v/>
      </c>
    </row>
    <row r="372" spans="1:16" customFormat="1" x14ac:dyDescent="0.25">
      <c r="A372" s="7">
        <v>371</v>
      </c>
      <c r="B372" s="11" t="s">
        <v>387</v>
      </c>
      <c r="C372" s="7" t="s">
        <v>1039</v>
      </c>
      <c r="D372" s="7">
        <v>371</v>
      </c>
      <c r="E372" s="7">
        <v>371</v>
      </c>
      <c r="F372" s="7">
        <v>371</v>
      </c>
      <c r="G372" s="11" t="s">
        <v>1027</v>
      </c>
      <c r="H372" s="20">
        <v>42696</v>
      </c>
      <c r="I372" s="12">
        <v>45377</v>
      </c>
      <c r="J372" s="12">
        <v>45591</v>
      </c>
      <c r="K372" s="25">
        <v>1107</v>
      </c>
      <c r="L372" s="23">
        <v>41589</v>
      </c>
      <c r="M372" s="11"/>
      <c r="N372" s="7" t="str">
        <f ca="1">_xlfn.IFNA(VLOOKUP("2"&amp;B372,CountSpecific!E:F,2,0),"")</f>
        <v/>
      </c>
      <c r="O372" s="14" t="str">
        <f ca="1">_xlfn.IFNA(VLOOKUP("3"&amp;B372,CountSpecific!E:F,2,0),"")</f>
        <v/>
      </c>
      <c r="P372" s="7" t="str">
        <f ca="1">_xlfn.IFNA(VLOOKUP("4"&amp;B372,CountSpecific!E:F,2,0),"")</f>
        <v/>
      </c>
    </row>
    <row r="373" spans="1:16" customFormat="1" x14ac:dyDescent="0.25">
      <c r="A373" s="7">
        <v>372</v>
      </c>
      <c r="B373" s="11" t="s">
        <v>388</v>
      </c>
      <c r="C373" s="7" t="s">
        <v>1039</v>
      </c>
      <c r="D373" s="7">
        <v>372</v>
      </c>
      <c r="E373" s="9">
        <v>372</v>
      </c>
      <c r="F373" s="7">
        <v>372</v>
      </c>
      <c r="G373" s="11" t="s">
        <v>1023</v>
      </c>
      <c r="H373" s="20">
        <v>1244</v>
      </c>
      <c r="I373" s="12">
        <v>44713</v>
      </c>
      <c r="J373" s="12">
        <v>44927</v>
      </c>
      <c r="K373" s="25">
        <v>862</v>
      </c>
      <c r="L373" s="23">
        <v>382</v>
      </c>
      <c r="M373" s="11"/>
      <c r="N373" s="7" t="str">
        <f ca="1">_xlfn.IFNA(VLOOKUP("2"&amp;B373,CountSpecific!E:F,2,0),"")</f>
        <v/>
      </c>
      <c r="O373" s="14" t="str">
        <f ca="1">_xlfn.IFNA(VLOOKUP("3"&amp;B373,CountSpecific!E:F,2,0),"")</f>
        <v/>
      </c>
      <c r="P373" s="7" t="str">
        <f ca="1">_xlfn.IFNA(VLOOKUP("4"&amp;B373,CountSpecific!E:F,2,0),"")</f>
        <v/>
      </c>
    </row>
    <row r="374" spans="1:16" customFormat="1" x14ac:dyDescent="0.25">
      <c r="A374" s="7">
        <v>373</v>
      </c>
      <c r="B374" s="11" t="s">
        <v>389</v>
      </c>
      <c r="C374" s="7" t="s">
        <v>1039</v>
      </c>
      <c r="D374" s="7">
        <v>373</v>
      </c>
      <c r="E374" s="7">
        <v>373</v>
      </c>
      <c r="F374" s="7">
        <v>373</v>
      </c>
      <c r="G374" s="11" t="s">
        <v>1016</v>
      </c>
      <c r="H374" s="20">
        <v>3813</v>
      </c>
      <c r="I374" s="12">
        <v>45440</v>
      </c>
      <c r="J374" s="12">
        <v>45958</v>
      </c>
      <c r="K374" s="25">
        <v>3554</v>
      </c>
      <c r="L374" s="23">
        <v>259</v>
      </c>
      <c r="M374" s="11"/>
      <c r="N374" s="7" t="str">
        <f ca="1">_xlfn.IFNA(VLOOKUP("2"&amp;B374,CountSpecific!E:F,2,0),"")</f>
        <v/>
      </c>
      <c r="O374" s="14" t="str">
        <f ca="1">_xlfn.IFNA(VLOOKUP("3"&amp;B374,CountSpecific!E:F,2,0),"")</f>
        <v/>
      </c>
      <c r="P374" s="7" t="str">
        <f ca="1">_xlfn.IFNA(VLOOKUP("4"&amp;B374,CountSpecific!E:F,2,0),"")</f>
        <v/>
      </c>
    </row>
    <row r="375" spans="1:16" customFormat="1" x14ac:dyDescent="0.25">
      <c r="A375" s="7">
        <v>374</v>
      </c>
      <c r="B375" s="11" t="s">
        <v>390</v>
      </c>
      <c r="C375" s="7" t="s">
        <v>1039</v>
      </c>
      <c r="D375" s="7">
        <v>374</v>
      </c>
      <c r="E375" s="7">
        <v>374</v>
      </c>
      <c r="F375" s="7">
        <v>374</v>
      </c>
      <c r="G375" s="11" t="s">
        <v>1023</v>
      </c>
      <c r="H375" s="20">
        <v>602</v>
      </c>
      <c r="I375" s="12">
        <v>45503</v>
      </c>
      <c r="J375" s="12">
        <v>45746</v>
      </c>
      <c r="K375" s="25">
        <v>232</v>
      </c>
      <c r="L375" s="23">
        <v>370</v>
      </c>
      <c r="M375" s="11"/>
      <c r="N375" s="7" t="str">
        <f ca="1">_xlfn.IFNA(VLOOKUP("2"&amp;B375,CountSpecific!E:F,2,0),"")</f>
        <v/>
      </c>
      <c r="O375" s="14" t="str">
        <f ca="1">_xlfn.IFNA(VLOOKUP("3"&amp;B375,CountSpecific!E:F,2,0),"")</f>
        <v/>
      </c>
      <c r="P375" s="7" t="str">
        <f ca="1">_xlfn.IFNA(VLOOKUP("4"&amp;B375,CountSpecific!E:F,2,0),"")</f>
        <v/>
      </c>
    </row>
    <row r="376" spans="1:16" customFormat="1" x14ac:dyDescent="0.25">
      <c r="A376" s="7">
        <v>375</v>
      </c>
      <c r="B376" s="11" t="s">
        <v>391</v>
      </c>
      <c r="C376" s="7" t="s">
        <v>1039</v>
      </c>
      <c r="D376" s="7">
        <v>375</v>
      </c>
      <c r="E376" s="9">
        <v>375</v>
      </c>
      <c r="F376" s="7">
        <v>375</v>
      </c>
      <c r="G376" s="11" t="s">
        <v>1026</v>
      </c>
      <c r="H376" s="20">
        <v>4075679</v>
      </c>
      <c r="I376" s="12">
        <v>45124</v>
      </c>
      <c r="J376" s="12">
        <v>45764</v>
      </c>
      <c r="K376" s="25">
        <v>2768157</v>
      </c>
      <c r="L376" s="23">
        <v>1307522</v>
      </c>
      <c r="M376" s="11"/>
      <c r="N376" s="7" t="str">
        <f ca="1">_xlfn.IFNA(VLOOKUP("2"&amp;B376,CountSpecific!E:F,2,0),"")</f>
        <v/>
      </c>
      <c r="O376" s="14" t="str">
        <f ca="1">_xlfn.IFNA(VLOOKUP("3"&amp;B376,CountSpecific!E:F,2,0),"")</f>
        <v/>
      </c>
      <c r="P376" s="7" t="str">
        <f ca="1">_xlfn.IFNA(VLOOKUP("4"&amp;B376,CountSpecific!E:F,2,0),"")</f>
        <v/>
      </c>
    </row>
    <row r="377" spans="1:16" customFormat="1" x14ac:dyDescent="0.25">
      <c r="A377" s="7">
        <v>376</v>
      </c>
      <c r="B377" s="11" t="s">
        <v>392</v>
      </c>
      <c r="C377" s="7" t="s">
        <v>1039</v>
      </c>
      <c r="D377" s="7">
        <v>376</v>
      </c>
      <c r="E377" s="7">
        <v>376</v>
      </c>
      <c r="F377" s="7">
        <v>376</v>
      </c>
      <c r="G377" s="11" t="s">
        <v>1026</v>
      </c>
      <c r="H377" s="20">
        <v>158931</v>
      </c>
      <c r="I377" s="12">
        <v>44453</v>
      </c>
      <c r="J377" s="12">
        <v>44514</v>
      </c>
      <c r="K377" s="25">
        <v>147253</v>
      </c>
      <c r="L377" s="23">
        <v>11678</v>
      </c>
      <c r="M377" s="11"/>
      <c r="N377" s="7" t="str">
        <f ca="1">_xlfn.IFNA(VLOOKUP("2"&amp;B377,CountSpecific!E:F,2,0),"")</f>
        <v/>
      </c>
      <c r="O377" s="14" t="str">
        <f ca="1">_xlfn.IFNA(VLOOKUP("3"&amp;B377,CountSpecific!E:F,2,0),"")</f>
        <v/>
      </c>
      <c r="P377" s="7" t="str">
        <f ca="1">_xlfn.IFNA(VLOOKUP("4"&amp;B377,CountSpecific!E:F,2,0),"")</f>
        <v/>
      </c>
    </row>
    <row r="378" spans="1:16" customFormat="1" x14ac:dyDescent="0.25">
      <c r="A378" s="7">
        <v>377</v>
      </c>
      <c r="B378" s="11" t="s">
        <v>393</v>
      </c>
      <c r="C378" s="7" t="s">
        <v>1039</v>
      </c>
      <c r="D378" s="7">
        <v>377</v>
      </c>
      <c r="E378" s="7">
        <v>377</v>
      </c>
      <c r="F378" s="7">
        <v>377</v>
      </c>
      <c r="G378" s="11" t="s">
        <v>1020</v>
      </c>
      <c r="H378" s="20">
        <v>420896</v>
      </c>
      <c r="I378" s="12">
        <v>45486</v>
      </c>
      <c r="J378" s="12">
        <v>46094</v>
      </c>
      <c r="K378" s="25">
        <v>170483</v>
      </c>
      <c r="L378" s="23">
        <v>250413</v>
      </c>
      <c r="M378" s="11"/>
      <c r="N378" s="7" t="str">
        <f ca="1">_xlfn.IFNA(VLOOKUP("2"&amp;B378,CountSpecific!E:F,2,0),"")</f>
        <v/>
      </c>
      <c r="O378" s="14" t="str">
        <f ca="1">_xlfn.IFNA(VLOOKUP("3"&amp;B378,CountSpecific!E:F,2,0),"")</f>
        <v/>
      </c>
      <c r="P378" s="7" t="str">
        <f ca="1">_xlfn.IFNA(VLOOKUP("4"&amp;B378,CountSpecific!E:F,2,0),"")</f>
        <v/>
      </c>
    </row>
    <row r="379" spans="1:16" customFormat="1" x14ac:dyDescent="0.25">
      <c r="A379" s="7">
        <v>378</v>
      </c>
      <c r="B379" s="11" t="s">
        <v>394</v>
      </c>
      <c r="C379" s="7" t="s">
        <v>1039</v>
      </c>
      <c r="D379" s="7">
        <v>378</v>
      </c>
      <c r="E379" s="9">
        <v>378</v>
      </c>
      <c r="F379" s="7">
        <v>378</v>
      </c>
      <c r="G379" s="11" t="s">
        <v>1024</v>
      </c>
      <c r="H379" s="20">
        <v>825832</v>
      </c>
      <c r="I379" s="12">
        <v>44318</v>
      </c>
      <c r="J379" s="12">
        <v>44806</v>
      </c>
      <c r="K379" s="25">
        <v>84655</v>
      </c>
      <c r="L379" s="23">
        <v>741177</v>
      </c>
      <c r="M379" s="11"/>
      <c r="N379" s="7" t="str">
        <f ca="1">_xlfn.IFNA(VLOOKUP("2"&amp;B379,CountSpecific!E:F,2,0),"")</f>
        <v/>
      </c>
      <c r="O379" s="14" t="str">
        <f ca="1">_xlfn.IFNA(VLOOKUP("3"&amp;B379,CountSpecific!E:F,2,0),"")</f>
        <v/>
      </c>
      <c r="P379" s="7" t="str">
        <f ca="1">_xlfn.IFNA(VLOOKUP("4"&amp;B379,CountSpecific!E:F,2,0),"")</f>
        <v/>
      </c>
    </row>
    <row r="380" spans="1:16" customFormat="1" x14ac:dyDescent="0.25">
      <c r="A380" s="7">
        <v>379</v>
      </c>
      <c r="B380" s="11" t="s">
        <v>395</v>
      </c>
      <c r="C380" s="7" t="s">
        <v>1039</v>
      </c>
      <c r="D380" s="7">
        <v>379</v>
      </c>
      <c r="E380" s="7">
        <v>379</v>
      </c>
      <c r="F380" s="7">
        <v>379</v>
      </c>
      <c r="G380" s="11" t="s">
        <v>1016</v>
      </c>
      <c r="H380" s="20">
        <v>9630</v>
      </c>
      <c r="I380" s="12">
        <v>44168</v>
      </c>
      <c r="J380" s="12">
        <v>44623</v>
      </c>
      <c r="K380" s="25">
        <v>3077</v>
      </c>
      <c r="L380" s="23">
        <v>6553</v>
      </c>
      <c r="M380" s="11"/>
      <c r="N380" s="7" t="str">
        <f ca="1">_xlfn.IFNA(VLOOKUP("2"&amp;B380,CountSpecific!E:F,2,0),"")</f>
        <v/>
      </c>
      <c r="O380" s="14" t="str">
        <f ca="1">_xlfn.IFNA(VLOOKUP("3"&amp;B380,CountSpecific!E:F,2,0),"")</f>
        <v/>
      </c>
      <c r="P380" s="7" t="str">
        <f ca="1">_xlfn.IFNA(VLOOKUP("4"&amp;B380,CountSpecific!E:F,2,0),"")</f>
        <v/>
      </c>
    </row>
    <row r="381" spans="1:16" customFormat="1" x14ac:dyDescent="0.25">
      <c r="A381" s="7">
        <v>380</v>
      </c>
      <c r="B381" s="11" t="s">
        <v>396</v>
      </c>
      <c r="C381" s="7" t="s">
        <v>1039</v>
      </c>
      <c r="D381" s="7">
        <v>380</v>
      </c>
      <c r="E381" s="7">
        <v>380</v>
      </c>
      <c r="F381" s="7">
        <v>380</v>
      </c>
      <c r="G381" s="11" t="s">
        <v>1023</v>
      </c>
      <c r="H381" s="20">
        <v>1317</v>
      </c>
      <c r="I381" s="12">
        <v>44945</v>
      </c>
      <c r="J381" s="12">
        <v>45157</v>
      </c>
      <c r="K381" s="25">
        <v>452</v>
      </c>
      <c r="L381" s="23">
        <v>865</v>
      </c>
      <c r="M381" s="11"/>
      <c r="N381" s="7" t="str">
        <f ca="1">_xlfn.IFNA(VLOOKUP("2"&amp;B381,CountSpecific!E:F,2,0),"")</f>
        <v/>
      </c>
      <c r="O381" s="14" t="str">
        <f ca="1">_xlfn.IFNA(VLOOKUP("3"&amp;B381,CountSpecific!E:F,2,0),"")</f>
        <v/>
      </c>
      <c r="P381" s="7" t="str">
        <f ca="1">_xlfn.IFNA(VLOOKUP("4"&amp;B381,CountSpecific!E:F,2,0),"")</f>
        <v/>
      </c>
    </row>
    <row r="382" spans="1:16" customFormat="1" x14ac:dyDescent="0.25">
      <c r="A382" s="7">
        <v>381</v>
      </c>
      <c r="B382" s="11" t="s">
        <v>397</v>
      </c>
      <c r="C382" s="7" t="s">
        <v>1039</v>
      </c>
      <c r="D382" s="7">
        <v>381</v>
      </c>
      <c r="E382" s="9">
        <v>381</v>
      </c>
      <c r="F382" s="7">
        <v>381</v>
      </c>
      <c r="G382" s="11" t="s">
        <v>1022</v>
      </c>
      <c r="H382" s="20">
        <v>29550</v>
      </c>
      <c r="I382" s="12">
        <v>44715</v>
      </c>
      <c r="J382" s="12">
        <v>44929</v>
      </c>
      <c r="K382" s="25">
        <v>13987</v>
      </c>
      <c r="L382" s="23">
        <v>15563</v>
      </c>
      <c r="M382" s="11"/>
      <c r="N382" s="7" t="str">
        <f ca="1">_xlfn.IFNA(VLOOKUP("2"&amp;B382,CountSpecific!E:F,2,0),"")</f>
        <v/>
      </c>
      <c r="O382" s="14" t="str">
        <f ca="1">_xlfn.IFNA(VLOOKUP("3"&amp;B382,CountSpecific!E:F,2,0),"")</f>
        <v/>
      </c>
      <c r="P382" s="7" t="str">
        <f ca="1">_xlfn.IFNA(VLOOKUP("4"&amp;B382,CountSpecific!E:F,2,0),"")</f>
        <v/>
      </c>
    </row>
    <row r="383" spans="1:16" customFormat="1" x14ac:dyDescent="0.25">
      <c r="A383" s="7">
        <v>382</v>
      </c>
      <c r="B383" s="11" t="s">
        <v>398</v>
      </c>
      <c r="C383" s="7" t="s">
        <v>1039</v>
      </c>
      <c r="D383" s="7">
        <v>382</v>
      </c>
      <c r="E383" s="7">
        <v>382</v>
      </c>
      <c r="F383" s="7">
        <v>382</v>
      </c>
      <c r="G383" s="11" t="s">
        <v>1016</v>
      </c>
      <c r="H383" s="20">
        <v>48126</v>
      </c>
      <c r="I383" s="12">
        <v>43911</v>
      </c>
      <c r="J383" s="12">
        <v>44613</v>
      </c>
      <c r="K383" s="25">
        <v>8026</v>
      </c>
      <c r="L383" s="23">
        <v>40100</v>
      </c>
      <c r="M383" s="11"/>
      <c r="N383" s="7" t="str">
        <f ca="1">_xlfn.IFNA(VLOOKUP("2"&amp;B383,CountSpecific!E:F,2,0),"")</f>
        <v/>
      </c>
      <c r="O383" s="14" t="str">
        <f ca="1">_xlfn.IFNA(VLOOKUP("3"&amp;B383,CountSpecific!E:F,2,0),"")</f>
        <v/>
      </c>
      <c r="P383" s="7" t="str">
        <f ca="1">_xlfn.IFNA(VLOOKUP("4"&amp;B383,CountSpecific!E:F,2,0),"")</f>
        <v/>
      </c>
    </row>
    <row r="384" spans="1:16" customFormat="1" x14ac:dyDescent="0.25">
      <c r="A384" s="7">
        <v>383</v>
      </c>
      <c r="B384" s="11" t="s">
        <v>399</v>
      </c>
      <c r="C384" s="7" t="s">
        <v>1039</v>
      </c>
      <c r="D384" s="7">
        <v>383</v>
      </c>
      <c r="E384" s="7">
        <v>383</v>
      </c>
      <c r="F384" s="7">
        <v>383</v>
      </c>
      <c r="G384" s="11" t="s">
        <v>1022</v>
      </c>
      <c r="H384" s="20">
        <v>16498</v>
      </c>
      <c r="I384" s="12">
        <v>44627</v>
      </c>
      <c r="J384" s="12">
        <v>44688</v>
      </c>
      <c r="K384" s="25">
        <v>2489</v>
      </c>
      <c r="L384" s="23">
        <v>14009</v>
      </c>
      <c r="M384" s="11"/>
      <c r="N384" s="7" t="str">
        <f ca="1">_xlfn.IFNA(VLOOKUP("2"&amp;B384,CountSpecific!E:F,2,0),"")</f>
        <v/>
      </c>
      <c r="O384" s="14" t="str">
        <f ca="1">_xlfn.IFNA(VLOOKUP("3"&amp;B384,CountSpecific!E:F,2,0),"")</f>
        <v/>
      </c>
      <c r="P384" s="7" t="str">
        <f ca="1">_xlfn.IFNA(VLOOKUP("4"&amp;B384,CountSpecific!E:F,2,0),"")</f>
        <v/>
      </c>
    </row>
    <row r="385" spans="1:16" customFormat="1" x14ac:dyDescent="0.25">
      <c r="A385" s="7">
        <v>384</v>
      </c>
      <c r="B385" s="11" t="s">
        <v>400</v>
      </c>
      <c r="C385" s="7" t="s">
        <v>1039</v>
      </c>
      <c r="D385" s="7">
        <v>384</v>
      </c>
      <c r="E385" s="9">
        <v>384</v>
      </c>
      <c r="F385" s="7">
        <v>384</v>
      </c>
      <c r="G385" s="11" t="s">
        <v>1016</v>
      </c>
      <c r="H385" s="20">
        <v>3114</v>
      </c>
      <c r="I385" s="12">
        <v>44101</v>
      </c>
      <c r="J385" s="12">
        <v>44223</v>
      </c>
      <c r="K385" s="25">
        <v>108</v>
      </c>
      <c r="L385" s="23">
        <v>3006</v>
      </c>
      <c r="M385" s="11"/>
      <c r="N385" s="7" t="str">
        <f ca="1">_xlfn.IFNA(VLOOKUP("2"&amp;B385,CountSpecific!E:F,2,0),"")</f>
        <v/>
      </c>
      <c r="O385" s="14" t="str">
        <f ca="1">_xlfn.IFNA(VLOOKUP("3"&amp;B385,CountSpecific!E:F,2,0),"")</f>
        <v/>
      </c>
      <c r="P385" s="7" t="str">
        <f ca="1">_xlfn.IFNA(VLOOKUP("4"&amp;B385,CountSpecific!E:F,2,0),"")</f>
        <v/>
      </c>
    </row>
    <row r="386" spans="1:16" customFormat="1" x14ac:dyDescent="0.25">
      <c r="A386" s="7">
        <v>385</v>
      </c>
      <c r="B386" s="11" t="s">
        <v>401</v>
      </c>
      <c r="C386" s="7" t="s">
        <v>1039</v>
      </c>
      <c r="D386" s="7">
        <v>385</v>
      </c>
      <c r="E386" s="7">
        <v>385</v>
      </c>
      <c r="F386" s="7">
        <v>385</v>
      </c>
      <c r="G386" s="11" t="s">
        <v>1022</v>
      </c>
      <c r="H386" s="20">
        <v>33859</v>
      </c>
      <c r="I386" s="12">
        <v>44974</v>
      </c>
      <c r="J386" s="12">
        <v>45216</v>
      </c>
      <c r="K386" s="25">
        <v>9265</v>
      </c>
      <c r="L386" s="23">
        <v>24594</v>
      </c>
      <c r="M386" s="11"/>
      <c r="N386" s="7" t="str">
        <f ca="1">_xlfn.IFNA(VLOOKUP("2"&amp;B386,CountSpecific!E:F,2,0),"")</f>
        <v/>
      </c>
      <c r="O386" s="14" t="str">
        <f ca="1">_xlfn.IFNA(VLOOKUP("3"&amp;B386,CountSpecific!E:F,2,0),"")</f>
        <v/>
      </c>
      <c r="P386" s="7" t="str">
        <f ca="1">_xlfn.IFNA(VLOOKUP("4"&amp;B386,CountSpecific!E:F,2,0),"")</f>
        <v/>
      </c>
    </row>
    <row r="387" spans="1:16" customFormat="1" x14ac:dyDescent="0.25">
      <c r="A387" s="7">
        <v>386</v>
      </c>
      <c r="B387" s="11" t="s">
        <v>402</v>
      </c>
      <c r="C387" s="7" t="s">
        <v>1039</v>
      </c>
      <c r="D387" s="7">
        <v>386</v>
      </c>
      <c r="E387" s="7">
        <v>386</v>
      </c>
      <c r="F387" s="7">
        <v>386</v>
      </c>
      <c r="G387" s="11" t="s">
        <v>1021</v>
      </c>
      <c r="H387" s="20">
        <v>18963</v>
      </c>
      <c r="I387" s="12">
        <v>45158</v>
      </c>
      <c r="J387" s="12">
        <v>45280</v>
      </c>
      <c r="K387" s="25">
        <v>12054</v>
      </c>
      <c r="L387" s="23">
        <v>6909</v>
      </c>
      <c r="M387" s="11"/>
      <c r="N387" s="7" t="str">
        <f ca="1">_xlfn.IFNA(VLOOKUP("2"&amp;B387,CountSpecific!E:F,2,0),"")</f>
        <v/>
      </c>
      <c r="O387" s="14" t="str">
        <f ca="1">_xlfn.IFNA(VLOOKUP("3"&amp;B387,CountSpecific!E:F,2,0),"")</f>
        <v/>
      </c>
      <c r="P387" s="7" t="str">
        <f ca="1">_xlfn.IFNA(VLOOKUP("4"&amp;B387,CountSpecific!E:F,2,0),"")</f>
        <v/>
      </c>
    </row>
    <row r="388" spans="1:16" customFormat="1" x14ac:dyDescent="0.25">
      <c r="A388" s="7">
        <v>387</v>
      </c>
      <c r="B388" s="11" t="s">
        <v>403</v>
      </c>
      <c r="C388" s="7" t="s">
        <v>1039</v>
      </c>
      <c r="D388" s="7">
        <v>387</v>
      </c>
      <c r="E388" s="9">
        <v>387</v>
      </c>
      <c r="F388" s="7">
        <v>387</v>
      </c>
      <c r="G388" s="11" t="s">
        <v>1022</v>
      </c>
      <c r="H388" s="20">
        <v>29714</v>
      </c>
      <c r="I388" s="12">
        <v>45408</v>
      </c>
      <c r="J388" s="12">
        <v>45438</v>
      </c>
      <c r="K388" s="25">
        <v>23921</v>
      </c>
      <c r="L388" s="23">
        <v>5793</v>
      </c>
      <c r="M388" s="11"/>
      <c r="N388" s="7" t="str">
        <f ca="1">_xlfn.IFNA(VLOOKUP("2"&amp;B388,CountSpecific!E:F,2,0),"")</f>
        <v/>
      </c>
      <c r="O388" s="14" t="str">
        <f ca="1">_xlfn.IFNA(VLOOKUP("3"&amp;B388,CountSpecific!E:F,2,0),"")</f>
        <v/>
      </c>
      <c r="P388" s="7" t="str">
        <f ca="1">_xlfn.IFNA(VLOOKUP("4"&amp;B388,CountSpecific!E:F,2,0),"")</f>
        <v/>
      </c>
    </row>
    <row r="389" spans="1:16" customFormat="1" x14ac:dyDescent="0.25">
      <c r="A389" s="7">
        <v>388</v>
      </c>
      <c r="B389" s="11" t="s">
        <v>404</v>
      </c>
      <c r="C389" s="7" t="s">
        <v>1039</v>
      </c>
      <c r="D389" s="7">
        <v>388</v>
      </c>
      <c r="E389" s="7">
        <v>388</v>
      </c>
      <c r="F389" s="7">
        <v>388</v>
      </c>
      <c r="G389" s="11" t="s">
        <v>1016</v>
      </c>
      <c r="H389" s="20">
        <v>32621</v>
      </c>
      <c r="I389" s="12">
        <v>45365</v>
      </c>
      <c r="J389" s="12">
        <v>45883</v>
      </c>
      <c r="K389" s="25">
        <v>13543</v>
      </c>
      <c r="L389" s="23">
        <v>19078</v>
      </c>
      <c r="M389" s="11"/>
      <c r="N389" s="7" t="str">
        <f ca="1">_xlfn.IFNA(VLOOKUP("2"&amp;B389,CountSpecific!E:F,2,0),"")</f>
        <v/>
      </c>
      <c r="O389" s="14" t="str">
        <f ca="1">_xlfn.IFNA(VLOOKUP("3"&amp;B389,CountSpecific!E:F,2,0),"")</f>
        <v/>
      </c>
      <c r="P389" s="7" t="str">
        <f ca="1">_xlfn.IFNA(VLOOKUP("4"&amp;B389,CountSpecific!E:F,2,0),"")</f>
        <v/>
      </c>
    </row>
    <row r="390" spans="1:16" customFormat="1" x14ac:dyDescent="0.25">
      <c r="A390" s="7">
        <v>389</v>
      </c>
      <c r="B390" s="11" t="s">
        <v>405</v>
      </c>
      <c r="C390" s="7" t="s">
        <v>1039</v>
      </c>
      <c r="D390" s="7">
        <v>389</v>
      </c>
      <c r="E390" s="7">
        <v>389</v>
      </c>
      <c r="F390" s="7">
        <v>389</v>
      </c>
      <c r="G390" s="11" t="s">
        <v>1016</v>
      </c>
      <c r="H390" s="20">
        <v>28323</v>
      </c>
      <c r="I390" s="12">
        <v>45426</v>
      </c>
      <c r="J390" s="12">
        <v>45822</v>
      </c>
      <c r="K390" s="25">
        <v>22078</v>
      </c>
      <c r="L390" s="23">
        <v>6245</v>
      </c>
      <c r="M390" s="11"/>
      <c r="N390" s="7" t="str">
        <f ca="1">_xlfn.IFNA(VLOOKUP("2"&amp;B390,CountSpecific!E:F,2,0),"")</f>
        <v/>
      </c>
      <c r="O390" s="14" t="str">
        <f ca="1">_xlfn.IFNA(VLOOKUP("3"&amp;B390,CountSpecific!E:F,2,0),"")</f>
        <v/>
      </c>
      <c r="P390" s="7" t="str">
        <f ca="1">_xlfn.IFNA(VLOOKUP("4"&amp;B390,CountSpecific!E:F,2,0),"")</f>
        <v/>
      </c>
    </row>
    <row r="391" spans="1:16" customFormat="1" x14ac:dyDescent="0.25">
      <c r="A391" s="7">
        <v>390</v>
      </c>
      <c r="B391" s="11" t="s">
        <v>406</v>
      </c>
      <c r="C391" s="7" t="s">
        <v>1039</v>
      </c>
      <c r="D391" s="7">
        <v>390</v>
      </c>
      <c r="E391" s="9">
        <v>390</v>
      </c>
      <c r="F391" s="7">
        <v>390</v>
      </c>
      <c r="G391" s="11" t="s">
        <v>1026</v>
      </c>
      <c r="H391" s="20">
        <v>4351676</v>
      </c>
      <c r="I391" s="12">
        <v>43915</v>
      </c>
      <c r="J391" s="12">
        <v>44252</v>
      </c>
      <c r="K391" s="25">
        <v>1076790</v>
      </c>
      <c r="L391" s="23">
        <v>3274886</v>
      </c>
      <c r="M391" s="11"/>
      <c r="N391" s="7" t="str">
        <f ca="1">_xlfn.IFNA(VLOOKUP("2"&amp;B391,CountSpecific!E:F,2,0),"")</f>
        <v/>
      </c>
      <c r="O391" s="14" t="str">
        <f ca="1">_xlfn.IFNA(VLOOKUP("3"&amp;B391,CountSpecific!E:F,2,0),"")</f>
        <v/>
      </c>
      <c r="P391" s="7" t="str">
        <f ca="1">_xlfn.IFNA(VLOOKUP("4"&amp;B391,CountSpecific!E:F,2,0),"")</f>
        <v/>
      </c>
    </row>
    <row r="392" spans="1:16" customFormat="1" x14ac:dyDescent="0.25">
      <c r="A392" s="7">
        <v>391</v>
      </c>
      <c r="B392" s="11" t="s">
        <v>407</v>
      </c>
      <c r="C392" s="7" t="s">
        <v>1039</v>
      </c>
      <c r="D392" s="7">
        <v>391</v>
      </c>
      <c r="E392" s="7">
        <v>391</v>
      </c>
      <c r="F392" s="7">
        <v>391</v>
      </c>
      <c r="G392" s="11" t="s">
        <v>1026</v>
      </c>
      <c r="H392" s="20">
        <v>1329384</v>
      </c>
      <c r="I392" s="12">
        <v>45631</v>
      </c>
      <c r="J392" s="12">
        <v>45996</v>
      </c>
      <c r="K392" s="25">
        <v>541657</v>
      </c>
      <c r="L392" s="23">
        <v>787727</v>
      </c>
      <c r="M392" s="11"/>
      <c r="N392" s="7" t="str">
        <f ca="1">_xlfn.IFNA(VLOOKUP("2"&amp;B392,CountSpecific!E:F,2,0),"")</f>
        <v/>
      </c>
      <c r="O392" s="14" t="str">
        <f ca="1">_xlfn.IFNA(VLOOKUP("3"&amp;B392,CountSpecific!E:F,2,0),"")</f>
        <v/>
      </c>
      <c r="P392" s="7" t="str">
        <f ca="1">_xlfn.IFNA(VLOOKUP("4"&amp;B392,CountSpecific!E:F,2,0),"")</f>
        <v/>
      </c>
    </row>
    <row r="393" spans="1:16" customFormat="1" x14ac:dyDescent="0.25">
      <c r="A393" s="7">
        <v>392</v>
      </c>
      <c r="B393" s="11" t="s">
        <v>408</v>
      </c>
      <c r="C393" s="7" t="s">
        <v>1039</v>
      </c>
      <c r="D393" s="7">
        <v>392</v>
      </c>
      <c r="E393" s="7">
        <v>392</v>
      </c>
      <c r="F393" s="7">
        <v>392</v>
      </c>
      <c r="G393" s="11" t="s">
        <v>1025</v>
      </c>
      <c r="H393" s="20">
        <v>57633</v>
      </c>
      <c r="I393" s="12">
        <v>43987</v>
      </c>
      <c r="J393" s="12">
        <v>44260</v>
      </c>
      <c r="K393" s="25">
        <v>31771</v>
      </c>
      <c r="L393" s="23">
        <v>25862</v>
      </c>
      <c r="M393" s="11"/>
      <c r="N393" s="7" t="str">
        <f ca="1">_xlfn.IFNA(VLOOKUP("2"&amp;B393,CountSpecific!E:F,2,0),"")</f>
        <v/>
      </c>
      <c r="O393" s="14" t="str">
        <f ca="1">_xlfn.IFNA(VLOOKUP("3"&amp;B393,CountSpecific!E:F,2,0),"")</f>
        <v/>
      </c>
      <c r="P393" s="7" t="str">
        <f ca="1">_xlfn.IFNA(VLOOKUP("4"&amp;B393,CountSpecific!E:F,2,0),"")</f>
        <v/>
      </c>
    </row>
    <row r="394" spans="1:16" customFormat="1" x14ac:dyDescent="0.25">
      <c r="A394" s="7">
        <v>393</v>
      </c>
      <c r="B394" s="11" t="s">
        <v>409</v>
      </c>
      <c r="C394" s="7" t="s">
        <v>1039</v>
      </c>
      <c r="D394" s="7">
        <v>393</v>
      </c>
      <c r="E394" s="9">
        <v>393</v>
      </c>
      <c r="F394" s="7">
        <v>393</v>
      </c>
      <c r="G394" s="11" t="s">
        <v>1026</v>
      </c>
      <c r="H394" s="20">
        <v>2878976</v>
      </c>
      <c r="I394" s="12">
        <v>44167</v>
      </c>
      <c r="J394" s="12">
        <v>44198</v>
      </c>
      <c r="K394" s="25">
        <v>1727392</v>
      </c>
      <c r="L394" s="23">
        <v>1151584</v>
      </c>
      <c r="M394" s="11"/>
      <c r="N394" s="7" t="str">
        <f ca="1">_xlfn.IFNA(VLOOKUP("2"&amp;B394,CountSpecific!E:F,2,0),"")</f>
        <v/>
      </c>
      <c r="O394" s="14" t="str">
        <f ca="1">_xlfn.IFNA(VLOOKUP("3"&amp;B394,CountSpecific!E:F,2,0),"")</f>
        <v/>
      </c>
      <c r="P394" s="7" t="str">
        <f ca="1">_xlfn.IFNA(VLOOKUP("4"&amp;B394,CountSpecific!E:F,2,0),"")</f>
        <v/>
      </c>
    </row>
    <row r="395" spans="1:16" customFormat="1" x14ac:dyDescent="0.25">
      <c r="A395" s="7">
        <v>394</v>
      </c>
      <c r="B395" s="11" t="s">
        <v>410</v>
      </c>
      <c r="C395" s="7" t="s">
        <v>1039</v>
      </c>
      <c r="D395" s="7">
        <v>394</v>
      </c>
      <c r="E395" s="7">
        <v>394</v>
      </c>
      <c r="F395" s="7">
        <v>394</v>
      </c>
      <c r="G395" s="11" t="s">
        <v>1027</v>
      </c>
      <c r="H395" s="20">
        <v>24598</v>
      </c>
      <c r="I395" s="12">
        <v>45527</v>
      </c>
      <c r="J395" s="12">
        <v>45619</v>
      </c>
      <c r="K395" s="25">
        <v>23947</v>
      </c>
      <c r="L395" s="23">
        <v>651</v>
      </c>
      <c r="M395" s="11"/>
      <c r="N395" s="7" t="str">
        <f ca="1">_xlfn.IFNA(VLOOKUP("2"&amp;B395,CountSpecific!E:F,2,0),"")</f>
        <v/>
      </c>
      <c r="O395" s="14" t="str">
        <f ca="1">_xlfn.IFNA(VLOOKUP("3"&amp;B395,CountSpecific!E:F,2,0),"")</f>
        <v/>
      </c>
      <c r="P395" s="7" t="str">
        <f ca="1">_xlfn.IFNA(VLOOKUP("4"&amp;B395,CountSpecific!E:F,2,0),"")</f>
        <v/>
      </c>
    </row>
    <row r="396" spans="1:16" customFormat="1" x14ac:dyDescent="0.25">
      <c r="A396" s="7">
        <v>395</v>
      </c>
      <c r="B396" s="11" t="s">
        <v>411</v>
      </c>
      <c r="C396" s="7" t="s">
        <v>1039</v>
      </c>
      <c r="D396" s="7">
        <v>395</v>
      </c>
      <c r="E396" s="7">
        <v>395</v>
      </c>
      <c r="F396" s="7">
        <v>395</v>
      </c>
      <c r="G396" s="11" t="s">
        <v>1016</v>
      </c>
      <c r="H396" s="20">
        <v>7602</v>
      </c>
      <c r="I396" s="12">
        <v>44050</v>
      </c>
      <c r="J396" s="12">
        <v>44203</v>
      </c>
      <c r="K396" s="25">
        <v>1053</v>
      </c>
      <c r="L396" s="23">
        <v>6549</v>
      </c>
      <c r="M396" s="11"/>
      <c r="N396" s="7" t="str">
        <f ca="1">_xlfn.IFNA(VLOOKUP("2"&amp;B396,CountSpecific!E:F,2,0),"")</f>
        <v/>
      </c>
      <c r="O396" s="14" t="str">
        <f ca="1">_xlfn.IFNA(VLOOKUP("3"&amp;B396,CountSpecific!E:F,2,0),"")</f>
        <v/>
      </c>
      <c r="P396" s="7" t="str">
        <f ca="1">_xlfn.IFNA(VLOOKUP("4"&amp;B396,CountSpecific!E:F,2,0),"")</f>
        <v/>
      </c>
    </row>
    <row r="397" spans="1:16" customFormat="1" x14ac:dyDescent="0.25">
      <c r="A397" s="7">
        <v>396</v>
      </c>
      <c r="B397" s="11" t="s">
        <v>412</v>
      </c>
      <c r="C397" s="7" t="s">
        <v>1039</v>
      </c>
      <c r="D397" s="7">
        <v>396</v>
      </c>
      <c r="E397" s="9">
        <v>396</v>
      </c>
      <c r="F397" s="7">
        <v>396</v>
      </c>
      <c r="G397" s="11" t="s">
        <v>1020</v>
      </c>
      <c r="H397" s="20">
        <v>202619</v>
      </c>
      <c r="I397" s="12">
        <v>44469</v>
      </c>
      <c r="J397" s="12">
        <v>44499</v>
      </c>
      <c r="K397" s="25">
        <v>102099</v>
      </c>
      <c r="L397" s="23">
        <v>100520</v>
      </c>
      <c r="M397" s="11"/>
      <c r="N397" s="7" t="str">
        <f ca="1">_xlfn.IFNA(VLOOKUP("2"&amp;B397,CountSpecific!E:F,2,0),"")</f>
        <v/>
      </c>
      <c r="O397" s="14" t="str">
        <f ca="1">_xlfn.IFNA(VLOOKUP("3"&amp;B397,CountSpecific!E:F,2,0),"")</f>
        <v/>
      </c>
      <c r="P397" s="7" t="str">
        <f ca="1">_xlfn.IFNA(VLOOKUP("4"&amp;B397,CountSpecific!E:F,2,0),"")</f>
        <v/>
      </c>
    </row>
    <row r="398" spans="1:16" customFormat="1" x14ac:dyDescent="0.25">
      <c r="A398" s="7">
        <v>397</v>
      </c>
      <c r="B398" s="11" t="s">
        <v>413</v>
      </c>
      <c r="C398" s="7" t="s">
        <v>1039</v>
      </c>
      <c r="D398" s="7">
        <v>397</v>
      </c>
      <c r="E398" s="7">
        <v>397</v>
      </c>
      <c r="F398" s="7">
        <v>397</v>
      </c>
      <c r="G398" s="11" t="s">
        <v>1027</v>
      </c>
      <c r="H398" s="20">
        <v>23984</v>
      </c>
      <c r="I398" s="12">
        <v>44493</v>
      </c>
      <c r="J398" s="12">
        <v>44585</v>
      </c>
      <c r="K398" s="25">
        <v>11148</v>
      </c>
      <c r="L398" s="23">
        <v>12836</v>
      </c>
      <c r="M398" s="11"/>
      <c r="N398" s="7" t="str">
        <f ca="1">_xlfn.IFNA(VLOOKUP("2"&amp;B398,CountSpecific!E:F,2,0),"")</f>
        <v/>
      </c>
      <c r="O398" s="14" t="str">
        <f ca="1">_xlfn.IFNA(VLOOKUP("3"&amp;B398,CountSpecific!E:F,2,0),"")</f>
        <v/>
      </c>
      <c r="P398" s="7" t="str">
        <f ca="1">_xlfn.IFNA(VLOOKUP("4"&amp;B398,CountSpecific!E:F,2,0),"")</f>
        <v/>
      </c>
    </row>
    <row r="399" spans="1:16" customFormat="1" x14ac:dyDescent="0.25">
      <c r="A399" s="7">
        <v>398</v>
      </c>
      <c r="B399" s="11" t="s">
        <v>414</v>
      </c>
      <c r="C399" s="7" t="s">
        <v>1039</v>
      </c>
      <c r="D399" s="7">
        <v>398</v>
      </c>
      <c r="E399" s="7">
        <v>398</v>
      </c>
      <c r="F399" s="7">
        <v>398</v>
      </c>
      <c r="G399" s="11" t="s">
        <v>1027</v>
      </c>
      <c r="H399" s="20">
        <v>52368</v>
      </c>
      <c r="I399" s="12">
        <v>44773</v>
      </c>
      <c r="J399" s="12">
        <v>45260</v>
      </c>
      <c r="K399" s="25">
        <v>40820</v>
      </c>
      <c r="L399" s="23">
        <v>11548</v>
      </c>
      <c r="M399" s="11"/>
      <c r="N399" s="7" t="str">
        <f ca="1">_xlfn.IFNA(VLOOKUP("2"&amp;B399,CountSpecific!E:F,2,0),"")</f>
        <v/>
      </c>
      <c r="O399" s="14" t="str">
        <f ca="1">_xlfn.IFNA(VLOOKUP("3"&amp;B399,CountSpecific!E:F,2,0),"")</f>
        <v/>
      </c>
      <c r="P399" s="7" t="str">
        <f ca="1">_xlfn.IFNA(VLOOKUP("4"&amp;B399,CountSpecific!E:F,2,0),"")</f>
        <v/>
      </c>
    </row>
    <row r="400" spans="1:16" customFormat="1" x14ac:dyDescent="0.25">
      <c r="A400" s="7">
        <v>399</v>
      </c>
      <c r="B400" s="11" t="s">
        <v>415</v>
      </c>
      <c r="C400" s="7" t="s">
        <v>1039</v>
      </c>
      <c r="D400" s="7">
        <v>399</v>
      </c>
      <c r="E400" s="9">
        <v>399</v>
      </c>
      <c r="F400" s="7">
        <v>399</v>
      </c>
      <c r="G400" s="11" t="s">
        <v>1024</v>
      </c>
      <c r="H400" s="20">
        <v>133512</v>
      </c>
      <c r="I400" s="12">
        <v>44415</v>
      </c>
      <c r="J400" s="12">
        <v>44476</v>
      </c>
      <c r="K400" s="25">
        <v>53925</v>
      </c>
      <c r="L400" s="23">
        <v>79587</v>
      </c>
      <c r="M400" s="11"/>
      <c r="N400" s="7" t="str">
        <f ca="1">_xlfn.IFNA(VLOOKUP("2"&amp;B400,CountSpecific!E:F,2,0),"")</f>
        <v/>
      </c>
      <c r="O400" s="14" t="str">
        <f ca="1">_xlfn.IFNA(VLOOKUP("3"&amp;B400,CountSpecific!E:F,2,0),"")</f>
        <v/>
      </c>
      <c r="P400" s="7" t="str">
        <f ca="1">_xlfn.IFNA(VLOOKUP("4"&amp;B400,CountSpecific!E:F,2,0),"")</f>
        <v/>
      </c>
    </row>
    <row r="401" spans="1:16" customFormat="1" x14ac:dyDescent="0.25">
      <c r="A401" s="7">
        <v>400</v>
      </c>
      <c r="B401" s="11" t="s">
        <v>416</v>
      </c>
      <c r="C401" s="7" t="s">
        <v>1039</v>
      </c>
      <c r="D401" s="7">
        <v>400</v>
      </c>
      <c r="E401" s="7">
        <v>400</v>
      </c>
      <c r="F401" s="7">
        <v>400</v>
      </c>
      <c r="G401" s="11" t="s">
        <v>1027</v>
      </c>
      <c r="H401" s="20">
        <v>40411</v>
      </c>
      <c r="I401" s="12">
        <v>44600</v>
      </c>
      <c r="J401" s="12">
        <v>45146</v>
      </c>
      <c r="K401" s="25">
        <v>13472</v>
      </c>
      <c r="L401" s="23">
        <v>26939</v>
      </c>
      <c r="M401" s="11"/>
      <c r="N401" s="7" t="str">
        <f ca="1">_xlfn.IFNA(VLOOKUP("2"&amp;B401,CountSpecific!E:F,2,0),"")</f>
        <v/>
      </c>
      <c r="O401" s="14" t="str">
        <f ca="1">_xlfn.IFNA(VLOOKUP("3"&amp;B401,CountSpecific!E:F,2,0),"")</f>
        <v/>
      </c>
      <c r="P401" s="7" t="str">
        <f ca="1">_xlfn.IFNA(VLOOKUP("4"&amp;B401,CountSpecific!E:F,2,0),"")</f>
        <v/>
      </c>
    </row>
    <row r="402" spans="1:16" customFormat="1" x14ac:dyDescent="0.25">
      <c r="A402" s="7">
        <v>401</v>
      </c>
      <c r="B402" s="11" t="s">
        <v>417</v>
      </c>
      <c r="C402" s="7" t="s">
        <v>1039</v>
      </c>
      <c r="D402" s="7">
        <v>401</v>
      </c>
      <c r="E402" s="7">
        <v>401</v>
      </c>
      <c r="F402" s="7">
        <v>401</v>
      </c>
      <c r="G402" s="11" t="s">
        <v>1026</v>
      </c>
      <c r="H402" s="20">
        <v>2789959</v>
      </c>
      <c r="I402" s="12">
        <v>43969</v>
      </c>
      <c r="J402" s="12">
        <v>44610</v>
      </c>
      <c r="K402" s="25">
        <v>691365</v>
      </c>
      <c r="L402" s="23">
        <v>2098594</v>
      </c>
      <c r="M402" s="11"/>
      <c r="N402" s="7" t="str">
        <f ca="1">_xlfn.IFNA(VLOOKUP("2"&amp;B402,CountSpecific!E:F,2,0),"")</f>
        <v/>
      </c>
      <c r="O402" s="14" t="str">
        <f ca="1">_xlfn.IFNA(VLOOKUP("3"&amp;B402,CountSpecific!E:F,2,0),"")</f>
        <v/>
      </c>
      <c r="P402" s="7" t="str">
        <f ca="1">_xlfn.IFNA(VLOOKUP("4"&amp;B402,CountSpecific!E:F,2,0),"")</f>
        <v/>
      </c>
    </row>
    <row r="403" spans="1:16" customFormat="1" x14ac:dyDescent="0.25">
      <c r="A403" s="7">
        <v>402</v>
      </c>
      <c r="B403" s="11" t="s">
        <v>418</v>
      </c>
      <c r="C403" s="7" t="s">
        <v>1039</v>
      </c>
      <c r="D403" s="7">
        <v>402</v>
      </c>
      <c r="E403" s="9">
        <v>402</v>
      </c>
      <c r="F403" s="7">
        <v>402</v>
      </c>
      <c r="G403" s="11" t="s">
        <v>1026</v>
      </c>
      <c r="H403" s="20">
        <v>3611934</v>
      </c>
      <c r="I403" s="12">
        <v>45258</v>
      </c>
      <c r="J403" s="12">
        <v>45440</v>
      </c>
      <c r="K403" s="25">
        <v>843975</v>
      </c>
      <c r="L403" s="23">
        <v>2767959</v>
      </c>
      <c r="M403" s="11"/>
      <c r="N403" s="7" t="str">
        <f ca="1">_xlfn.IFNA(VLOOKUP("2"&amp;B403,CountSpecific!E:F,2,0),"")</f>
        <v/>
      </c>
      <c r="O403" s="14" t="str">
        <f ca="1">_xlfn.IFNA(VLOOKUP("3"&amp;B403,CountSpecific!E:F,2,0),"")</f>
        <v/>
      </c>
      <c r="P403" s="7" t="str">
        <f ca="1">_xlfn.IFNA(VLOOKUP("4"&amp;B403,CountSpecific!E:F,2,0),"")</f>
        <v/>
      </c>
    </row>
    <row r="404" spans="1:16" customFormat="1" x14ac:dyDescent="0.25">
      <c r="A404" s="7">
        <v>403</v>
      </c>
      <c r="B404" s="11" t="s">
        <v>419</v>
      </c>
      <c r="C404" s="7" t="s">
        <v>1039</v>
      </c>
      <c r="D404" s="7">
        <v>403</v>
      </c>
      <c r="E404" s="7">
        <v>403</v>
      </c>
      <c r="F404" s="7">
        <v>403</v>
      </c>
      <c r="G404" s="11" t="s">
        <v>1024</v>
      </c>
      <c r="H404" s="20">
        <v>658270</v>
      </c>
      <c r="I404" s="12">
        <v>45370</v>
      </c>
      <c r="J404" s="12">
        <v>45735</v>
      </c>
      <c r="K404" s="25">
        <v>60128</v>
      </c>
      <c r="L404" s="23">
        <v>598142</v>
      </c>
      <c r="M404" s="11"/>
      <c r="N404" s="7" t="str">
        <f ca="1">_xlfn.IFNA(VLOOKUP("2"&amp;B404,CountSpecific!E:F,2,0),"")</f>
        <v/>
      </c>
      <c r="O404" s="14" t="str">
        <f ca="1">_xlfn.IFNA(VLOOKUP("3"&amp;B404,CountSpecific!E:F,2,0),"")</f>
        <v/>
      </c>
      <c r="P404" s="7" t="str">
        <f ca="1">_xlfn.IFNA(VLOOKUP("4"&amp;B404,CountSpecific!E:F,2,0),"")</f>
        <v/>
      </c>
    </row>
    <row r="405" spans="1:16" customFormat="1" x14ac:dyDescent="0.25">
      <c r="A405" s="7">
        <v>404</v>
      </c>
      <c r="B405" s="11" t="s">
        <v>420</v>
      </c>
      <c r="C405" s="7" t="s">
        <v>1039</v>
      </c>
      <c r="D405" s="7">
        <v>404</v>
      </c>
      <c r="E405" s="7">
        <v>404</v>
      </c>
      <c r="F405" s="7">
        <v>404</v>
      </c>
      <c r="G405" s="11" t="s">
        <v>1022</v>
      </c>
      <c r="H405" s="20">
        <v>23220</v>
      </c>
      <c r="I405" s="12">
        <v>45374</v>
      </c>
      <c r="J405" s="12">
        <v>45405</v>
      </c>
      <c r="K405" s="25">
        <v>12234</v>
      </c>
      <c r="L405" s="23">
        <v>10986</v>
      </c>
      <c r="M405" s="11"/>
      <c r="N405" s="7" t="str">
        <f ca="1">_xlfn.IFNA(VLOOKUP("2"&amp;B405,CountSpecific!E:F,2,0),"")</f>
        <v/>
      </c>
      <c r="O405" s="14" t="str">
        <f ca="1">_xlfn.IFNA(VLOOKUP("3"&amp;B405,CountSpecific!E:F,2,0),"")</f>
        <v/>
      </c>
      <c r="P405" s="7" t="str">
        <f ca="1">_xlfn.IFNA(VLOOKUP("4"&amp;B405,CountSpecific!E:F,2,0),"")</f>
        <v/>
      </c>
    </row>
    <row r="406" spans="1:16" customFormat="1" x14ac:dyDescent="0.25">
      <c r="A406" s="7">
        <v>405</v>
      </c>
      <c r="B406" s="11" t="s">
        <v>421</v>
      </c>
      <c r="C406" s="7" t="s">
        <v>1039</v>
      </c>
      <c r="D406" s="7">
        <v>405</v>
      </c>
      <c r="E406" s="9">
        <v>405</v>
      </c>
      <c r="F406" s="7">
        <v>405</v>
      </c>
      <c r="G406" s="11" t="s">
        <v>1021</v>
      </c>
      <c r="H406" s="20">
        <v>62527</v>
      </c>
      <c r="I406" s="12">
        <v>45618</v>
      </c>
      <c r="J406" s="12">
        <v>46013</v>
      </c>
      <c r="K406" s="25">
        <v>8107</v>
      </c>
      <c r="L406" s="23">
        <v>54420</v>
      </c>
      <c r="M406" s="11"/>
      <c r="N406" s="7" t="str">
        <f ca="1">_xlfn.IFNA(VLOOKUP("2"&amp;B406,CountSpecific!E:F,2,0),"")</f>
        <v/>
      </c>
      <c r="O406" s="14" t="str">
        <f ca="1">_xlfn.IFNA(VLOOKUP("3"&amp;B406,CountSpecific!E:F,2,0),"")</f>
        <v/>
      </c>
      <c r="P406" s="7" t="str">
        <f ca="1">_xlfn.IFNA(VLOOKUP("4"&amp;B406,CountSpecific!E:F,2,0),"")</f>
        <v/>
      </c>
    </row>
    <row r="407" spans="1:16" customFormat="1" x14ac:dyDescent="0.25">
      <c r="A407" s="7">
        <v>406</v>
      </c>
      <c r="B407" s="11" t="s">
        <v>422</v>
      </c>
      <c r="C407" s="7" t="s">
        <v>1039</v>
      </c>
      <c r="D407" s="7">
        <v>406</v>
      </c>
      <c r="E407" s="7">
        <v>406</v>
      </c>
      <c r="F407" s="7">
        <v>406</v>
      </c>
      <c r="G407" s="11" t="s">
        <v>1027</v>
      </c>
      <c r="H407" s="20">
        <v>32326</v>
      </c>
      <c r="I407" s="12">
        <v>44326</v>
      </c>
      <c r="J407" s="12">
        <v>44691</v>
      </c>
      <c r="K407" s="25">
        <v>19100</v>
      </c>
      <c r="L407" s="23">
        <v>13226</v>
      </c>
      <c r="M407" s="11"/>
      <c r="N407" s="7" t="str">
        <f ca="1">_xlfn.IFNA(VLOOKUP("2"&amp;B407,CountSpecific!E:F,2,0),"")</f>
        <v/>
      </c>
      <c r="O407" s="14" t="str">
        <f ca="1">_xlfn.IFNA(VLOOKUP("3"&amp;B407,CountSpecific!E:F,2,0),"")</f>
        <v/>
      </c>
      <c r="P407" s="7" t="str">
        <f ca="1">_xlfn.IFNA(VLOOKUP("4"&amp;B407,CountSpecific!E:F,2,0),"")</f>
        <v/>
      </c>
    </row>
    <row r="408" spans="1:16" customFormat="1" x14ac:dyDescent="0.25">
      <c r="A408" s="7">
        <v>407</v>
      </c>
      <c r="B408" s="11" t="s">
        <v>423</v>
      </c>
      <c r="C408" s="7" t="s">
        <v>1039</v>
      </c>
      <c r="D408" s="7">
        <v>407</v>
      </c>
      <c r="E408" s="7">
        <v>407</v>
      </c>
      <c r="F408" s="7">
        <v>407</v>
      </c>
      <c r="G408" s="11" t="s">
        <v>1016</v>
      </c>
      <c r="H408" s="20">
        <v>15119</v>
      </c>
      <c r="I408" s="12">
        <v>45225</v>
      </c>
      <c r="J408" s="12">
        <v>45864</v>
      </c>
      <c r="K408" s="25">
        <v>9196</v>
      </c>
      <c r="L408" s="23">
        <v>5923</v>
      </c>
      <c r="M408" s="11"/>
      <c r="N408" s="7" t="str">
        <f ca="1">_xlfn.IFNA(VLOOKUP("2"&amp;B408,CountSpecific!E:F,2,0),"")</f>
        <v/>
      </c>
      <c r="O408" s="14" t="str">
        <f ca="1">_xlfn.IFNA(VLOOKUP("3"&amp;B408,CountSpecific!E:F,2,0),"")</f>
        <v/>
      </c>
      <c r="P408" s="7" t="str">
        <f ca="1">_xlfn.IFNA(VLOOKUP("4"&amp;B408,CountSpecific!E:F,2,0),"")</f>
        <v/>
      </c>
    </row>
    <row r="409" spans="1:16" customFormat="1" x14ac:dyDescent="0.25">
      <c r="A409" s="7">
        <v>408</v>
      </c>
      <c r="B409" s="11" t="s">
        <v>424</v>
      </c>
      <c r="C409" s="7" t="s">
        <v>1039</v>
      </c>
      <c r="D409" s="7">
        <v>408</v>
      </c>
      <c r="E409" s="9">
        <v>408</v>
      </c>
      <c r="F409" s="7">
        <v>408</v>
      </c>
      <c r="G409" s="11" t="s">
        <v>1022</v>
      </c>
      <c r="H409" s="20">
        <v>24006</v>
      </c>
      <c r="I409" s="12">
        <v>44777</v>
      </c>
      <c r="J409" s="12">
        <v>45020</v>
      </c>
      <c r="K409" s="25">
        <v>20867</v>
      </c>
      <c r="L409" s="23">
        <v>3139</v>
      </c>
      <c r="M409" s="11"/>
      <c r="N409" s="7" t="str">
        <f ca="1">_xlfn.IFNA(VLOOKUP("2"&amp;B409,CountSpecific!E:F,2,0),"")</f>
        <v/>
      </c>
      <c r="O409" s="14" t="str">
        <f ca="1">_xlfn.IFNA(VLOOKUP("3"&amp;B409,CountSpecific!E:F,2,0),"")</f>
        <v/>
      </c>
      <c r="P409" s="7" t="str">
        <f ca="1">_xlfn.IFNA(VLOOKUP("4"&amp;B409,CountSpecific!E:F,2,0),"")</f>
        <v/>
      </c>
    </row>
    <row r="410" spans="1:16" customFormat="1" x14ac:dyDescent="0.25">
      <c r="A410" s="7">
        <v>409</v>
      </c>
      <c r="B410" s="11" t="s">
        <v>425</v>
      </c>
      <c r="C410" s="7" t="s">
        <v>1039</v>
      </c>
      <c r="D410" s="7">
        <v>409</v>
      </c>
      <c r="E410" s="7">
        <v>409</v>
      </c>
      <c r="F410" s="7">
        <v>409</v>
      </c>
      <c r="G410" s="11" t="s">
        <v>1020</v>
      </c>
      <c r="H410" s="20">
        <v>459837</v>
      </c>
      <c r="I410" s="12">
        <v>45113</v>
      </c>
      <c r="J410" s="12">
        <v>45510</v>
      </c>
      <c r="K410" s="25">
        <v>402719</v>
      </c>
      <c r="L410" s="23">
        <v>57118</v>
      </c>
      <c r="M410" s="11"/>
      <c r="N410" s="7" t="str">
        <f ca="1">_xlfn.IFNA(VLOOKUP("2"&amp;B410,CountSpecific!E:F,2,0),"")</f>
        <v/>
      </c>
      <c r="O410" s="14" t="str">
        <f ca="1">_xlfn.IFNA(VLOOKUP("3"&amp;B410,CountSpecific!E:F,2,0),"")</f>
        <v/>
      </c>
      <c r="P410" s="7" t="str">
        <f ca="1">_xlfn.IFNA(VLOOKUP("4"&amp;B410,CountSpecific!E:F,2,0),"")</f>
        <v/>
      </c>
    </row>
    <row r="411" spans="1:16" customFormat="1" x14ac:dyDescent="0.25">
      <c r="A411" s="7">
        <v>410</v>
      </c>
      <c r="B411" s="11" t="s">
        <v>426</v>
      </c>
      <c r="C411" s="7" t="s">
        <v>1039</v>
      </c>
      <c r="D411" s="7">
        <v>410</v>
      </c>
      <c r="E411" s="7">
        <v>410</v>
      </c>
      <c r="F411" s="7">
        <v>410</v>
      </c>
      <c r="G411" s="11" t="s">
        <v>1023</v>
      </c>
      <c r="H411" s="20">
        <v>425</v>
      </c>
      <c r="I411" s="12">
        <v>45298</v>
      </c>
      <c r="J411" s="12">
        <v>45998</v>
      </c>
      <c r="K411" s="25">
        <v>168</v>
      </c>
      <c r="L411" s="23">
        <v>257</v>
      </c>
      <c r="M411" s="11"/>
      <c r="N411" s="7" t="str">
        <f ca="1">_xlfn.IFNA(VLOOKUP("2"&amp;B411,CountSpecific!E:F,2,0),"")</f>
        <v/>
      </c>
      <c r="O411" s="14" t="str">
        <f ca="1">_xlfn.IFNA(VLOOKUP("3"&amp;B411,CountSpecific!E:F,2,0),"")</f>
        <v/>
      </c>
      <c r="P411" s="7" t="str">
        <f ca="1">_xlfn.IFNA(VLOOKUP("4"&amp;B411,CountSpecific!E:F,2,0),"")</f>
        <v/>
      </c>
    </row>
    <row r="412" spans="1:16" customFormat="1" x14ac:dyDescent="0.25">
      <c r="A412" s="7">
        <v>411</v>
      </c>
      <c r="B412" s="11" t="s">
        <v>427</v>
      </c>
      <c r="C412" s="7" t="s">
        <v>1039</v>
      </c>
      <c r="D412" s="7">
        <v>411</v>
      </c>
      <c r="E412" s="9">
        <v>411</v>
      </c>
      <c r="F412" s="7">
        <v>411</v>
      </c>
      <c r="G412" s="11" t="s">
        <v>1020</v>
      </c>
      <c r="H412" s="20">
        <v>101501</v>
      </c>
      <c r="I412" s="12">
        <v>45682</v>
      </c>
      <c r="J412" s="12">
        <v>45925</v>
      </c>
      <c r="K412" s="25">
        <v>90590</v>
      </c>
      <c r="L412" s="23">
        <v>10911</v>
      </c>
      <c r="M412" s="11"/>
      <c r="N412" s="7" t="str">
        <f ca="1">_xlfn.IFNA(VLOOKUP("2"&amp;B412,CountSpecific!E:F,2,0),"")</f>
        <v/>
      </c>
      <c r="O412" s="14" t="str">
        <f ca="1">_xlfn.IFNA(VLOOKUP("3"&amp;B412,CountSpecific!E:F,2,0),"")</f>
        <v/>
      </c>
      <c r="P412" s="7" t="str">
        <f ca="1">_xlfn.IFNA(VLOOKUP("4"&amp;B412,CountSpecific!E:F,2,0),"")</f>
        <v/>
      </c>
    </row>
    <row r="413" spans="1:16" customFormat="1" x14ac:dyDescent="0.25">
      <c r="A413" s="7">
        <v>412</v>
      </c>
      <c r="B413" s="11" t="s">
        <v>428</v>
      </c>
      <c r="C413" s="7" t="s">
        <v>1039</v>
      </c>
      <c r="D413" s="7">
        <v>412</v>
      </c>
      <c r="E413" s="7">
        <v>412</v>
      </c>
      <c r="F413" s="7">
        <v>412</v>
      </c>
      <c r="G413" s="11" t="s">
        <v>1025</v>
      </c>
      <c r="H413" s="20">
        <v>150910</v>
      </c>
      <c r="I413" s="12">
        <v>44055</v>
      </c>
      <c r="J413" s="12">
        <v>44359</v>
      </c>
      <c r="K413" s="25">
        <v>131623</v>
      </c>
      <c r="L413" s="23">
        <v>19287</v>
      </c>
      <c r="M413" s="11"/>
      <c r="N413" s="7" t="str">
        <f ca="1">_xlfn.IFNA(VLOOKUP("2"&amp;B413,CountSpecific!E:F,2,0),"")</f>
        <v/>
      </c>
      <c r="O413" s="14" t="str">
        <f ca="1">_xlfn.IFNA(VLOOKUP("3"&amp;B413,CountSpecific!E:F,2,0),"")</f>
        <v/>
      </c>
      <c r="P413" s="7" t="str">
        <f ca="1">_xlfn.IFNA(VLOOKUP("4"&amp;B413,CountSpecific!E:F,2,0),"")</f>
        <v/>
      </c>
    </row>
    <row r="414" spans="1:16" customFormat="1" x14ac:dyDescent="0.25">
      <c r="A414" s="7">
        <v>413</v>
      </c>
      <c r="B414" s="11" t="s">
        <v>429</v>
      </c>
      <c r="C414" s="7" t="s">
        <v>1039</v>
      </c>
      <c r="D414" s="7">
        <v>413</v>
      </c>
      <c r="E414" s="7">
        <v>413</v>
      </c>
      <c r="F414" s="7">
        <v>413</v>
      </c>
      <c r="G414" s="11" t="s">
        <v>1022</v>
      </c>
      <c r="H414" s="20">
        <v>24763</v>
      </c>
      <c r="I414" s="12">
        <v>45465</v>
      </c>
      <c r="J414" s="12">
        <v>45557</v>
      </c>
      <c r="K414" s="25">
        <v>10717</v>
      </c>
      <c r="L414" s="23">
        <v>14046</v>
      </c>
      <c r="M414" s="11"/>
      <c r="N414" s="7" t="str">
        <f ca="1">_xlfn.IFNA(VLOOKUP("2"&amp;B414,CountSpecific!E:F,2,0),"")</f>
        <v/>
      </c>
      <c r="O414" s="14" t="str">
        <f ca="1">_xlfn.IFNA(VLOOKUP("3"&amp;B414,CountSpecific!E:F,2,0),"")</f>
        <v/>
      </c>
      <c r="P414" s="7" t="str">
        <f ca="1">_xlfn.IFNA(VLOOKUP("4"&amp;B414,CountSpecific!E:F,2,0),"")</f>
        <v/>
      </c>
    </row>
    <row r="415" spans="1:16" customFormat="1" x14ac:dyDescent="0.25">
      <c r="A415" s="7">
        <v>414</v>
      </c>
      <c r="B415" s="11" t="s">
        <v>430</v>
      </c>
      <c r="C415" s="7" t="s">
        <v>1039</v>
      </c>
      <c r="D415" s="7">
        <v>414</v>
      </c>
      <c r="E415" s="9">
        <v>414</v>
      </c>
      <c r="F415" s="7">
        <v>414</v>
      </c>
      <c r="G415" s="11" t="s">
        <v>1022</v>
      </c>
      <c r="H415" s="20">
        <v>8283</v>
      </c>
      <c r="I415" s="12">
        <v>44206</v>
      </c>
      <c r="J415" s="12">
        <v>44510</v>
      </c>
      <c r="K415" s="25">
        <v>5242</v>
      </c>
      <c r="L415" s="23">
        <v>3041</v>
      </c>
      <c r="M415" s="11"/>
      <c r="N415" s="7" t="str">
        <f ca="1">_xlfn.IFNA(VLOOKUP("2"&amp;B415,CountSpecific!E:F,2,0),"")</f>
        <v/>
      </c>
      <c r="O415" s="14" t="str">
        <f ca="1">_xlfn.IFNA(VLOOKUP("3"&amp;B415,CountSpecific!E:F,2,0),"")</f>
        <v/>
      </c>
      <c r="P415" s="7" t="str">
        <f ca="1">_xlfn.IFNA(VLOOKUP("4"&amp;B415,CountSpecific!E:F,2,0),"")</f>
        <v/>
      </c>
    </row>
    <row r="416" spans="1:16" customFormat="1" x14ac:dyDescent="0.25">
      <c r="A416" s="7">
        <v>415</v>
      </c>
      <c r="B416" s="11" t="s">
        <v>431</v>
      </c>
      <c r="C416" s="7" t="s">
        <v>1039</v>
      </c>
      <c r="D416" s="7">
        <v>415</v>
      </c>
      <c r="E416" s="7">
        <v>415</v>
      </c>
      <c r="F416" s="7">
        <v>415</v>
      </c>
      <c r="G416" s="11" t="s">
        <v>1024</v>
      </c>
      <c r="H416" s="20">
        <v>176109</v>
      </c>
      <c r="I416" s="12">
        <v>44108</v>
      </c>
      <c r="J416" s="12">
        <v>44320</v>
      </c>
      <c r="K416" s="25">
        <v>163568</v>
      </c>
      <c r="L416" s="23">
        <v>12541</v>
      </c>
      <c r="M416" s="11"/>
      <c r="N416" s="7" t="str">
        <f ca="1">_xlfn.IFNA(VLOOKUP("2"&amp;B416,CountSpecific!E:F,2,0),"")</f>
        <v/>
      </c>
      <c r="O416" s="14" t="str">
        <f ca="1">_xlfn.IFNA(VLOOKUP("3"&amp;B416,CountSpecific!E:F,2,0),"")</f>
        <v/>
      </c>
      <c r="P416" s="7" t="str">
        <f ca="1">_xlfn.IFNA(VLOOKUP("4"&amp;B416,CountSpecific!E:F,2,0),"")</f>
        <v/>
      </c>
    </row>
    <row r="417" spans="1:16" customFormat="1" x14ac:dyDescent="0.25">
      <c r="A417" s="7">
        <v>416</v>
      </c>
      <c r="B417" s="11" t="s">
        <v>432</v>
      </c>
      <c r="C417" s="7" t="s">
        <v>1039</v>
      </c>
      <c r="D417" s="7">
        <v>416</v>
      </c>
      <c r="E417" s="7">
        <v>416</v>
      </c>
      <c r="F417" s="7">
        <v>416</v>
      </c>
      <c r="G417" s="11" t="s">
        <v>1023</v>
      </c>
      <c r="H417" s="20">
        <v>1288</v>
      </c>
      <c r="I417" s="12">
        <v>44188</v>
      </c>
      <c r="J417" s="12">
        <v>44309</v>
      </c>
      <c r="K417" s="25">
        <v>1004</v>
      </c>
      <c r="L417" s="23">
        <v>284</v>
      </c>
      <c r="M417" s="11"/>
      <c r="N417" s="7" t="str">
        <f ca="1">_xlfn.IFNA(VLOOKUP("2"&amp;B417,CountSpecific!E:F,2,0),"")</f>
        <v/>
      </c>
      <c r="O417" s="14" t="str">
        <f ca="1">_xlfn.IFNA(VLOOKUP("3"&amp;B417,CountSpecific!E:F,2,0),"")</f>
        <v/>
      </c>
      <c r="P417" s="7" t="str">
        <f ca="1">_xlfn.IFNA(VLOOKUP("4"&amp;B417,CountSpecific!E:F,2,0),"")</f>
        <v/>
      </c>
    </row>
    <row r="418" spans="1:16" customFormat="1" x14ac:dyDescent="0.25">
      <c r="A418" s="7">
        <v>417</v>
      </c>
      <c r="B418" s="11" t="s">
        <v>433</v>
      </c>
      <c r="C418" s="7" t="s">
        <v>1039</v>
      </c>
      <c r="D418" s="7">
        <v>417</v>
      </c>
      <c r="E418" s="9">
        <v>417</v>
      </c>
      <c r="F418" s="7">
        <v>417</v>
      </c>
      <c r="G418" s="11" t="s">
        <v>1016</v>
      </c>
      <c r="H418" s="20">
        <v>14404</v>
      </c>
      <c r="I418" s="12">
        <v>43986</v>
      </c>
      <c r="J418" s="12">
        <v>44231</v>
      </c>
      <c r="K418" s="25">
        <v>1798</v>
      </c>
      <c r="L418" s="23">
        <v>12606</v>
      </c>
      <c r="M418" s="11"/>
      <c r="N418" s="7" t="str">
        <f ca="1">_xlfn.IFNA(VLOOKUP("2"&amp;B418,CountSpecific!E:F,2,0),"")</f>
        <v/>
      </c>
      <c r="O418" s="14" t="str">
        <f ca="1">_xlfn.IFNA(VLOOKUP("3"&amp;B418,CountSpecific!E:F,2,0),"")</f>
        <v/>
      </c>
      <c r="P418" s="7" t="str">
        <f ca="1">_xlfn.IFNA(VLOOKUP("4"&amp;B418,CountSpecific!E:F,2,0),"")</f>
        <v/>
      </c>
    </row>
    <row r="419" spans="1:16" customFormat="1" x14ac:dyDescent="0.25">
      <c r="A419" s="7">
        <v>418</v>
      </c>
      <c r="B419" s="11" t="s">
        <v>434</v>
      </c>
      <c r="C419" s="7" t="s">
        <v>1039</v>
      </c>
      <c r="D419" s="7">
        <v>418</v>
      </c>
      <c r="E419" s="7">
        <v>418</v>
      </c>
      <c r="F419" s="7">
        <v>418</v>
      </c>
      <c r="G419" s="11" t="s">
        <v>1025</v>
      </c>
      <c r="H419" s="20">
        <v>490447</v>
      </c>
      <c r="I419" s="12">
        <v>45085</v>
      </c>
      <c r="J419" s="12">
        <v>45634</v>
      </c>
      <c r="K419" s="25">
        <v>202787</v>
      </c>
      <c r="L419" s="23">
        <v>287660</v>
      </c>
      <c r="M419" s="11"/>
      <c r="N419" s="7" t="str">
        <f ca="1">_xlfn.IFNA(VLOOKUP("2"&amp;B419,CountSpecific!E:F,2,0),"")</f>
        <v/>
      </c>
      <c r="O419" s="14" t="str">
        <f ca="1">_xlfn.IFNA(VLOOKUP("3"&amp;B419,CountSpecific!E:F,2,0),"")</f>
        <v/>
      </c>
      <c r="P419" s="7" t="str">
        <f ca="1">_xlfn.IFNA(VLOOKUP("4"&amp;B419,CountSpecific!E:F,2,0),"")</f>
        <v/>
      </c>
    </row>
    <row r="420" spans="1:16" customFormat="1" x14ac:dyDescent="0.25">
      <c r="A420" s="7">
        <v>419</v>
      </c>
      <c r="B420" s="11" t="s">
        <v>435</v>
      </c>
      <c r="C420" s="7" t="s">
        <v>1039</v>
      </c>
      <c r="D420" s="7">
        <v>419</v>
      </c>
      <c r="E420" s="7">
        <v>419</v>
      </c>
      <c r="F420" s="7">
        <v>419</v>
      </c>
      <c r="G420" s="11" t="s">
        <v>1023</v>
      </c>
      <c r="H420" s="20">
        <v>401</v>
      </c>
      <c r="I420" s="12">
        <v>43958</v>
      </c>
      <c r="J420" s="12">
        <v>44688</v>
      </c>
      <c r="K420" s="25">
        <v>139</v>
      </c>
      <c r="L420" s="23">
        <v>262</v>
      </c>
      <c r="M420" s="11"/>
      <c r="N420" s="7" t="str">
        <f ca="1">_xlfn.IFNA(VLOOKUP("2"&amp;B420,CountSpecific!E:F,2,0),"")</f>
        <v/>
      </c>
      <c r="O420" s="14" t="str">
        <f ca="1">_xlfn.IFNA(VLOOKUP("3"&amp;B420,CountSpecific!E:F,2,0),"")</f>
        <v/>
      </c>
      <c r="P420" s="7" t="str">
        <f ca="1">_xlfn.IFNA(VLOOKUP("4"&amp;B420,CountSpecific!E:F,2,0),"")</f>
        <v/>
      </c>
    </row>
    <row r="421" spans="1:16" customFormat="1" x14ac:dyDescent="0.25">
      <c r="A421" s="7">
        <v>420</v>
      </c>
      <c r="B421" s="11" t="s">
        <v>436</v>
      </c>
      <c r="C421" s="7" t="s">
        <v>1039</v>
      </c>
      <c r="D421" s="7">
        <v>420</v>
      </c>
      <c r="E421" s="9">
        <v>420</v>
      </c>
      <c r="F421" s="7">
        <v>420</v>
      </c>
      <c r="G421" s="11" t="s">
        <v>1022</v>
      </c>
      <c r="H421" s="20">
        <v>13197</v>
      </c>
      <c r="I421" s="12">
        <v>44031</v>
      </c>
      <c r="J421" s="12">
        <v>44580</v>
      </c>
      <c r="K421" s="25">
        <v>9384</v>
      </c>
      <c r="L421" s="23">
        <v>3813</v>
      </c>
      <c r="M421" s="11"/>
      <c r="N421" s="7" t="str">
        <f ca="1">_xlfn.IFNA(VLOOKUP("2"&amp;B421,CountSpecific!E:F,2,0),"")</f>
        <v/>
      </c>
      <c r="O421" s="14" t="str">
        <f ca="1">_xlfn.IFNA(VLOOKUP("3"&amp;B421,CountSpecific!E:F,2,0),"")</f>
        <v/>
      </c>
      <c r="P421" s="7" t="str">
        <f ca="1">_xlfn.IFNA(VLOOKUP("4"&amp;B421,CountSpecific!E:F,2,0),"")</f>
        <v/>
      </c>
    </row>
    <row r="422" spans="1:16" customFormat="1" x14ac:dyDescent="0.25">
      <c r="A422" s="7">
        <v>421</v>
      </c>
      <c r="B422" s="11" t="s">
        <v>437</v>
      </c>
      <c r="C422" s="7" t="s">
        <v>1039</v>
      </c>
      <c r="D422" s="7">
        <v>421</v>
      </c>
      <c r="E422" s="7">
        <v>421</v>
      </c>
      <c r="F422" s="7">
        <v>421</v>
      </c>
      <c r="G422" s="11" t="s">
        <v>1021</v>
      </c>
      <c r="H422" s="20">
        <v>20002</v>
      </c>
      <c r="I422" s="12">
        <v>45005</v>
      </c>
      <c r="J422" s="12">
        <v>45036</v>
      </c>
      <c r="K422" s="25">
        <v>10469</v>
      </c>
      <c r="L422" s="23">
        <v>9533</v>
      </c>
      <c r="M422" s="11"/>
      <c r="N422" s="7" t="str">
        <f ca="1">_xlfn.IFNA(VLOOKUP("2"&amp;B422,CountSpecific!E:F,2,0),"")</f>
        <v/>
      </c>
      <c r="O422" s="14" t="str">
        <f ca="1">_xlfn.IFNA(VLOOKUP("3"&amp;B422,CountSpecific!E:F,2,0),"")</f>
        <v/>
      </c>
      <c r="P422" s="7" t="str">
        <f ca="1">_xlfn.IFNA(VLOOKUP("4"&amp;B422,CountSpecific!E:F,2,0),"")</f>
        <v/>
      </c>
    </row>
    <row r="423" spans="1:16" customFormat="1" x14ac:dyDescent="0.25">
      <c r="A423" s="7">
        <v>422</v>
      </c>
      <c r="B423" s="11" t="s">
        <v>438</v>
      </c>
      <c r="C423" s="7" t="s">
        <v>1039</v>
      </c>
      <c r="D423" s="7">
        <v>422</v>
      </c>
      <c r="E423" s="7">
        <v>422</v>
      </c>
      <c r="F423" s="7">
        <v>422</v>
      </c>
      <c r="G423" s="11" t="s">
        <v>1022</v>
      </c>
      <c r="H423" s="20">
        <v>20515</v>
      </c>
      <c r="I423" s="12">
        <v>45622</v>
      </c>
      <c r="J423" s="12">
        <v>45683</v>
      </c>
      <c r="K423" s="25">
        <v>16114</v>
      </c>
      <c r="L423" s="23">
        <v>4401</v>
      </c>
      <c r="M423" s="11"/>
      <c r="N423" s="7" t="str">
        <f ca="1">_xlfn.IFNA(VLOOKUP("2"&amp;B423,CountSpecific!E:F,2,0),"")</f>
        <v/>
      </c>
      <c r="O423" s="14" t="str">
        <f ca="1">_xlfn.IFNA(VLOOKUP("3"&amp;B423,CountSpecific!E:F,2,0),"")</f>
        <v/>
      </c>
      <c r="P423" s="7" t="str">
        <f ca="1">_xlfn.IFNA(VLOOKUP("4"&amp;B423,CountSpecific!E:F,2,0),"")</f>
        <v/>
      </c>
    </row>
    <row r="424" spans="1:16" customFormat="1" x14ac:dyDescent="0.25">
      <c r="A424" s="7">
        <v>423</v>
      </c>
      <c r="B424" s="11" t="s">
        <v>439</v>
      </c>
      <c r="C424" s="7" t="s">
        <v>1039</v>
      </c>
      <c r="D424" s="7">
        <v>423</v>
      </c>
      <c r="E424" s="9">
        <v>423</v>
      </c>
      <c r="F424" s="7">
        <v>423</v>
      </c>
      <c r="G424" s="11" t="s">
        <v>1022</v>
      </c>
      <c r="H424" s="20">
        <v>21810</v>
      </c>
      <c r="I424" s="12">
        <v>45683</v>
      </c>
      <c r="J424" s="12">
        <v>46079</v>
      </c>
      <c r="K424" s="25">
        <v>1348</v>
      </c>
      <c r="L424" s="23">
        <v>20462</v>
      </c>
      <c r="M424" s="11"/>
      <c r="N424" s="7" t="str">
        <f ca="1">_xlfn.IFNA(VLOOKUP("2"&amp;B424,CountSpecific!E:F,2,0),"")</f>
        <v/>
      </c>
      <c r="O424" s="14" t="str">
        <f ca="1">_xlfn.IFNA(VLOOKUP("3"&amp;B424,CountSpecific!E:F,2,0),"")</f>
        <v/>
      </c>
      <c r="P424" s="7" t="str">
        <f ca="1">_xlfn.IFNA(VLOOKUP("4"&amp;B424,CountSpecific!E:F,2,0),"")</f>
        <v/>
      </c>
    </row>
    <row r="425" spans="1:16" customFormat="1" x14ac:dyDescent="0.25">
      <c r="A425" s="7">
        <v>424</v>
      </c>
      <c r="B425" s="11" t="s">
        <v>440</v>
      </c>
      <c r="C425" s="7" t="s">
        <v>1039</v>
      </c>
      <c r="D425" s="7">
        <v>424</v>
      </c>
      <c r="E425" s="7">
        <v>424</v>
      </c>
      <c r="F425" s="7">
        <v>424</v>
      </c>
      <c r="G425" s="11" t="s">
        <v>1016</v>
      </c>
      <c r="H425" s="20">
        <v>42184</v>
      </c>
      <c r="I425" s="12">
        <v>44284</v>
      </c>
      <c r="J425" s="12">
        <v>44985</v>
      </c>
      <c r="K425" s="25">
        <v>420</v>
      </c>
      <c r="L425" s="23">
        <v>41764</v>
      </c>
      <c r="M425" s="11"/>
      <c r="N425" s="7" t="str">
        <f ca="1">_xlfn.IFNA(VLOOKUP("2"&amp;B425,CountSpecific!E:F,2,0),"")</f>
        <v/>
      </c>
      <c r="O425" s="14" t="str">
        <f ca="1">_xlfn.IFNA(VLOOKUP("3"&amp;B425,CountSpecific!E:F,2,0),"")</f>
        <v/>
      </c>
      <c r="P425" s="7" t="str">
        <f ca="1">_xlfn.IFNA(VLOOKUP("4"&amp;B425,CountSpecific!E:F,2,0),"")</f>
        <v/>
      </c>
    </row>
    <row r="426" spans="1:16" customFormat="1" x14ac:dyDescent="0.25">
      <c r="A426" s="7">
        <v>425</v>
      </c>
      <c r="B426" s="11" t="s">
        <v>441</v>
      </c>
      <c r="C426" s="7" t="s">
        <v>1039</v>
      </c>
      <c r="D426" s="7">
        <v>425</v>
      </c>
      <c r="E426" s="7">
        <v>425</v>
      </c>
      <c r="F426" s="7">
        <v>425</v>
      </c>
      <c r="G426" s="11" t="s">
        <v>1021</v>
      </c>
      <c r="H426" s="20">
        <v>38921</v>
      </c>
      <c r="I426" s="12">
        <v>45540</v>
      </c>
      <c r="J426" s="12">
        <v>45813</v>
      </c>
      <c r="K426" s="25">
        <v>5144</v>
      </c>
      <c r="L426" s="23">
        <v>33777</v>
      </c>
      <c r="M426" s="11"/>
      <c r="N426" s="7" t="str">
        <f ca="1">_xlfn.IFNA(VLOOKUP("2"&amp;B426,CountSpecific!E:F,2,0),"")</f>
        <v/>
      </c>
      <c r="O426" s="14" t="str">
        <f ca="1">_xlfn.IFNA(VLOOKUP("3"&amp;B426,CountSpecific!E:F,2,0),"")</f>
        <v/>
      </c>
      <c r="P426" s="7" t="str">
        <f ca="1">_xlfn.IFNA(VLOOKUP("4"&amp;B426,CountSpecific!E:F,2,0),"")</f>
        <v/>
      </c>
    </row>
    <row r="427" spans="1:16" customFormat="1" x14ac:dyDescent="0.25">
      <c r="A427" s="7">
        <v>426</v>
      </c>
      <c r="B427" s="11" t="s">
        <v>442</v>
      </c>
      <c r="C427" s="7" t="s">
        <v>1039</v>
      </c>
      <c r="D427" s="7">
        <v>426</v>
      </c>
      <c r="E427" s="9">
        <v>426</v>
      </c>
      <c r="F427" s="7">
        <v>426</v>
      </c>
      <c r="G427" s="11" t="s">
        <v>1020</v>
      </c>
      <c r="H427" s="20">
        <v>326050</v>
      </c>
      <c r="I427" s="12">
        <v>44333</v>
      </c>
      <c r="J427" s="12">
        <v>44729</v>
      </c>
      <c r="K427" s="25">
        <v>30929</v>
      </c>
      <c r="L427" s="23">
        <v>295121</v>
      </c>
      <c r="M427" s="11"/>
      <c r="N427" s="7" t="str">
        <f ca="1">_xlfn.IFNA(VLOOKUP("2"&amp;B427,CountSpecific!E:F,2,0),"")</f>
        <v/>
      </c>
      <c r="O427" s="14" t="str">
        <f ca="1">_xlfn.IFNA(VLOOKUP("3"&amp;B427,CountSpecific!E:F,2,0),"")</f>
        <v/>
      </c>
      <c r="P427" s="7" t="str">
        <f ca="1">_xlfn.IFNA(VLOOKUP("4"&amp;B427,CountSpecific!E:F,2,0),"")</f>
        <v/>
      </c>
    </row>
    <row r="428" spans="1:16" customFormat="1" x14ac:dyDescent="0.25">
      <c r="A428" s="7">
        <v>427</v>
      </c>
      <c r="B428" s="11" t="s">
        <v>443</v>
      </c>
      <c r="C428" s="7" t="s">
        <v>1039</v>
      </c>
      <c r="D428" s="7">
        <v>427</v>
      </c>
      <c r="E428" s="7">
        <v>427</v>
      </c>
      <c r="F428" s="7">
        <v>427</v>
      </c>
      <c r="G428" s="11" t="s">
        <v>1021</v>
      </c>
      <c r="H428" s="20">
        <v>8392</v>
      </c>
      <c r="I428" s="12">
        <v>43934</v>
      </c>
      <c r="J428" s="12">
        <v>44209</v>
      </c>
      <c r="K428" s="25">
        <v>4356</v>
      </c>
      <c r="L428" s="23">
        <v>4036</v>
      </c>
      <c r="M428" s="11"/>
      <c r="N428" s="7" t="str">
        <f ca="1">_xlfn.IFNA(VLOOKUP("2"&amp;B428,CountSpecific!E:F,2,0),"")</f>
        <v/>
      </c>
      <c r="O428" s="14" t="str">
        <f ca="1">_xlfn.IFNA(VLOOKUP("3"&amp;B428,CountSpecific!E:F,2,0),"")</f>
        <v/>
      </c>
      <c r="P428" s="7" t="str">
        <f ca="1">_xlfn.IFNA(VLOOKUP("4"&amp;B428,CountSpecific!E:F,2,0),"")</f>
        <v/>
      </c>
    </row>
    <row r="429" spans="1:16" customFormat="1" x14ac:dyDescent="0.25">
      <c r="A429" s="7">
        <v>428</v>
      </c>
      <c r="B429" s="11" t="s">
        <v>444</v>
      </c>
      <c r="C429" s="7" t="s">
        <v>1039</v>
      </c>
      <c r="D429" s="7">
        <v>428</v>
      </c>
      <c r="E429" s="7">
        <v>428</v>
      </c>
      <c r="F429" s="7">
        <v>428</v>
      </c>
      <c r="G429" s="11" t="s">
        <v>1026</v>
      </c>
      <c r="H429" s="20">
        <v>546571</v>
      </c>
      <c r="I429" s="12">
        <v>44480</v>
      </c>
      <c r="J429" s="12">
        <v>44937</v>
      </c>
      <c r="K429" s="25">
        <v>391977</v>
      </c>
      <c r="L429" s="23">
        <v>154594</v>
      </c>
      <c r="M429" s="11"/>
      <c r="N429" s="7" t="str">
        <f ca="1">_xlfn.IFNA(VLOOKUP("2"&amp;B429,CountSpecific!E:F,2,0),"")</f>
        <v/>
      </c>
      <c r="O429" s="14" t="str">
        <f ca="1">_xlfn.IFNA(VLOOKUP("3"&amp;B429,CountSpecific!E:F,2,0),"")</f>
        <v/>
      </c>
      <c r="P429" s="7" t="str">
        <f ca="1">_xlfn.IFNA(VLOOKUP("4"&amp;B429,CountSpecific!E:F,2,0),"")</f>
        <v/>
      </c>
    </row>
    <row r="430" spans="1:16" customFormat="1" x14ac:dyDescent="0.25">
      <c r="A430" s="7">
        <v>429</v>
      </c>
      <c r="B430" s="11" t="s">
        <v>445</v>
      </c>
      <c r="C430" s="7" t="s">
        <v>1039</v>
      </c>
      <c r="D430" s="7">
        <v>429</v>
      </c>
      <c r="E430" s="9">
        <v>429</v>
      </c>
      <c r="F430" s="7">
        <v>429</v>
      </c>
      <c r="G430" s="11" t="s">
        <v>1016</v>
      </c>
      <c r="H430" s="20">
        <v>35452</v>
      </c>
      <c r="I430" s="12">
        <v>44784</v>
      </c>
      <c r="J430" s="12">
        <v>45302</v>
      </c>
      <c r="K430" s="25">
        <v>10587</v>
      </c>
      <c r="L430" s="23">
        <v>24865</v>
      </c>
      <c r="M430" s="11"/>
      <c r="N430" s="7" t="str">
        <f ca="1">_xlfn.IFNA(VLOOKUP("2"&amp;B430,CountSpecific!E:F,2,0),"")</f>
        <v/>
      </c>
      <c r="O430" s="14" t="str">
        <f ca="1">_xlfn.IFNA(VLOOKUP("3"&amp;B430,CountSpecific!E:F,2,0),"")</f>
        <v/>
      </c>
      <c r="P430" s="7" t="str">
        <f ca="1">_xlfn.IFNA(VLOOKUP("4"&amp;B430,CountSpecific!E:F,2,0),"")</f>
        <v/>
      </c>
    </row>
    <row r="431" spans="1:16" customFormat="1" x14ac:dyDescent="0.25">
      <c r="A431" s="7">
        <v>430</v>
      </c>
      <c r="B431" s="11" t="s">
        <v>446</v>
      </c>
      <c r="C431" s="7" t="s">
        <v>1039</v>
      </c>
      <c r="D431" s="7">
        <v>430</v>
      </c>
      <c r="E431" s="7">
        <v>430</v>
      </c>
      <c r="F431" s="7">
        <v>430</v>
      </c>
      <c r="G431" s="11" t="s">
        <v>1027</v>
      </c>
      <c r="H431" s="20">
        <v>37399</v>
      </c>
      <c r="I431" s="12">
        <v>45711</v>
      </c>
      <c r="J431" s="12">
        <v>45984</v>
      </c>
      <c r="K431" s="25">
        <v>681</v>
      </c>
      <c r="L431" s="23">
        <v>36718</v>
      </c>
      <c r="M431" s="11"/>
      <c r="N431" s="7" t="str">
        <f ca="1">_xlfn.IFNA(VLOOKUP("2"&amp;B431,CountSpecific!E:F,2,0),"")</f>
        <v/>
      </c>
      <c r="O431" s="14" t="str">
        <f ca="1">_xlfn.IFNA(VLOOKUP("3"&amp;B431,CountSpecific!E:F,2,0),"")</f>
        <v/>
      </c>
      <c r="P431" s="7" t="str">
        <f ca="1">_xlfn.IFNA(VLOOKUP("4"&amp;B431,CountSpecific!E:F,2,0),"")</f>
        <v/>
      </c>
    </row>
    <row r="432" spans="1:16" customFormat="1" x14ac:dyDescent="0.25">
      <c r="A432" s="7">
        <v>431</v>
      </c>
      <c r="B432" s="11" t="s">
        <v>447</v>
      </c>
      <c r="C432" s="7" t="s">
        <v>1039</v>
      </c>
      <c r="D432" s="7">
        <v>431</v>
      </c>
      <c r="E432" s="7">
        <v>431</v>
      </c>
      <c r="F432" s="7">
        <v>431</v>
      </c>
      <c r="G432" s="11" t="s">
        <v>1027</v>
      </c>
      <c r="H432" s="20">
        <v>40557</v>
      </c>
      <c r="I432" s="12">
        <v>44054</v>
      </c>
      <c r="J432" s="12">
        <v>44266</v>
      </c>
      <c r="K432" s="25">
        <v>16649</v>
      </c>
      <c r="L432" s="23">
        <v>23908</v>
      </c>
      <c r="M432" s="11"/>
      <c r="N432" s="7" t="str">
        <f ca="1">_xlfn.IFNA(VLOOKUP("2"&amp;B432,CountSpecific!E:F,2,0),"")</f>
        <v/>
      </c>
      <c r="O432" s="14" t="str">
        <f ca="1">_xlfn.IFNA(VLOOKUP("3"&amp;B432,CountSpecific!E:F,2,0),"")</f>
        <v/>
      </c>
      <c r="P432" s="7" t="str">
        <f ca="1">_xlfn.IFNA(VLOOKUP("4"&amp;B432,CountSpecific!E:F,2,0),"")</f>
        <v/>
      </c>
    </row>
    <row r="433" spans="1:16" customFormat="1" x14ac:dyDescent="0.25">
      <c r="A433" s="7">
        <v>432</v>
      </c>
      <c r="B433" s="11" t="s">
        <v>448</v>
      </c>
      <c r="C433" s="7" t="s">
        <v>1039</v>
      </c>
      <c r="D433" s="7">
        <v>432</v>
      </c>
      <c r="E433" s="9">
        <v>432</v>
      </c>
      <c r="F433" s="7">
        <v>432</v>
      </c>
      <c r="G433" s="11" t="s">
        <v>1020</v>
      </c>
      <c r="H433" s="20">
        <v>231774</v>
      </c>
      <c r="I433" s="12">
        <v>45644</v>
      </c>
      <c r="J433" s="12">
        <v>46099</v>
      </c>
      <c r="K433" s="25">
        <v>91135</v>
      </c>
      <c r="L433" s="23">
        <v>140639</v>
      </c>
      <c r="M433" s="11"/>
      <c r="N433" s="7" t="str">
        <f ca="1">_xlfn.IFNA(VLOOKUP("2"&amp;B433,CountSpecific!E:F,2,0),"")</f>
        <v/>
      </c>
      <c r="O433" s="14" t="str">
        <f ca="1">_xlfn.IFNA(VLOOKUP("3"&amp;B433,CountSpecific!E:F,2,0),"")</f>
        <v/>
      </c>
      <c r="P433" s="7" t="str">
        <f ca="1">_xlfn.IFNA(VLOOKUP("4"&amp;B433,CountSpecific!E:F,2,0),"")</f>
        <v/>
      </c>
    </row>
    <row r="434" spans="1:16" customFormat="1" x14ac:dyDescent="0.25">
      <c r="A434" s="7">
        <v>433</v>
      </c>
      <c r="B434" s="11" t="s">
        <v>449</v>
      </c>
      <c r="C434" s="7" t="s">
        <v>1039</v>
      </c>
      <c r="D434" s="7">
        <v>433</v>
      </c>
      <c r="E434" s="7">
        <v>433</v>
      </c>
      <c r="F434" s="7">
        <v>433</v>
      </c>
      <c r="G434" s="11" t="s">
        <v>1021</v>
      </c>
      <c r="H434" s="20">
        <v>82105</v>
      </c>
      <c r="I434" s="12">
        <v>45660</v>
      </c>
      <c r="J434" s="12">
        <v>45841</v>
      </c>
      <c r="K434" s="25">
        <v>14982</v>
      </c>
      <c r="L434" s="23">
        <v>67123</v>
      </c>
      <c r="M434" s="11"/>
      <c r="N434" s="7" t="str">
        <f ca="1">_xlfn.IFNA(VLOOKUP("2"&amp;B434,CountSpecific!E:F,2,0),"")</f>
        <v/>
      </c>
      <c r="O434" s="14" t="str">
        <f ca="1">_xlfn.IFNA(VLOOKUP("3"&amp;B434,CountSpecific!E:F,2,0),"")</f>
        <v/>
      </c>
      <c r="P434" s="7" t="str">
        <f ca="1">_xlfn.IFNA(VLOOKUP("4"&amp;B434,CountSpecific!E:F,2,0),"")</f>
        <v/>
      </c>
    </row>
    <row r="435" spans="1:16" customFormat="1" x14ac:dyDescent="0.25">
      <c r="A435" s="7">
        <v>434</v>
      </c>
      <c r="B435" s="11" t="s">
        <v>450</v>
      </c>
      <c r="C435" s="7" t="s">
        <v>1039</v>
      </c>
      <c r="D435" s="7">
        <v>434</v>
      </c>
      <c r="E435" s="7">
        <v>434</v>
      </c>
      <c r="F435" s="7">
        <v>434</v>
      </c>
      <c r="G435" s="11" t="s">
        <v>1020</v>
      </c>
      <c r="H435" s="20">
        <v>100084</v>
      </c>
      <c r="I435" s="12">
        <v>44874</v>
      </c>
      <c r="J435" s="12">
        <v>45544</v>
      </c>
      <c r="K435" s="25">
        <v>86661</v>
      </c>
      <c r="L435" s="23">
        <v>13423</v>
      </c>
      <c r="M435" s="11"/>
      <c r="N435" s="7" t="str">
        <f ca="1">_xlfn.IFNA(VLOOKUP("2"&amp;B435,CountSpecific!E:F,2,0),"")</f>
        <v/>
      </c>
      <c r="O435" s="14" t="str">
        <f ca="1">_xlfn.IFNA(VLOOKUP("3"&amp;B435,CountSpecific!E:F,2,0),"")</f>
        <v/>
      </c>
      <c r="P435" s="7" t="str">
        <f ca="1">_xlfn.IFNA(VLOOKUP("4"&amp;B435,CountSpecific!E:F,2,0),"")</f>
        <v/>
      </c>
    </row>
    <row r="436" spans="1:16" customFormat="1" x14ac:dyDescent="0.25">
      <c r="A436" s="7">
        <v>435</v>
      </c>
      <c r="B436" s="11" t="s">
        <v>451</v>
      </c>
      <c r="C436" s="7" t="s">
        <v>1039</v>
      </c>
      <c r="D436" s="7">
        <v>435</v>
      </c>
      <c r="E436" s="9">
        <v>435</v>
      </c>
      <c r="F436" s="7">
        <v>435</v>
      </c>
      <c r="G436" s="11" t="s">
        <v>1021</v>
      </c>
      <c r="H436" s="20">
        <v>77365</v>
      </c>
      <c r="I436" s="12">
        <v>45228</v>
      </c>
      <c r="J436" s="12">
        <v>45686</v>
      </c>
      <c r="K436" s="25">
        <v>47621</v>
      </c>
      <c r="L436" s="23">
        <v>29744</v>
      </c>
      <c r="M436" s="11"/>
      <c r="N436" s="7" t="str">
        <f ca="1">_xlfn.IFNA(VLOOKUP("2"&amp;B436,CountSpecific!E:F,2,0),"")</f>
        <v/>
      </c>
      <c r="O436" s="14" t="str">
        <f ca="1">_xlfn.IFNA(VLOOKUP("3"&amp;B436,CountSpecific!E:F,2,0),"")</f>
        <v/>
      </c>
      <c r="P436" s="7" t="str">
        <f ca="1">_xlfn.IFNA(VLOOKUP("4"&amp;B436,CountSpecific!E:F,2,0),"")</f>
        <v/>
      </c>
    </row>
    <row r="437" spans="1:16" customFormat="1" x14ac:dyDescent="0.25">
      <c r="A437" s="7">
        <v>436</v>
      </c>
      <c r="B437" s="11" t="s">
        <v>452</v>
      </c>
      <c r="C437" s="7" t="s">
        <v>1039</v>
      </c>
      <c r="D437" s="7">
        <v>436</v>
      </c>
      <c r="E437" s="7">
        <v>436</v>
      </c>
      <c r="F437" s="7">
        <v>436</v>
      </c>
      <c r="G437" s="11" t="s">
        <v>1022</v>
      </c>
      <c r="H437" s="20">
        <v>15163</v>
      </c>
      <c r="I437" s="12">
        <v>43929</v>
      </c>
      <c r="J437" s="12">
        <v>44508</v>
      </c>
      <c r="K437" s="25">
        <v>1715</v>
      </c>
      <c r="L437" s="23">
        <v>13448</v>
      </c>
      <c r="M437" s="11"/>
      <c r="N437" s="7" t="str">
        <f ca="1">_xlfn.IFNA(VLOOKUP("2"&amp;B437,CountSpecific!E:F,2,0),"")</f>
        <v/>
      </c>
      <c r="O437" s="14" t="str">
        <f ca="1">_xlfn.IFNA(VLOOKUP("3"&amp;B437,CountSpecific!E:F,2,0),"")</f>
        <v/>
      </c>
      <c r="P437" s="7" t="str">
        <f ca="1">_xlfn.IFNA(VLOOKUP("4"&amp;B437,CountSpecific!E:F,2,0),"")</f>
        <v/>
      </c>
    </row>
    <row r="438" spans="1:16" customFormat="1" x14ac:dyDescent="0.25">
      <c r="A438" s="7">
        <v>437</v>
      </c>
      <c r="B438" s="11" t="s">
        <v>453</v>
      </c>
      <c r="C438" s="7" t="s">
        <v>1039</v>
      </c>
      <c r="D438" s="7">
        <v>437</v>
      </c>
      <c r="E438" s="7">
        <v>437</v>
      </c>
      <c r="F438" s="7">
        <v>437</v>
      </c>
      <c r="G438" s="11" t="s">
        <v>1022</v>
      </c>
      <c r="H438" s="20">
        <v>18938</v>
      </c>
      <c r="I438" s="12">
        <v>44024</v>
      </c>
      <c r="J438" s="12">
        <v>44298</v>
      </c>
      <c r="K438" s="25">
        <v>17602</v>
      </c>
      <c r="L438" s="23">
        <v>1336</v>
      </c>
      <c r="M438" s="11"/>
      <c r="N438" s="7" t="str">
        <f ca="1">_xlfn.IFNA(VLOOKUP("2"&amp;B438,CountSpecific!E:F,2,0),"")</f>
        <v/>
      </c>
      <c r="O438" s="14" t="str">
        <f ca="1">_xlfn.IFNA(VLOOKUP("3"&amp;B438,CountSpecific!E:F,2,0),"")</f>
        <v/>
      </c>
      <c r="P438" s="7" t="str">
        <f ca="1">_xlfn.IFNA(VLOOKUP("4"&amp;B438,CountSpecific!E:F,2,0),"")</f>
        <v/>
      </c>
    </row>
    <row r="439" spans="1:16" customFormat="1" x14ac:dyDescent="0.25">
      <c r="A439" s="7">
        <v>438</v>
      </c>
      <c r="B439" s="11" t="s">
        <v>454</v>
      </c>
      <c r="C439" s="7" t="s">
        <v>1039</v>
      </c>
      <c r="D439" s="7">
        <v>438</v>
      </c>
      <c r="E439" s="9">
        <v>438</v>
      </c>
      <c r="F439" s="7">
        <v>438</v>
      </c>
      <c r="G439" s="11" t="s">
        <v>1025</v>
      </c>
      <c r="H439" s="20">
        <v>466661</v>
      </c>
      <c r="I439" s="12">
        <v>44870</v>
      </c>
      <c r="J439" s="12">
        <v>45143</v>
      </c>
      <c r="K439" s="25">
        <v>362362</v>
      </c>
      <c r="L439" s="23">
        <v>104299</v>
      </c>
      <c r="M439" s="11"/>
      <c r="N439" s="7" t="str">
        <f ca="1">_xlfn.IFNA(VLOOKUP("2"&amp;B439,CountSpecific!E:F,2,0),"")</f>
        <v/>
      </c>
      <c r="O439" s="14" t="str">
        <f ca="1">_xlfn.IFNA(VLOOKUP("3"&amp;B439,CountSpecific!E:F,2,0),"")</f>
        <v/>
      </c>
      <c r="P439" s="7" t="str">
        <f ca="1">_xlfn.IFNA(VLOOKUP("4"&amp;B439,CountSpecific!E:F,2,0),"")</f>
        <v/>
      </c>
    </row>
    <row r="440" spans="1:16" customFormat="1" x14ac:dyDescent="0.25">
      <c r="A440" s="7">
        <v>439</v>
      </c>
      <c r="B440" s="11" t="s">
        <v>455</v>
      </c>
      <c r="C440" s="7" t="s">
        <v>1039</v>
      </c>
      <c r="D440" s="7">
        <v>439</v>
      </c>
      <c r="E440" s="7">
        <v>439</v>
      </c>
      <c r="F440" s="7">
        <v>439</v>
      </c>
      <c r="G440" s="11" t="s">
        <v>1025</v>
      </c>
      <c r="H440" s="20">
        <v>191848</v>
      </c>
      <c r="I440" s="12">
        <v>44140</v>
      </c>
      <c r="J440" s="12">
        <v>44809</v>
      </c>
      <c r="K440" s="25">
        <v>100808</v>
      </c>
      <c r="L440" s="23">
        <v>91040</v>
      </c>
      <c r="M440" s="11"/>
      <c r="N440" s="7" t="str">
        <f ca="1">_xlfn.IFNA(VLOOKUP("2"&amp;B440,CountSpecific!E:F,2,0),"")</f>
        <v/>
      </c>
      <c r="O440" s="14" t="str">
        <f ca="1">_xlfn.IFNA(VLOOKUP("3"&amp;B440,CountSpecific!E:F,2,0),"")</f>
        <v/>
      </c>
      <c r="P440" s="7" t="str">
        <f ca="1">_xlfn.IFNA(VLOOKUP("4"&amp;B440,CountSpecific!E:F,2,0),"")</f>
        <v/>
      </c>
    </row>
    <row r="441" spans="1:16" customFormat="1" x14ac:dyDescent="0.25">
      <c r="A441" s="7">
        <v>440</v>
      </c>
      <c r="B441" s="11" t="s">
        <v>456</v>
      </c>
      <c r="C441" s="7" t="s">
        <v>1039</v>
      </c>
      <c r="D441" s="7">
        <v>440</v>
      </c>
      <c r="E441" s="7">
        <v>440</v>
      </c>
      <c r="F441" s="7">
        <v>440</v>
      </c>
      <c r="G441" s="11" t="s">
        <v>1021</v>
      </c>
      <c r="H441" s="20">
        <v>20358</v>
      </c>
      <c r="I441" s="12">
        <v>44557</v>
      </c>
      <c r="J441" s="12">
        <v>45104</v>
      </c>
      <c r="K441" s="25">
        <v>16656</v>
      </c>
      <c r="L441" s="23">
        <v>3702</v>
      </c>
      <c r="M441" s="11"/>
      <c r="N441" s="7" t="str">
        <f ca="1">_xlfn.IFNA(VLOOKUP("2"&amp;B441,CountSpecific!E:F,2,0),"")</f>
        <v/>
      </c>
      <c r="O441" s="14" t="str">
        <f ca="1">_xlfn.IFNA(VLOOKUP("3"&amp;B441,CountSpecific!E:F,2,0),"")</f>
        <v/>
      </c>
      <c r="P441" s="7" t="str">
        <f ca="1">_xlfn.IFNA(VLOOKUP("4"&amp;B441,CountSpecific!E:F,2,0),"")</f>
        <v/>
      </c>
    </row>
    <row r="442" spans="1:16" customFormat="1" x14ac:dyDescent="0.25">
      <c r="A442" s="7">
        <v>441</v>
      </c>
      <c r="B442" s="11" t="s">
        <v>457</v>
      </c>
      <c r="C442" s="7" t="s">
        <v>1039</v>
      </c>
      <c r="D442" s="7">
        <v>441</v>
      </c>
      <c r="E442" s="9">
        <v>441</v>
      </c>
      <c r="F442" s="7">
        <v>441</v>
      </c>
      <c r="G442" s="11" t="s">
        <v>1016</v>
      </c>
      <c r="H442" s="20">
        <v>13834</v>
      </c>
      <c r="I442" s="12">
        <v>44675</v>
      </c>
      <c r="J442" s="12">
        <v>45254</v>
      </c>
      <c r="K442" s="25">
        <v>1817</v>
      </c>
      <c r="L442" s="23">
        <v>12017</v>
      </c>
      <c r="M442" s="11"/>
      <c r="N442" s="7" t="str">
        <f ca="1">_xlfn.IFNA(VLOOKUP("2"&amp;B442,CountSpecific!E:F,2,0),"")</f>
        <v/>
      </c>
      <c r="O442" s="14" t="str">
        <f ca="1">_xlfn.IFNA(VLOOKUP("3"&amp;B442,CountSpecific!E:F,2,0),"")</f>
        <v/>
      </c>
      <c r="P442" s="7" t="str">
        <f ca="1">_xlfn.IFNA(VLOOKUP("4"&amp;B442,CountSpecific!E:F,2,0),"")</f>
        <v/>
      </c>
    </row>
    <row r="443" spans="1:16" customFormat="1" x14ac:dyDescent="0.25">
      <c r="A443" s="7">
        <v>442</v>
      </c>
      <c r="B443" s="11" t="s">
        <v>458</v>
      </c>
      <c r="C443" s="7" t="s">
        <v>1039</v>
      </c>
      <c r="D443" s="7">
        <v>442</v>
      </c>
      <c r="E443" s="7">
        <v>442</v>
      </c>
      <c r="F443" s="7">
        <v>442</v>
      </c>
      <c r="G443" s="11" t="s">
        <v>1024</v>
      </c>
      <c r="H443" s="20">
        <v>647413</v>
      </c>
      <c r="I443" s="12">
        <v>45538</v>
      </c>
      <c r="J443" s="12">
        <v>46206</v>
      </c>
      <c r="K443" s="25">
        <v>377780</v>
      </c>
      <c r="L443" s="23">
        <v>269633</v>
      </c>
      <c r="M443" s="11"/>
      <c r="N443" s="7" t="str">
        <f ca="1">_xlfn.IFNA(VLOOKUP("2"&amp;B443,CountSpecific!E:F,2,0),"")</f>
        <v/>
      </c>
      <c r="O443" s="14" t="str">
        <f ca="1">_xlfn.IFNA(VLOOKUP("3"&amp;B443,CountSpecific!E:F,2,0),"")</f>
        <v/>
      </c>
      <c r="P443" s="7" t="str">
        <f ca="1">_xlfn.IFNA(VLOOKUP("4"&amp;B443,CountSpecific!E:F,2,0),"")</f>
        <v/>
      </c>
    </row>
    <row r="444" spans="1:16" customFormat="1" x14ac:dyDescent="0.25">
      <c r="A444" s="7">
        <v>443</v>
      </c>
      <c r="B444" s="11" t="s">
        <v>459</v>
      </c>
      <c r="C444" s="7" t="s">
        <v>1039</v>
      </c>
      <c r="D444" s="7">
        <v>443</v>
      </c>
      <c r="E444" s="7">
        <v>443</v>
      </c>
      <c r="F444" s="7">
        <v>443</v>
      </c>
      <c r="G444" s="11" t="s">
        <v>1022</v>
      </c>
      <c r="H444" s="20">
        <v>32690</v>
      </c>
      <c r="I444" s="12">
        <v>45403</v>
      </c>
      <c r="J444" s="12">
        <v>46043</v>
      </c>
      <c r="K444" s="25">
        <v>20886</v>
      </c>
      <c r="L444" s="23">
        <v>11804</v>
      </c>
      <c r="M444" s="11"/>
      <c r="N444" s="7" t="str">
        <f ca="1">_xlfn.IFNA(VLOOKUP("2"&amp;B444,CountSpecific!E:F,2,0),"")</f>
        <v/>
      </c>
      <c r="O444" s="14" t="str">
        <f ca="1">_xlfn.IFNA(VLOOKUP("3"&amp;B444,CountSpecific!E:F,2,0),"")</f>
        <v/>
      </c>
      <c r="P444" s="7" t="str">
        <f ca="1">_xlfn.IFNA(VLOOKUP("4"&amp;B444,CountSpecific!E:F,2,0),"")</f>
        <v/>
      </c>
    </row>
    <row r="445" spans="1:16" customFormat="1" x14ac:dyDescent="0.25">
      <c r="A445" s="7">
        <v>444</v>
      </c>
      <c r="B445" s="11" t="s">
        <v>460</v>
      </c>
      <c r="C445" s="7" t="s">
        <v>1039</v>
      </c>
      <c r="D445" s="7">
        <v>444</v>
      </c>
      <c r="E445" s="9">
        <v>444</v>
      </c>
      <c r="F445" s="7">
        <v>444</v>
      </c>
      <c r="G445" s="11" t="s">
        <v>1020</v>
      </c>
      <c r="H445" s="20">
        <v>493910</v>
      </c>
      <c r="I445" s="12">
        <v>44421</v>
      </c>
      <c r="J445" s="12">
        <v>44725</v>
      </c>
      <c r="K445" s="25">
        <v>58216</v>
      </c>
      <c r="L445" s="23">
        <v>435694</v>
      </c>
      <c r="M445" s="11"/>
      <c r="N445" s="7" t="str">
        <f ca="1">_xlfn.IFNA(VLOOKUP("2"&amp;B445,CountSpecific!E:F,2,0),"")</f>
        <v/>
      </c>
      <c r="O445" s="14" t="str">
        <f ca="1">_xlfn.IFNA(VLOOKUP("3"&amp;B445,CountSpecific!E:F,2,0),"")</f>
        <v/>
      </c>
      <c r="P445" s="7" t="str">
        <f ca="1">_xlfn.IFNA(VLOOKUP("4"&amp;B445,CountSpecific!E:F,2,0),"")</f>
        <v/>
      </c>
    </row>
    <row r="446" spans="1:16" customFormat="1" x14ac:dyDescent="0.25">
      <c r="A446" s="7">
        <v>445</v>
      </c>
      <c r="B446" s="11" t="s">
        <v>461</v>
      </c>
      <c r="C446" s="7" t="s">
        <v>1039</v>
      </c>
      <c r="D446" s="7">
        <v>445</v>
      </c>
      <c r="E446" s="7">
        <v>445</v>
      </c>
      <c r="F446" s="7">
        <v>445</v>
      </c>
      <c r="G446" s="11" t="s">
        <v>1023</v>
      </c>
      <c r="H446" s="20">
        <v>422</v>
      </c>
      <c r="I446" s="12">
        <v>45409</v>
      </c>
      <c r="J446" s="12">
        <v>45804</v>
      </c>
      <c r="K446" s="25">
        <v>104</v>
      </c>
      <c r="L446" s="23">
        <v>318</v>
      </c>
      <c r="M446" s="11"/>
      <c r="N446" s="7" t="str">
        <f ca="1">_xlfn.IFNA(VLOOKUP("2"&amp;B446,CountSpecific!E:F,2,0),"")</f>
        <v/>
      </c>
      <c r="O446" s="14" t="str">
        <f ca="1">_xlfn.IFNA(VLOOKUP("3"&amp;B446,CountSpecific!E:F,2,0),"")</f>
        <v/>
      </c>
      <c r="P446" s="7" t="str">
        <f ca="1">_xlfn.IFNA(VLOOKUP("4"&amp;B446,CountSpecific!E:F,2,0),"")</f>
        <v/>
      </c>
    </row>
    <row r="447" spans="1:16" customFormat="1" x14ac:dyDescent="0.25">
      <c r="A447" s="7">
        <v>446</v>
      </c>
      <c r="B447" s="11" t="s">
        <v>462</v>
      </c>
      <c r="C447" s="7" t="s">
        <v>1039</v>
      </c>
      <c r="D447" s="7">
        <v>446</v>
      </c>
      <c r="E447" s="7">
        <v>446</v>
      </c>
      <c r="F447" s="7">
        <v>446</v>
      </c>
      <c r="G447" s="11" t="s">
        <v>1024</v>
      </c>
      <c r="H447" s="20">
        <v>850757</v>
      </c>
      <c r="I447" s="12">
        <v>45240</v>
      </c>
      <c r="J447" s="12">
        <v>45971</v>
      </c>
      <c r="K447" s="25">
        <v>1973</v>
      </c>
      <c r="L447" s="23">
        <v>848784</v>
      </c>
      <c r="M447" s="11"/>
      <c r="N447" s="7" t="str">
        <f ca="1">_xlfn.IFNA(VLOOKUP("2"&amp;B447,CountSpecific!E:F,2,0),"")</f>
        <v/>
      </c>
      <c r="O447" s="14" t="str">
        <f ca="1">_xlfn.IFNA(VLOOKUP("3"&amp;B447,CountSpecific!E:F,2,0),"")</f>
        <v/>
      </c>
      <c r="P447" s="7" t="str">
        <f ca="1">_xlfn.IFNA(VLOOKUP("4"&amp;B447,CountSpecific!E:F,2,0),"")</f>
        <v/>
      </c>
    </row>
    <row r="448" spans="1:16" customFormat="1" x14ac:dyDescent="0.25">
      <c r="A448" s="7">
        <v>447</v>
      </c>
      <c r="B448" s="11" t="s">
        <v>463</v>
      </c>
      <c r="C448" s="7" t="s">
        <v>1039</v>
      </c>
      <c r="D448" s="7">
        <v>447</v>
      </c>
      <c r="E448" s="9">
        <v>447</v>
      </c>
      <c r="F448" s="7">
        <v>447</v>
      </c>
      <c r="G448" s="11" t="s">
        <v>1024</v>
      </c>
      <c r="H448" s="20">
        <v>429430</v>
      </c>
      <c r="I448" s="12">
        <v>44605</v>
      </c>
      <c r="J448" s="12">
        <v>45243</v>
      </c>
      <c r="K448" s="25">
        <v>216316</v>
      </c>
      <c r="L448" s="23">
        <v>213114</v>
      </c>
      <c r="M448" s="11"/>
      <c r="N448" s="7" t="str">
        <f ca="1">_xlfn.IFNA(VLOOKUP("2"&amp;B448,CountSpecific!E:F,2,0),"")</f>
        <v/>
      </c>
      <c r="O448" s="14" t="str">
        <f ca="1">_xlfn.IFNA(VLOOKUP("3"&amp;B448,CountSpecific!E:F,2,0),"")</f>
        <v/>
      </c>
      <c r="P448" s="7" t="str">
        <f ca="1">_xlfn.IFNA(VLOOKUP("4"&amp;B448,CountSpecific!E:F,2,0),"")</f>
        <v/>
      </c>
    </row>
    <row r="449" spans="1:16" customFormat="1" x14ac:dyDescent="0.25">
      <c r="A449" s="7">
        <v>448</v>
      </c>
      <c r="B449" s="11" t="s">
        <v>464</v>
      </c>
      <c r="C449" s="7" t="s">
        <v>1039</v>
      </c>
      <c r="D449" s="7">
        <v>448</v>
      </c>
      <c r="E449" s="7">
        <v>448</v>
      </c>
      <c r="F449" s="7">
        <v>448</v>
      </c>
      <c r="G449" s="11" t="s">
        <v>1026</v>
      </c>
      <c r="H449" s="20">
        <v>3777348</v>
      </c>
      <c r="I449" s="12">
        <v>44100</v>
      </c>
      <c r="J449" s="12">
        <v>44799</v>
      </c>
      <c r="K449" s="25">
        <v>2221244</v>
      </c>
      <c r="L449" s="23">
        <v>1556104</v>
      </c>
      <c r="M449" s="11"/>
      <c r="N449" s="7" t="str">
        <f ca="1">_xlfn.IFNA(VLOOKUP("2"&amp;B449,CountSpecific!E:F,2,0),"")</f>
        <v/>
      </c>
      <c r="O449" s="14" t="str">
        <f ca="1">_xlfn.IFNA(VLOOKUP("3"&amp;B449,CountSpecific!E:F,2,0),"")</f>
        <v/>
      </c>
      <c r="P449" s="7" t="str">
        <f ca="1">_xlfn.IFNA(VLOOKUP("4"&amp;B449,CountSpecific!E:F,2,0),"")</f>
        <v/>
      </c>
    </row>
    <row r="450" spans="1:16" customFormat="1" x14ac:dyDescent="0.25">
      <c r="A450" s="7">
        <v>449</v>
      </c>
      <c r="B450" s="11" t="s">
        <v>465</v>
      </c>
      <c r="C450" s="7" t="s">
        <v>1039</v>
      </c>
      <c r="D450" s="7">
        <v>449</v>
      </c>
      <c r="E450" s="7">
        <v>449</v>
      </c>
      <c r="F450" s="7">
        <v>449</v>
      </c>
      <c r="G450" s="11" t="s">
        <v>1016</v>
      </c>
      <c r="H450" s="20">
        <v>7785</v>
      </c>
      <c r="I450" s="12">
        <v>44436</v>
      </c>
      <c r="J450" s="12">
        <v>44954</v>
      </c>
      <c r="K450" s="25">
        <v>7316</v>
      </c>
      <c r="L450" s="23">
        <v>469</v>
      </c>
      <c r="M450" s="11"/>
      <c r="N450" s="7" t="str">
        <f ca="1">_xlfn.IFNA(VLOOKUP("2"&amp;B450,CountSpecific!E:F,2,0),"")</f>
        <v/>
      </c>
      <c r="O450" s="14" t="str">
        <f ca="1">_xlfn.IFNA(VLOOKUP("3"&amp;B450,CountSpecific!E:F,2,0),"")</f>
        <v/>
      </c>
      <c r="P450" s="7" t="str">
        <f ca="1">_xlfn.IFNA(VLOOKUP("4"&amp;B450,CountSpecific!E:F,2,0),"")</f>
        <v/>
      </c>
    </row>
    <row r="451" spans="1:16" customFormat="1" x14ac:dyDescent="0.25">
      <c r="A451" s="7">
        <v>450</v>
      </c>
      <c r="B451" s="11" t="s">
        <v>466</v>
      </c>
      <c r="C451" s="7" t="s">
        <v>1039</v>
      </c>
      <c r="D451" s="7">
        <v>450</v>
      </c>
      <c r="E451" s="9">
        <v>450</v>
      </c>
      <c r="F451" s="7">
        <v>450</v>
      </c>
      <c r="G451" s="11" t="s">
        <v>1021</v>
      </c>
      <c r="H451" s="20">
        <v>50531</v>
      </c>
      <c r="I451" s="12">
        <v>45077</v>
      </c>
      <c r="J451" s="12">
        <v>45808</v>
      </c>
      <c r="K451" s="25">
        <v>39903</v>
      </c>
      <c r="L451" s="23">
        <v>10628</v>
      </c>
      <c r="M451" s="11"/>
      <c r="N451" s="7" t="str">
        <f ca="1">_xlfn.IFNA(VLOOKUP("2"&amp;B451,CountSpecific!E:F,2,0),"")</f>
        <v/>
      </c>
      <c r="O451" s="14" t="str">
        <f ca="1">_xlfn.IFNA(VLOOKUP("3"&amp;B451,CountSpecific!E:F,2,0),"")</f>
        <v/>
      </c>
      <c r="P451" s="7" t="str">
        <f ca="1">_xlfn.IFNA(VLOOKUP("4"&amp;B451,CountSpecific!E:F,2,0),"")</f>
        <v/>
      </c>
    </row>
    <row r="452" spans="1:16" customFormat="1" x14ac:dyDescent="0.25">
      <c r="A452" s="7">
        <v>451</v>
      </c>
      <c r="B452" s="11" t="s">
        <v>467</v>
      </c>
      <c r="C452" s="7" t="s">
        <v>1039</v>
      </c>
      <c r="D452" s="7">
        <v>451</v>
      </c>
      <c r="E452" s="7">
        <v>451</v>
      </c>
      <c r="F452" s="7">
        <v>451</v>
      </c>
      <c r="G452" s="11" t="s">
        <v>1021</v>
      </c>
      <c r="H452" s="20">
        <v>53944</v>
      </c>
      <c r="I452" s="12">
        <v>44249</v>
      </c>
      <c r="J452" s="12">
        <v>44856</v>
      </c>
      <c r="K452" s="25">
        <v>17311</v>
      </c>
      <c r="L452" s="23">
        <v>36633</v>
      </c>
      <c r="M452" s="11"/>
      <c r="N452" s="7" t="str">
        <f ca="1">_xlfn.IFNA(VLOOKUP("2"&amp;B452,CountSpecific!E:F,2,0),"")</f>
        <v/>
      </c>
      <c r="O452" s="14" t="str">
        <f ca="1">_xlfn.IFNA(VLOOKUP("3"&amp;B452,CountSpecific!E:F,2,0),"")</f>
        <v/>
      </c>
      <c r="P452" s="7" t="str">
        <f ca="1">_xlfn.IFNA(VLOOKUP("4"&amp;B452,CountSpecific!E:F,2,0),"")</f>
        <v/>
      </c>
    </row>
    <row r="453" spans="1:16" customFormat="1" x14ac:dyDescent="0.25">
      <c r="A453" s="7">
        <v>452</v>
      </c>
      <c r="B453" s="11" t="s">
        <v>468</v>
      </c>
      <c r="C453" s="7" t="s">
        <v>1039</v>
      </c>
      <c r="D453" s="7">
        <v>452</v>
      </c>
      <c r="E453" s="7">
        <v>452</v>
      </c>
      <c r="F453" s="7">
        <v>452</v>
      </c>
      <c r="G453" s="11" t="s">
        <v>1022</v>
      </c>
      <c r="H453" s="20">
        <v>11024</v>
      </c>
      <c r="I453" s="12">
        <v>43899</v>
      </c>
      <c r="J453" s="12">
        <v>44295</v>
      </c>
      <c r="K453" s="25">
        <v>5023</v>
      </c>
      <c r="L453" s="23">
        <v>6001</v>
      </c>
      <c r="M453" s="11"/>
      <c r="N453" s="7" t="str">
        <f ca="1">_xlfn.IFNA(VLOOKUP("2"&amp;B453,CountSpecific!E:F,2,0),"")</f>
        <v/>
      </c>
      <c r="O453" s="14" t="str">
        <f ca="1">_xlfn.IFNA(VLOOKUP("3"&amp;B453,CountSpecific!E:F,2,0),"")</f>
        <v/>
      </c>
      <c r="P453" s="7" t="str">
        <f ca="1">_xlfn.IFNA(VLOOKUP("4"&amp;B453,CountSpecific!E:F,2,0),"")</f>
        <v/>
      </c>
    </row>
    <row r="454" spans="1:16" customFormat="1" x14ac:dyDescent="0.25">
      <c r="A454" s="7">
        <v>453</v>
      </c>
      <c r="B454" s="11" t="s">
        <v>469</v>
      </c>
      <c r="C454" s="7" t="s">
        <v>1039</v>
      </c>
      <c r="D454" s="7">
        <v>453</v>
      </c>
      <c r="E454" s="9">
        <v>453</v>
      </c>
      <c r="F454" s="7">
        <v>453</v>
      </c>
      <c r="G454" s="11" t="s">
        <v>1016</v>
      </c>
      <c r="H454" s="20">
        <v>35637</v>
      </c>
      <c r="I454" s="12">
        <v>45572</v>
      </c>
      <c r="J454" s="12">
        <v>46302</v>
      </c>
      <c r="K454" s="25">
        <v>23275</v>
      </c>
      <c r="L454" s="23">
        <v>12362</v>
      </c>
      <c r="M454" s="11"/>
      <c r="N454" s="7" t="str">
        <f ca="1">_xlfn.IFNA(VLOOKUP("2"&amp;B454,CountSpecific!E:F,2,0),"")</f>
        <v/>
      </c>
      <c r="O454" s="14" t="str">
        <f ca="1">_xlfn.IFNA(VLOOKUP("3"&amp;B454,CountSpecific!E:F,2,0),"")</f>
        <v/>
      </c>
      <c r="P454" s="7" t="str">
        <f ca="1">_xlfn.IFNA(VLOOKUP("4"&amp;B454,CountSpecific!E:F,2,0),"")</f>
        <v/>
      </c>
    </row>
    <row r="455" spans="1:16" customFormat="1" x14ac:dyDescent="0.25">
      <c r="A455" s="7">
        <v>454</v>
      </c>
      <c r="B455" s="11" t="s">
        <v>470</v>
      </c>
      <c r="C455" s="7" t="s">
        <v>1039</v>
      </c>
      <c r="D455" s="7">
        <v>454</v>
      </c>
      <c r="E455" s="7">
        <v>454</v>
      </c>
      <c r="F455" s="7">
        <v>454</v>
      </c>
      <c r="G455" s="11" t="s">
        <v>1026</v>
      </c>
      <c r="H455" s="20">
        <v>3136588</v>
      </c>
      <c r="I455" s="12">
        <v>45343</v>
      </c>
      <c r="J455" s="12">
        <v>45525</v>
      </c>
      <c r="K455" s="25">
        <v>402175</v>
      </c>
      <c r="L455" s="23">
        <v>2734413</v>
      </c>
      <c r="M455" s="11"/>
      <c r="N455" s="7" t="str">
        <f ca="1">_xlfn.IFNA(VLOOKUP("2"&amp;B455,CountSpecific!E:F,2,0),"")</f>
        <v/>
      </c>
      <c r="O455" s="14" t="str">
        <f ca="1">_xlfn.IFNA(VLOOKUP("3"&amp;B455,CountSpecific!E:F,2,0),"")</f>
        <v/>
      </c>
      <c r="P455" s="7" t="str">
        <f ca="1">_xlfn.IFNA(VLOOKUP("4"&amp;B455,CountSpecific!E:F,2,0),"")</f>
        <v/>
      </c>
    </row>
    <row r="456" spans="1:16" customFormat="1" x14ac:dyDescent="0.25">
      <c r="A456" s="7">
        <v>455</v>
      </c>
      <c r="B456" s="11" t="s">
        <v>471</v>
      </c>
      <c r="C456" s="7" t="s">
        <v>1039</v>
      </c>
      <c r="D456" s="7">
        <v>455</v>
      </c>
      <c r="E456" s="7">
        <v>455</v>
      </c>
      <c r="F456" s="7">
        <v>455</v>
      </c>
      <c r="G456" s="11" t="s">
        <v>1023</v>
      </c>
      <c r="H456" s="20">
        <v>366</v>
      </c>
      <c r="I456" s="12">
        <v>44044</v>
      </c>
      <c r="J456" s="12">
        <v>44652</v>
      </c>
      <c r="K456" s="25">
        <v>146</v>
      </c>
      <c r="L456" s="23">
        <v>220</v>
      </c>
      <c r="M456" s="11"/>
      <c r="N456" s="7" t="str">
        <f ca="1">_xlfn.IFNA(VLOOKUP("2"&amp;B456,CountSpecific!E:F,2,0),"")</f>
        <v/>
      </c>
      <c r="O456" s="14" t="str">
        <f ca="1">_xlfn.IFNA(VLOOKUP("3"&amp;B456,CountSpecific!E:F,2,0),"")</f>
        <v/>
      </c>
      <c r="P456" s="7" t="str">
        <f ca="1">_xlfn.IFNA(VLOOKUP("4"&amp;B456,CountSpecific!E:F,2,0),"")</f>
        <v/>
      </c>
    </row>
    <row r="457" spans="1:16" customFormat="1" x14ac:dyDescent="0.25">
      <c r="A457" s="7">
        <v>456</v>
      </c>
      <c r="B457" s="11" t="s">
        <v>472</v>
      </c>
      <c r="C457" s="7" t="s">
        <v>1039</v>
      </c>
      <c r="D457" s="7">
        <v>456</v>
      </c>
      <c r="E457" s="9">
        <v>456</v>
      </c>
      <c r="F457" s="7">
        <v>456</v>
      </c>
      <c r="G457" s="11" t="s">
        <v>1027</v>
      </c>
      <c r="H457" s="20">
        <v>29961</v>
      </c>
      <c r="I457" s="12">
        <v>45459</v>
      </c>
      <c r="J457" s="12">
        <v>45673</v>
      </c>
      <c r="K457" s="25">
        <v>15047</v>
      </c>
      <c r="L457" s="23">
        <v>14914</v>
      </c>
      <c r="M457" s="11"/>
      <c r="N457" s="7" t="str">
        <f ca="1">_xlfn.IFNA(VLOOKUP("2"&amp;B457,CountSpecific!E:F,2,0),"")</f>
        <v/>
      </c>
      <c r="O457" s="14" t="str">
        <f ca="1">_xlfn.IFNA(VLOOKUP("3"&amp;B457,CountSpecific!E:F,2,0),"")</f>
        <v/>
      </c>
      <c r="P457" s="7" t="str">
        <f ca="1">_xlfn.IFNA(VLOOKUP("4"&amp;B457,CountSpecific!E:F,2,0),"")</f>
        <v/>
      </c>
    </row>
    <row r="458" spans="1:16" customFormat="1" x14ac:dyDescent="0.25">
      <c r="A458" s="7">
        <v>457</v>
      </c>
      <c r="B458" s="11" t="s">
        <v>473</v>
      </c>
      <c r="C458" s="7" t="s">
        <v>1039</v>
      </c>
      <c r="D458" s="7">
        <v>457</v>
      </c>
      <c r="E458" s="7">
        <v>457</v>
      </c>
      <c r="F458" s="7">
        <v>457</v>
      </c>
      <c r="G458" s="11" t="s">
        <v>1024</v>
      </c>
      <c r="H458" s="20">
        <v>415631</v>
      </c>
      <c r="I458" s="12">
        <v>44260</v>
      </c>
      <c r="J458" s="12">
        <v>44686</v>
      </c>
      <c r="K458" s="25">
        <v>390224</v>
      </c>
      <c r="L458" s="23">
        <v>25407</v>
      </c>
      <c r="M458" s="11"/>
      <c r="N458" s="7" t="str">
        <f ca="1">_xlfn.IFNA(VLOOKUP("2"&amp;B458,CountSpecific!E:F,2,0),"")</f>
        <v/>
      </c>
      <c r="O458" s="14" t="str">
        <f ca="1">_xlfn.IFNA(VLOOKUP("3"&amp;B458,CountSpecific!E:F,2,0),"")</f>
        <v/>
      </c>
      <c r="P458" s="7" t="str">
        <f ca="1">_xlfn.IFNA(VLOOKUP("4"&amp;B458,CountSpecific!E:F,2,0),"")</f>
        <v/>
      </c>
    </row>
    <row r="459" spans="1:16" customFormat="1" x14ac:dyDescent="0.25">
      <c r="A459" s="7">
        <v>458</v>
      </c>
      <c r="B459" s="11" t="s">
        <v>474</v>
      </c>
      <c r="C459" s="7" t="s">
        <v>1039</v>
      </c>
      <c r="D459" s="7">
        <v>458</v>
      </c>
      <c r="E459" s="7">
        <v>458</v>
      </c>
      <c r="F459" s="7">
        <v>458</v>
      </c>
      <c r="G459" s="11" t="s">
        <v>1022</v>
      </c>
      <c r="H459" s="20">
        <v>22966</v>
      </c>
      <c r="I459" s="12">
        <v>44544</v>
      </c>
      <c r="J459" s="12">
        <v>44787</v>
      </c>
      <c r="K459" s="25">
        <v>7275</v>
      </c>
      <c r="L459" s="23">
        <v>15691</v>
      </c>
      <c r="M459" s="11"/>
      <c r="N459" s="7" t="str">
        <f ca="1">_xlfn.IFNA(VLOOKUP("2"&amp;B459,CountSpecific!E:F,2,0),"")</f>
        <v/>
      </c>
      <c r="O459" s="14" t="str">
        <f ca="1">_xlfn.IFNA(VLOOKUP("3"&amp;B459,CountSpecific!E:F,2,0),"")</f>
        <v/>
      </c>
      <c r="P459" s="7" t="str">
        <f ca="1">_xlfn.IFNA(VLOOKUP("4"&amp;B459,CountSpecific!E:F,2,0),"")</f>
        <v/>
      </c>
    </row>
    <row r="460" spans="1:16" customFormat="1" x14ac:dyDescent="0.25">
      <c r="A460" s="7">
        <v>459</v>
      </c>
      <c r="B460" s="11" t="s">
        <v>475</v>
      </c>
      <c r="C460" s="7" t="s">
        <v>1039</v>
      </c>
      <c r="D460" s="7">
        <v>459</v>
      </c>
      <c r="E460" s="9">
        <v>459</v>
      </c>
      <c r="F460" s="7">
        <v>459</v>
      </c>
      <c r="G460" s="11" t="s">
        <v>1027</v>
      </c>
      <c r="H460" s="20">
        <v>28527</v>
      </c>
      <c r="I460" s="12">
        <v>44916</v>
      </c>
      <c r="J460" s="12">
        <v>44947</v>
      </c>
      <c r="K460" s="25">
        <v>21713</v>
      </c>
      <c r="L460" s="23">
        <v>6814</v>
      </c>
      <c r="M460" s="11"/>
      <c r="N460" s="7" t="str">
        <f ca="1">_xlfn.IFNA(VLOOKUP("2"&amp;B460,CountSpecific!E:F,2,0),"")</f>
        <v/>
      </c>
      <c r="O460" s="14" t="str">
        <f ca="1">_xlfn.IFNA(VLOOKUP("3"&amp;B460,CountSpecific!E:F,2,0),"")</f>
        <v/>
      </c>
      <c r="P460" s="7" t="str">
        <f ca="1">_xlfn.IFNA(VLOOKUP("4"&amp;B460,CountSpecific!E:F,2,0),"")</f>
        <v/>
      </c>
    </row>
    <row r="461" spans="1:16" customFormat="1" x14ac:dyDescent="0.25">
      <c r="A461" s="7">
        <v>460</v>
      </c>
      <c r="B461" s="11" t="s">
        <v>476</v>
      </c>
      <c r="C461" s="7" t="s">
        <v>1039</v>
      </c>
      <c r="D461" s="7">
        <v>460</v>
      </c>
      <c r="E461" s="7">
        <v>460</v>
      </c>
      <c r="F461" s="7">
        <v>460</v>
      </c>
      <c r="G461" s="11" t="s">
        <v>1022</v>
      </c>
      <c r="H461" s="20">
        <v>15521</v>
      </c>
      <c r="I461" s="12">
        <v>45585</v>
      </c>
      <c r="J461" s="12">
        <v>46162</v>
      </c>
      <c r="K461" s="25">
        <v>9603</v>
      </c>
      <c r="L461" s="23">
        <v>5918</v>
      </c>
      <c r="M461" s="11"/>
      <c r="N461" s="7" t="str">
        <f ca="1">_xlfn.IFNA(VLOOKUP("2"&amp;B461,CountSpecific!E:F,2,0),"")</f>
        <v/>
      </c>
      <c r="O461" s="14" t="str">
        <f ca="1">_xlfn.IFNA(VLOOKUP("3"&amp;B461,CountSpecific!E:F,2,0),"")</f>
        <v/>
      </c>
      <c r="P461" s="7" t="str">
        <f ca="1">_xlfn.IFNA(VLOOKUP("4"&amp;B461,CountSpecific!E:F,2,0),"")</f>
        <v/>
      </c>
    </row>
    <row r="462" spans="1:16" customFormat="1" x14ac:dyDescent="0.25">
      <c r="A462" s="7">
        <v>461</v>
      </c>
      <c r="B462" s="11" t="s">
        <v>477</v>
      </c>
      <c r="C462" s="7" t="s">
        <v>1039</v>
      </c>
      <c r="D462" s="7">
        <v>461</v>
      </c>
      <c r="E462" s="7">
        <v>461</v>
      </c>
      <c r="F462" s="7">
        <v>461</v>
      </c>
      <c r="G462" s="11" t="s">
        <v>1020</v>
      </c>
      <c r="H462" s="20">
        <v>154270</v>
      </c>
      <c r="I462" s="12">
        <v>44500</v>
      </c>
      <c r="J462" s="12">
        <v>45169</v>
      </c>
      <c r="K462" s="25">
        <v>142876</v>
      </c>
      <c r="L462" s="23">
        <v>11394</v>
      </c>
      <c r="M462" s="11"/>
      <c r="N462" s="7" t="str">
        <f ca="1">_xlfn.IFNA(VLOOKUP("2"&amp;B462,CountSpecific!E:F,2,0),"")</f>
        <v/>
      </c>
      <c r="O462" s="14" t="str">
        <f ca="1">_xlfn.IFNA(VLOOKUP("3"&amp;B462,CountSpecific!E:F,2,0),"")</f>
        <v/>
      </c>
      <c r="P462" s="7" t="str">
        <f ca="1">_xlfn.IFNA(VLOOKUP("4"&amp;B462,CountSpecific!E:F,2,0),"")</f>
        <v/>
      </c>
    </row>
    <row r="463" spans="1:16" customFormat="1" x14ac:dyDescent="0.25">
      <c r="A463" s="7">
        <v>462</v>
      </c>
      <c r="B463" s="11" t="s">
        <v>478</v>
      </c>
      <c r="C463" s="7" t="s">
        <v>1039</v>
      </c>
      <c r="D463" s="7">
        <v>462</v>
      </c>
      <c r="E463" s="9">
        <v>462</v>
      </c>
      <c r="F463" s="7">
        <v>462</v>
      </c>
      <c r="G463" s="11" t="s">
        <v>1016</v>
      </c>
      <c r="H463" s="20">
        <v>45622</v>
      </c>
      <c r="I463" s="12">
        <v>45442</v>
      </c>
      <c r="J463" s="12">
        <v>46081</v>
      </c>
      <c r="K463" s="25">
        <v>42821</v>
      </c>
      <c r="L463" s="23">
        <v>2801</v>
      </c>
      <c r="M463" s="11"/>
      <c r="N463" s="7" t="str">
        <f ca="1">_xlfn.IFNA(VLOOKUP("2"&amp;B463,CountSpecific!E:F,2,0),"")</f>
        <v/>
      </c>
      <c r="O463" s="14" t="str">
        <f ca="1">_xlfn.IFNA(VLOOKUP("3"&amp;B463,CountSpecific!E:F,2,0),"")</f>
        <v/>
      </c>
      <c r="P463" s="7" t="str">
        <f ca="1">_xlfn.IFNA(VLOOKUP("4"&amp;B463,CountSpecific!E:F,2,0),"")</f>
        <v/>
      </c>
    </row>
    <row r="464" spans="1:16" customFormat="1" x14ac:dyDescent="0.25">
      <c r="A464" s="7">
        <v>463</v>
      </c>
      <c r="B464" s="11" t="s">
        <v>479</v>
      </c>
      <c r="C464" s="7" t="s">
        <v>1039</v>
      </c>
      <c r="D464" s="7">
        <v>463</v>
      </c>
      <c r="E464" s="7">
        <v>463</v>
      </c>
      <c r="F464" s="7">
        <v>463</v>
      </c>
      <c r="G464" s="11" t="s">
        <v>1020</v>
      </c>
      <c r="H464" s="20">
        <v>274145</v>
      </c>
      <c r="I464" s="12">
        <v>44240</v>
      </c>
      <c r="J464" s="12">
        <v>44725</v>
      </c>
      <c r="K464" s="25">
        <v>164754</v>
      </c>
      <c r="L464" s="23">
        <v>109391</v>
      </c>
      <c r="M464" s="11"/>
      <c r="N464" s="7" t="str">
        <f ca="1">_xlfn.IFNA(VLOOKUP("2"&amp;B464,CountSpecific!E:F,2,0),"")</f>
        <v/>
      </c>
      <c r="O464" s="14" t="str">
        <f ca="1">_xlfn.IFNA(VLOOKUP("3"&amp;B464,CountSpecific!E:F,2,0),"")</f>
        <v/>
      </c>
      <c r="P464" s="7" t="str">
        <f ca="1">_xlfn.IFNA(VLOOKUP("4"&amp;B464,CountSpecific!E:F,2,0),"")</f>
        <v/>
      </c>
    </row>
    <row r="465" spans="1:16" customFormat="1" x14ac:dyDescent="0.25">
      <c r="A465" s="7">
        <v>464</v>
      </c>
      <c r="B465" s="11" t="s">
        <v>480</v>
      </c>
      <c r="C465" s="7" t="s">
        <v>1039</v>
      </c>
      <c r="D465" s="7">
        <v>464</v>
      </c>
      <c r="E465" s="7">
        <v>464</v>
      </c>
      <c r="F465" s="7">
        <v>464</v>
      </c>
      <c r="G465" s="11" t="s">
        <v>1023</v>
      </c>
      <c r="H465" s="20">
        <v>254</v>
      </c>
      <c r="I465" s="12">
        <v>45656</v>
      </c>
      <c r="J465" s="12">
        <v>46111</v>
      </c>
      <c r="K465" s="25">
        <v>47</v>
      </c>
      <c r="L465" s="23">
        <v>207</v>
      </c>
      <c r="M465" s="11"/>
      <c r="N465" s="7" t="str">
        <f ca="1">_xlfn.IFNA(VLOOKUP("2"&amp;B465,CountSpecific!E:F,2,0),"")</f>
        <v/>
      </c>
      <c r="O465" s="14" t="str">
        <f ca="1">_xlfn.IFNA(VLOOKUP("3"&amp;B465,CountSpecific!E:F,2,0),"")</f>
        <v/>
      </c>
      <c r="P465" s="7" t="str">
        <f ca="1">_xlfn.IFNA(VLOOKUP("4"&amp;B465,CountSpecific!E:F,2,0),"")</f>
        <v/>
      </c>
    </row>
    <row r="466" spans="1:16" customFormat="1" x14ac:dyDescent="0.25">
      <c r="A466" s="7">
        <v>465</v>
      </c>
      <c r="B466" s="11" t="s">
        <v>481</v>
      </c>
      <c r="C466" s="7" t="s">
        <v>1039</v>
      </c>
      <c r="D466" s="7">
        <v>465</v>
      </c>
      <c r="E466" s="9">
        <v>465</v>
      </c>
      <c r="F466" s="7">
        <v>465</v>
      </c>
      <c r="G466" s="11" t="s">
        <v>1020</v>
      </c>
      <c r="H466" s="20">
        <v>103234</v>
      </c>
      <c r="I466" s="12">
        <v>45465</v>
      </c>
      <c r="J466" s="12">
        <v>45618</v>
      </c>
      <c r="K466" s="25">
        <v>59404</v>
      </c>
      <c r="L466" s="23">
        <v>43830</v>
      </c>
      <c r="M466" s="11"/>
      <c r="N466" s="7" t="str">
        <f ca="1">_xlfn.IFNA(VLOOKUP("2"&amp;B466,CountSpecific!E:F,2,0),"")</f>
        <v/>
      </c>
      <c r="O466" s="14" t="str">
        <f ca="1">_xlfn.IFNA(VLOOKUP("3"&amp;B466,CountSpecific!E:F,2,0),"")</f>
        <v/>
      </c>
      <c r="P466" s="7" t="str">
        <f ca="1">_xlfn.IFNA(VLOOKUP("4"&amp;B466,CountSpecific!E:F,2,0),"")</f>
        <v/>
      </c>
    </row>
    <row r="467" spans="1:16" customFormat="1" x14ac:dyDescent="0.25">
      <c r="A467" s="7">
        <v>466</v>
      </c>
      <c r="B467" s="11" t="s">
        <v>482</v>
      </c>
      <c r="C467" s="7" t="s">
        <v>1039</v>
      </c>
      <c r="D467" s="7">
        <v>466</v>
      </c>
      <c r="E467" s="7">
        <v>466</v>
      </c>
      <c r="F467" s="7">
        <v>466</v>
      </c>
      <c r="G467" s="11" t="s">
        <v>1023</v>
      </c>
      <c r="H467" s="20">
        <v>812</v>
      </c>
      <c r="I467" s="12">
        <v>45220</v>
      </c>
      <c r="J467" s="12">
        <v>45890</v>
      </c>
      <c r="K467" s="25">
        <v>216</v>
      </c>
      <c r="L467" s="23">
        <v>596</v>
      </c>
      <c r="M467" s="11"/>
      <c r="N467" s="7" t="str">
        <f ca="1">_xlfn.IFNA(VLOOKUP("2"&amp;B467,CountSpecific!E:F,2,0),"")</f>
        <v/>
      </c>
      <c r="O467" s="14" t="str">
        <f ca="1">_xlfn.IFNA(VLOOKUP("3"&amp;B467,CountSpecific!E:F,2,0),"")</f>
        <v/>
      </c>
      <c r="P467" s="7" t="str">
        <f ca="1">_xlfn.IFNA(VLOOKUP("4"&amp;B467,CountSpecific!E:F,2,0),"")</f>
        <v/>
      </c>
    </row>
    <row r="468" spans="1:16" customFormat="1" x14ac:dyDescent="0.25">
      <c r="A468" s="7">
        <v>467</v>
      </c>
      <c r="B468" s="11" t="s">
        <v>483</v>
      </c>
      <c r="C468" s="7" t="s">
        <v>1039</v>
      </c>
      <c r="D468" s="7">
        <v>467</v>
      </c>
      <c r="E468" s="7">
        <v>467</v>
      </c>
      <c r="F468" s="7">
        <v>467</v>
      </c>
      <c r="G468" s="11" t="s">
        <v>1026</v>
      </c>
      <c r="H468" s="20">
        <v>2299564</v>
      </c>
      <c r="I468" s="12">
        <v>44760</v>
      </c>
      <c r="J468" s="12">
        <v>45156</v>
      </c>
      <c r="K468" s="25">
        <v>807261</v>
      </c>
      <c r="L468" s="23">
        <v>1492303</v>
      </c>
      <c r="M468" s="11"/>
      <c r="N468" s="7" t="str">
        <f ca="1">_xlfn.IFNA(VLOOKUP("2"&amp;B468,CountSpecific!E:F,2,0),"")</f>
        <v/>
      </c>
      <c r="O468" s="14" t="str">
        <f ca="1">_xlfn.IFNA(VLOOKUP("3"&amp;B468,CountSpecific!E:F,2,0),"")</f>
        <v/>
      </c>
      <c r="P468" s="7" t="str">
        <f ca="1">_xlfn.IFNA(VLOOKUP("4"&amp;B468,CountSpecific!E:F,2,0),"")</f>
        <v/>
      </c>
    </row>
    <row r="469" spans="1:16" customFormat="1" x14ac:dyDescent="0.25">
      <c r="A469" s="7">
        <v>468</v>
      </c>
      <c r="B469" s="11" t="s">
        <v>484</v>
      </c>
      <c r="C469" s="7" t="s">
        <v>1039</v>
      </c>
      <c r="D469" s="7">
        <v>468</v>
      </c>
      <c r="E469" s="9">
        <v>468</v>
      </c>
      <c r="F469" s="7">
        <v>468</v>
      </c>
      <c r="G469" s="11" t="s">
        <v>1023</v>
      </c>
      <c r="H469" s="20">
        <v>812</v>
      </c>
      <c r="I469" s="12">
        <v>45427</v>
      </c>
      <c r="J469" s="12">
        <v>45884</v>
      </c>
      <c r="K469" s="25">
        <v>788</v>
      </c>
      <c r="L469" s="23">
        <v>24</v>
      </c>
      <c r="M469" s="11"/>
      <c r="N469" s="7" t="str">
        <f ca="1">_xlfn.IFNA(VLOOKUP("2"&amp;B469,CountSpecific!E:F,2,0),"")</f>
        <v/>
      </c>
      <c r="O469" s="14" t="str">
        <f ca="1">_xlfn.IFNA(VLOOKUP("3"&amp;B469,CountSpecific!E:F,2,0),"")</f>
        <v/>
      </c>
      <c r="P469" s="7" t="str">
        <f ca="1">_xlfn.IFNA(VLOOKUP("4"&amp;B469,CountSpecific!E:F,2,0),"")</f>
        <v/>
      </c>
    </row>
    <row r="470" spans="1:16" customFormat="1" x14ac:dyDescent="0.25">
      <c r="A470" s="7">
        <v>469</v>
      </c>
      <c r="B470" s="11" t="s">
        <v>485</v>
      </c>
      <c r="C470" s="7" t="s">
        <v>1039</v>
      </c>
      <c r="D470" s="7">
        <v>469</v>
      </c>
      <c r="E470" s="7">
        <v>469</v>
      </c>
      <c r="F470" s="7">
        <v>469</v>
      </c>
      <c r="G470" s="11" t="s">
        <v>1024</v>
      </c>
      <c r="H470" s="20">
        <v>687712</v>
      </c>
      <c r="I470" s="12">
        <v>44072</v>
      </c>
      <c r="J470" s="12">
        <v>44437</v>
      </c>
      <c r="K470" s="25">
        <v>282164</v>
      </c>
      <c r="L470" s="23">
        <v>405548</v>
      </c>
      <c r="M470" s="11"/>
      <c r="N470" s="7" t="str">
        <f ca="1">_xlfn.IFNA(VLOOKUP("2"&amp;B470,CountSpecific!E:F,2,0),"")</f>
        <v/>
      </c>
      <c r="O470" s="14" t="str">
        <f ca="1">_xlfn.IFNA(VLOOKUP("3"&amp;B470,CountSpecific!E:F,2,0),"")</f>
        <v/>
      </c>
      <c r="P470" s="7" t="str">
        <f ca="1">_xlfn.IFNA(VLOOKUP("4"&amp;B470,CountSpecific!E:F,2,0),"")</f>
        <v/>
      </c>
    </row>
    <row r="471" spans="1:16" customFormat="1" x14ac:dyDescent="0.25">
      <c r="A471" s="7">
        <v>470</v>
      </c>
      <c r="B471" s="11" t="s">
        <v>486</v>
      </c>
      <c r="C471" s="7" t="s">
        <v>1039</v>
      </c>
      <c r="D471" s="7">
        <v>470</v>
      </c>
      <c r="E471" s="7">
        <v>470</v>
      </c>
      <c r="F471" s="7">
        <v>470</v>
      </c>
      <c r="G471" s="11" t="s">
        <v>1020</v>
      </c>
      <c r="H471" s="20">
        <v>297547</v>
      </c>
      <c r="I471" s="12">
        <v>45343</v>
      </c>
      <c r="J471" s="12">
        <v>45798</v>
      </c>
      <c r="K471" s="25">
        <v>159614</v>
      </c>
      <c r="L471" s="23">
        <v>137933</v>
      </c>
      <c r="M471" s="11"/>
      <c r="N471" s="7" t="str">
        <f ca="1">_xlfn.IFNA(VLOOKUP("2"&amp;B471,CountSpecific!E:F,2,0),"")</f>
        <v/>
      </c>
      <c r="O471" s="14" t="str">
        <f ca="1">_xlfn.IFNA(VLOOKUP("3"&amp;B471,CountSpecific!E:F,2,0),"")</f>
        <v/>
      </c>
      <c r="P471" s="7" t="str">
        <f ca="1">_xlfn.IFNA(VLOOKUP("4"&amp;B471,CountSpecific!E:F,2,0),"")</f>
        <v/>
      </c>
    </row>
    <row r="472" spans="1:16" customFormat="1" x14ac:dyDescent="0.25">
      <c r="A472" s="7">
        <v>471</v>
      </c>
      <c r="B472" s="11" t="s">
        <v>487</v>
      </c>
      <c r="C472" s="7" t="s">
        <v>1039</v>
      </c>
      <c r="D472" s="7">
        <v>471</v>
      </c>
      <c r="E472" s="9">
        <v>471</v>
      </c>
      <c r="F472" s="7">
        <v>471</v>
      </c>
      <c r="G472" s="11" t="s">
        <v>1020</v>
      </c>
      <c r="H472" s="20">
        <v>355502</v>
      </c>
      <c r="I472" s="12">
        <v>44012</v>
      </c>
      <c r="J472" s="12">
        <v>44104</v>
      </c>
      <c r="K472" s="25">
        <v>261002</v>
      </c>
      <c r="L472" s="23">
        <v>94500</v>
      </c>
      <c r="M472" s="11"/>
      <c r="N472" s="7" t="str">
        <f ca="1">_xlfn.IFNA(VLOOKUP("2"&amp;B472,CountSpecific!E:F,2,0),"")</f>
        <v/>
      </c>
      <c r="O472" s="14" t="str">
        <f ca="1">_xlfn.IFNA(VLOOKUP("3"&amp;B472,CountSpecific!E:F,2,0),"")</f>
        <v/>
      </c>
      <c r="P472" s="7" t="str">
        <f ca="1">_xlfn.IFNA(VLOOKUP("4"&amp;B472,CountSpecific!E:F,2,0),"")</f>
        <v/>
      </c>
    </row>
    <row r="473" spans="1:16" customFormat="1" x14ac:dyDescent="0.25">
      <c r="A473" s="7">
        <v>472</v>
      </c>
      <c r="B473" s="11" t="s">
        <v>488</v>
      </c>
      <c r="C473" s="7" t="s">
        <v>1039</v>
      </c>
      <c r="D473" s="7">
        <v>472</v>
      </c>
      <c r="E473" s="7">
        <v>472</v>
      </c>
      <c r="F473" s="7">
        <v>472</v>
      </c>
      <c r="G473" s="11" t="s">
        <v>1022</v>
      </c>
      <c r="H473" s="20">
        <v>6816</v>
      </c>
      <c r="I473" s="12">
        <v>44629</v>
      </c>
      <c r="J473" s="12">
        <v>44660</v>
      </c>
      <c r="K473" s="25">
        <v>3336</v>
      </c>
      <c r="L473" s="23">
        <v>3480</v>
      </c>
      <c r="M473" s="11"/>
      <c r="N473" s="7" t="str">
        <f ca="1">_xlfn.IFNA(VLOOKUP("2"&amp;B473,CountSpecific!E:F,2,0),"")</f>
        <v/>
      </c>
      <c r="O473" s="14" t="str">
        <f ca="1">_xlfn.IFNA(VLOOKUP("3"&amp;B473,CountSpecific!E:F,2,0),"")</f>
        <v/>
      </c>
      <c r="P473" s="7" t="str">
        <f ca="1">_xlfn.IFNA(VLOOKUP("4"&amp;B473,CountSpecific!E:F,2,0),"")</f>
        <v/>
      </c>
    </row>
    <row r="474" spans="1:16" customFormat="1" x14ac:dyDescent="0.25">
      <c r="A474" s="7">
        <v>473</v>
      </c>
      <c r="B474" s="11" t="s">
        <v>489</v>
      </c>
      <c r="C474" s="7" t="s">
        <v>1039</v>
      </c>
      <c r="D474" s="7">
        <v>473</v>
      </c>
      <c r="E474" s="7">
        <v>473</v>
      </c>
      <c r="F474" s="7">
        <v>473</v>
      </c>
      <c r="G474" s="11" t="s">
        <v>1016</v>
      </c>
      <c r="H474" s="20">
        <v>40984</v>
      </c>
      <c r="I474" s="12">
        <v>44394</v>
      </c>
      <c r="J474" s="12">
        <v>44912</v>
      </c>
      <c r="K474" s="25">
        <v>6766</v>
      </c>
      <c r="L474" s="23">
        <v>34218</v>
      </c>
      <c r="M474" s="11"/>
      <c r="N474" s="7" t="str">
        <f ca="1">_xlfn.IFNA(VLOOKUP("2"&amp;B474,CountSpecific!E:F,2,0),"")</f>
        <v/>
      </c>
      <c r="O474" s="14" t="str">
        <f ca="1">_xlfn.IFNA(VLOOKUP("3"&amp;B474,CountSpecific!E:F,2,0),"")</f>
        <v/>
      </c>
      <c r="P474" s="7" t="str">
        <f ca="1">_xlfn.IFNA(VLOOKUP("4"&amp;B474,CountSpecific!E:F,2,0),"")</f>
        <v/>
      </c>
    </row>
    <row r="475" spans="1:16" customFormat="1" x14ac:dyDescent="0.25">
      <c r="A475" s="7">
        <v>474</v>
      </c>
      <c r="B475" s="11" t="s">
        <v>490</v>
      </c>
      <c r="C475" s="7" t="s">
        <v>1039</v>
      </c>
      <c r="D475" s="7">
        <v>474</v>
      </c>
      <c r="E475" s="9">
        <v>474</v>
      </c>
      <c r="F475" s="7">
        <v>474</v>
      </c>
      <c r="G475" s="11" t="s">
        <v>1027</v>
      </c>
      <c r="H475" s="20">
        <v>20375</v>
      </c>
      <c r="I475" s="12">
        <v>45450</v>
      </c>
      <c r="J475" s="12">
        <v>45937</v>
      </c>
      <c r="K475" s="25">
        <v>1758</v>
      </c>
      <c r="L475" s="23">
        <v>18617</v>
      </c>
      <c r="M475" s="11"/>
      <c r="N475" s="7" t="str">
        <f ca="1">_xlfn.IFNA(VLOOKUP("2"&amp;B475,CountSpecific!E:F,2,0),"")</f>
        <v/>
      </c>
      <c r="O475" s="14" t="str">
        <f ca="1">_xlfn.IFNA(VLOOKUP("3"&amp;B475,CountSpecific!E:F,2,0),"")</f>
        <v/>
      </c>
      <c r="P475" s="7" t="str">
        <f ca="1">_xlfn.IFNA(VLOOKUP("4"&amp;B475,CountSpecific!E:F,2,0),"")</f>
        <v/>
      </c>
    </row>
    <row r="476" spans="1:16" customFormat="1" x14ac:dyDescent="0.25">
      <c r="A476" s="7">
        <v>475</v>
      </c>
      <c r="B476" s="11" t="s">
        <v>491</v>
      </c>
      <c r="C476" s="7" t="s">
        <v>1039</v>
      </c>
      <c r="D476" s="7">
        <v>475</v>
      </c>
      <c r="E476" s="7">
        <v>475</v>
      </c>
      <c r="F476" s="7">
        <v>475</v>
      </c>
      <c r="G476" s="11" t="s">
        <v>1023</v>
      </c>
      <c r="H476" s="20">
        <v>300</v>
      </c>
      <c r="I476" s="12">
        <v>44618</v>
      </c>
      <c r="J476" s="12">
        <v>44830</v>
      </c>
      <c r="K476" s="25">
        <v>167</v>
      </c>
      <c r="L476" s="23">
        <v>133</v>
      </c>
      <c r="M476" s="11"/>
      <c r="N476" s="7" t="str">
        <f ca="1">_xlfn.IFNA(VLOOKUP("2"&amp;B476,CountSpecific!E:F,2,0),"")</f>
        <v/>
      </c>
      <c r="O476" s="14" t="str">
        <f ca="1">_xlfn.IFNA(VLOOKUP("3"&amp;B476,CountSpecific!E:F,2,0),"")</f>
        <v/>
      </c>
      <c r="P476" s="7" t="str">
        <f ca="1">_xlfn.IFNA(VLOOKUP("4"&amp;B476,CountSpecific!E:F,2,0),"")</f>
        <v/>
      </c>
    </row>
    <row r="477" spans="1:16" customFormat="1" x14ac:dyDescent="0.25">
      <c r="A477" s="7">
        <v>476</v>
      </c>
      <c r="B477" s="11" t="s">
        <v>492</v>
      </c>
      <c r="C477" s="7" t="s">
        <v>1039</v>
      </c>
      <c r="D477" s="7">
        <v>476</v>
      </c>
      <c r="E477" s="7">
        <v>476</v>
      </c>
      <c r="F477" s="7">
        <v>476</v>
      </c>
      <c r="G477" s="11" t="s">
        <v>1026</v>
      </c>
      <c r="H477" s="20">
        <v>4451379</v>
      </c>
      <c r="I477" s="12">
        <v>45329</v>
      </c>
      <c r="J477" s="12">
        <v>45723</v>
      </c>
      <c r="K477" s="25">
        <v>3047138</v>
      </c>
      <c r="L477" s="23">
        <v>1404241</v>
      </c>
      <c r="M477" s="11"/>
      <c r="N477" s="7" t="str">
        <f ca="1">_xlfn.IFNA(VLOOKUP("2"&amp;B477,CountSpecific!E:F,2,0),"")</f>
        <v/>
      </c>
      <c r="O477" s="14" t="str">
        <f ca="1">_xlfn.IFNA(VLOOKUP("3"&amp;B477,CountSpecific!E:F,2,0),"")</f>
        <v/>
      </c>
      <c r="P477" s="7" t="str">
        <f ca="1">_xlfn.IFNA(VLOOKUP("4"&amp;B477,CountSpecific!E:F,2,0),"")</f>
        <v/>
      </c>
    </row>
    <row r="478" spans="1:16" customFormat="1" x14ac:dyDescent="0.25">
      <c r="A478" s="7">
        <v>477</v>
      </c>
      <c r="B478" s="11" t="s">
        <v>493</v>
      </c>
      <c r="C478" s="7" t="s">
        <v>1039</v>
      </c>
      <c r="D478" s="7">
        <v>477</v>
      </c>
      <c r="E478" s="9">
        <v>477</v>
      </c>
      <c r="F478" s="7">
        <v>477</v>
      </c>
      <c r="G478" s="11" t="s">
        <v>1022</v>
      </c>
      <c r="H478" s="20">
        <v>15547</v>
      </c>
      <c r="I478" s="12">
        <v>44090</v>
      </c>
      <c r="J478" s="12">
        <v>44546</v>
      </c>
      <c r="K478" s="25">
        <v>12728</v>
      </c>
      <c r="L478" s="23">
        <v>2819</v>
      </c>
      <c r="M478" s="11"/>
      <c r="N478" s="7" t="str">
        <f ca="1">_xlfn.IFNA(VLOOKUP("2"&amp;B478,CountSpecific!E:F,2,0),"")</f>
        <v/>
      </c>
      <c r="O478" s="14" t="str">
        <f ca="1">_xlfn.IFNA(VLOOKUP("3"&amp;B478,CountSpecific!E:F,2,0),"")</f>
        <v/>
      </c>
      <c r="P478" s="7" t="str">
        <f ca="1">_xlfn.IFNA(VLOOKUP("4"&amp;B478,CountSpecific!E:F,2,0),"")</f>
        <v/>
      </c>
    </row>
    <row r="479" spans="1:16" customFormat="1" x14ac:dyDescent="0.25">
      <c r="A479" s="7">
        <v>478</v>
      </c>
      <c r="B479" s="11" t="s">
        <v>494</v>
      </c>
      <c r="C479" s="7" t="s">
        <v>1039</v>
      </c>
      <c r="D479" s="7">
        <v>478</v>
      </c>
      <c r="E479" s="7">
        <v>478</v>
      </c>
      <c r="F479" s="7">
        <v>478</v>
      </c>
      <c r="G479" s="11" t="s">
        <v>1021</v>
      </c>
      <c r="H479" s="20">
        <v>97126</v>
      </c>
      <c r="I479" s="12">
        <v>45182</v>
      </c>
      <c r="J479" s="12">
        <v>45851</v>
      </c>
      <c r="K479" s="25">
        <v>30592</v>
      </c>
      <c r="L479" s="23">
        <v>66534</v>
      </c>
      <c r="M479" s="11"/>
      <c r="N479" s="7" t="str">
        <f ca="1">_xlfn.IFNA(VLOOKUP("2"&amp;B479,CountSpecific!E:F,2,0),"")</f>
        <v/>
      </c>
      <c r="O479" s="14" t="str">
        <f ca="1">_xlfn.IFNA(VLOOKUP("3"&amp;B479,CountSpecific!E:F,2,0),"")</f>
        <v/>
      </c>
      <c r="P479" s="7" t="str">
        <f ca="1">_xlfn.IFNA(VLOOKUP("4"&amp;B479,CountSpecific!E:F,2,0),"")</f>
        <v/>
      </c>
    </row>
    <row r="480" spans="1:16" customFormat="1" x14ac:dyDescent="0.25">
      <c r="A480" s="7">
        <v>479</v>
      </c>
      <c r="B480" s="11" t="s">
        <v>495</v>
      </c>
      <c r="C480" s="7" t="s">
        <v>1039</v>
      </c>
      <c r="D480" s="7">
        <v>479</v>
      </c>
      <c r="E480" s="7">
        <v>479</v>
      </c>
      <c r="F480" s="7">
        <v>479</v>
      </c>
      <c r="G480" s="11" t="s">
        <v>1024</v>
      </c>
      <c r="H480" s="20">
        <v>601157</v>
      </c>
      <c r="I480" s="12">
        <v>45154</v>
      </c>
      <c r="J480" s="12">
        <v>45854</v>
      </c>
      <c r="K480" s="25">
        <v>463326</v>
      </c>
      <c r="L480" s="23">
        <v>137831</v>
      </c>
      <c r="M480" s="11"/>
      <c r="N480" s="7" t="str">
        <f ca="1">_xlfn.IFNA(VLOOKUP("2"&amp;B480,CountSpecific!E:F,2,0),"")</f>
        <v/>
      </c>
      <c r="O480" s="14" t="str">
        <f ca="1">_xlfn.IFNA(VLOOKUP("3"&amp;B480,CountSpecific!E:F,2,0),"")</f>
        <v/>
      </c>
      <c r="P480" s="7" t="str">
        <f ca="1">_xlfn.IFNA(VLOOKUP("4"&amp;B480,CountSpecific!E:F,2,0),"")</f>
        <v/>
      </c>
    </row>
    <row r="481" spans="1:16" customFormat="1" x14ac:dyDescent="0.25">
      <c r="A481" s="7">
        <v>480</v>
      </c>
      <c r="B481" s="11" t="s">
        <v>496</v>
      </c>
      <c r="C481" s="7" t="s">
        <v>1039</v>
      </c>
      <c r="D481" s="7">
        <v>480</v>
      </c>
      <c r="E481" s="9">
        <v>480</v>
      </c>
      <c r="F481" s="7">
        <v>480</v>
      </c>
      <c r="G481" s="11" t="s">
        <v>1027</v>
      </c>
      <c r="H481" s="20">
        <v>47384</v>
      </c>
      <c r="I481" s="12">
        <v>45576</v>
      </c>
      <c r="J481" s="12">
        <v>46064</v>
      </c>
      <c r="K481" s="25">
        <v>13875</v>
      </c>
      <c r="L481" s="23">
        <v>33509</v>
      </c>
      <c r="M481" s="11"/>
      <c r="N481" s="7" t="str">
        <f ca="1">_xlfn.IFNA(VLOOKUP("2"&amp;B481,CountSpecific!E:F,2,0),"")</f>
        <v/>
      </c>
      <c r="O481" s="14" t="str">
        <f ca="1">_xlfn.IFNA(VLOOKUP("3"&amp;B481,CountSpecific!E:F,2,0),"")</f>
        <v/>
      </c>
      <c r="P481" s="7" t="str">
        <f ca="1">_xlfn.IFNA(VLOOKUP("4"&amp;B481,CountSpecific!E:F,2,0),"")</f>
        <v/>
      </c>
    </row>
    <row r="482" spans="1:16" customFormat="1" x14ac:dyDescent="0.25">
      <c r="A482" s="7">
        <v>481</v>
      </c>
      <c r="B482" s="11" t="s">
        <v>497</v>
      </c>
      <c r="C482" s="7" t="s">
        <v>1039</v>
      </c>
      <c r="D482" s="7">
        <v>481</v>
      </c>
      <c r="E482" s="7">
        <v>481</v>
      </c>
      <c r="F482" s="7">
        <v>481</v>
      </c>
      <c r="G482" s="11" t="s">
        <v>1016</v>
      </c>
      <c r="H482" s="20">
        <v>37651</v>
      </c>
      <c r="I482" s="12">
        <v>45324</v>
      </c>
      <c r="J482" s="12">
        <v>45598</v>
      </c>
      <c r="K482" s="25">
        <v>7116</v>
      </c>
      <c r="L482" s="23">
        <v>30535</v>
      </c>
      <c r="M482" s="11"/>
      <c r="N482" s="7" t="str">
        <f ca="1">_xlfn.IFNA(VLOOKUP("2"&amp;B482,CountSpecific!E:F,2,0),"")</f>
        <v/>
      </c>
      <c r="O482" s="14" t="str">
        <f ca="1">_xlfn.IFNA(VLOOKUP("3"&amp;B482,CountSpecific!E:F,2,0),"")</f>
        <v/>
      </c>
      <c r="P482" s="7" t="str">
        <f ca="1">_xlfn.IFNA(VLOOKUP("4"&amp;B482,CountSpecific!E:F,2,0),"")</f>
        <v/>
      </c>
    </row>
    <row r="483" spans="1:16" customFormat="1" x14ac:dyDescent="0.25">
      <c r="A483" s="7">
        <v>482</v>
      </c>
      <c r="B483" s="11" t="s">
        <v>498</v>
      </c>
      <c r="C483" s="7" t="s">
        <v>1039</v>
      </c>
      <c r="D483" s="7">
        <v>482</v>
      </c>
      <c r="E483" s="7">
        <v>482</v>
      </c>
      <c r="F483" s="7">
        <v>482</v>
      </c>
      <c r="G483" s="11" t="s">
        <v>1024</v>
      </c>
      <c r="H483" s="20">
        <v>751284</v>
      </c>
      <c r="I483" s="12">
        <v>43874</v>
      </c>
      <c r="J483" s="12">
        <v>44329</v>
      </c>
      <c r="K483" s="25">
        <v>420913</v>
      </c>
      <c r="L483" s="23">
        <v>330371</v>
      </c>
      <c r="M483" s="11"/>
      <c r="N483" s="7" t="str">
        <f ca="1">_xlfn.IFNA(VLOOKUP("2"&amp;B483,CountSpecific!E:F,2,0),"")</f>
        <v/>
      </c>
      <c r="O483" s="14" t="str">
        <f ca="1">_xlfn.IFNA(VLOOKUP("3"&amp;B483,CountSpecific!E:F,2,0),"")</f>
        <v/>
      </c>
      <c r="P483" s="7" t="str">
        <f ca="1">_xlfn.IFNA(VLOOKUP("4"&amp;B483,CountSpecific!E:F,2,0),"")</f>
        <v/>
      </c>
    </row>
    <row r="484" spans="1:16" customFormat="1" x14ac:dyDescent="0.25">
      <c r="A484" s="7">
        <v>483</v>
      </c>
      <c r="B484" s="11" t="s">
        <v>499</v>
      </c>
      <c r="C484" s="7" t="s">
        <v>1039</v>
      </c>
      <c r="D484" s="7">
        <v>483</v>
      </c>
      <c r="E484" s="9">
        <v>483</v>
      </c>
      <c r="F484" s="7">
        <v>483</v>
      </c>
      <c r="G484" s="11" t="s">
        <v>1021</v>
      </c>
      <c r="H484" s="20">
        <v>82224</v>
      </c>
      <c r="I484" s="12">
        <v>45418</v>
      </c>
      <c r="J484" s="12">
        <v>45753</v>
      </c>
      <c r="K484" s="25">
        <v>82178</v>
      </c>
      <c r="L484" s="23">
        <v>46</v>
      </c>
      <c r="M484" s="11"/>
      <c r="N484" s="7" t="str">
        <f ca="1">_xlfn.IFNA(VLOOKUP("2"&amp;B484,CountSpecific!E:F,2,0),"")</f>
        <v/>
      </c>
      <c r="O484" s="14" t="str">
        <f ca="1">_xlfn.IFNA(VLOOKUP("3"&amp;B484,CountSpecific!E:F,2,0),"")</f>
        <v/>
      </c>
      <c r="P484" s="7" t="str">
        <f ca="1">_xlfn.IFNA(VLOOKUP("4"&amp;B484,CountSpecific!E:F,2,0),"")</f>
        <v/>
      </c>
    </row>
    <row r="485" spans="1:16" customFormat="1" x14ac:dyDescent="0.25">
      <c r="A485" s="7">
        <v>484</v>
      </c>
      <c r="B485" s="11" t="s">
        <v>500</v>
      </c>
      <c r="C485" s="7" t="s">
        <v>1039</v>
      </c>
      <c r="D485" s="7">
        <v>484</v>
      </c>
      <c r="E485" s="7">
        <v>484</v>
      </c>
      <c r="F485" s="7">
        <v>484</v>
      </c>
      <c r="G485" s="11" t="s">
        <v>1021</v>
      </c>
      <c r="H485" s="20">
        <v>97687</v>
      </c>
      <c r="I485" s="12">
        <v>44924</v>
      </c>
      <c r="J485" s="12">
        <v>45472</v>
      </c>
      <c r="K485" s="25">
        <v>8252</v>
      </c>
      <c r="L485" s="23">
        <v>89435</v>
      </c>
      <c r="M485" s="11"/>
      <c r="N485" s="7" t="str">
        <f ca="1">_xlfn.IFNA(VLOOKUP("2"&amp;B485,CountSpecific!E:F,2,0),"")</f>
        <v/>
      </c>
      <c r="O485" s="14" t="str">
        <f ca="1">_xlfn.IFNA(VLOOKUP("3"&amp;B485,CountSpecific!E:F,2,0),"")</f>
        <v/>
      </c>
      <c r="P485" s="7" t="str">
        <f ca="1">_xlfn.IFNA(VLOOKUP("4"&amp;B485,CountSpecific!E:F,2,0),"")</f>
        <v/>
      </c>
    </row>
    <row r="486" spans="1:16" customFormat="1" x14ac:dyDescent="0.25">
      <c r="A486" s="7">
        <v>485</v>
      </c>
      <c r="B486" s="11" t="s">
        <v>501</v>
      </c>
      <c r="C486" s="7" t="s">
        <v>1039</v>
      </c>
      <c r="D486" s="7">
        <v>485</v>
      </c>
      <c r="E486" s="7">
        <v>485</v>
      </c>
      <c r="F486" s="7">
        <v>485</v>
      </c>
      <c r="G486" s="11" t="s">
        <v>1027</v>
      </c>
      <c r="H486" s="20">
        <v>34312</v>
      </c>
      <c r="I486" s="12">
        <v>44570</v>
      </c>
      <c r="J486" s="12">
        <v>44935</v>
      </c>
      <c r="K486" s="25">
        <v>26390</v>
      </c>
      <c r="L486" s="23">
        <v>7922</v>
      </c>
      <c r="M486" s="11"/>
      <c r="N486" s="7" t="str">
        <f ca="1">_xlfn.IFNA(VLOOKUP("2"&amp;B486,CountSpecific!E:F,2,0),"")</f>
        <v/>
      </c>
      <c r="O486" s="14" t="str">
        <f ca="1">_xlfn.IFNA(VLOOKUP("3"&amp;B486,CountSpecific!E:F,2,0),"")</f>
        <v/>
      </c>
      <c r="P486" s="7" t="str">
        <f ca="1">_xlfn.IFNA(VLOOKUP("4"&amp;B486,CountSpecific!E:F,2,0),"")</f>
        <v/>
      </c>
    </row>
    <row r="487" spans="1:16" customFormat="1" x14ac:dyDescent="0.25">
      <c r="A487" s="7">
        <v>486</v>
      </c>
      <c r="B487" s="11" t="s">
        <v>502</v>
      </c>
      <c r="C487" s="7" t="s">
        <v>1039</v>
      </c>
      <c r="D487" s="7">
        <v>486</v>
      </c>
      <c r="E487" s="9">
        <v>486</v>
      </c>
      <c r="F487" s="7">
        <v>486</v>
      </c>
      <c r="G487" s="11" t="s">
        <v>1021</v>
      </c>
      <c r="H487" s="20">
        <v>6287</v>
      </c>
      <c r="I487" s="12">
        <v>45315</v>
      </c>
      <c r="J487" s="12">
        <v>45712</v>
      </c>
      <c r="K487" s="25">
        <v>3428</v>
      </c>
      <c r="L487" s="23">
        <v>2859</v>
      </c>
      <c r="M487" s="11"/>
      <c r="N487" s="7" t="str">
        <f ca="1">_xlfn.IFNA(VLOOKUP("2"&amp;B487,CountSpecific!E:F,2,0),"")</f>
        <v/>
      </c>
      <c r="O487" s="14" t="str">
        <f ca="1">_xlfn.IFNA(VLOOKUP("3"&amp;B487,CountSpecific!E:F,2,0),"")</f>
        <v/>
      </c>
      <c r="P487" s="7" t="str">
        <f ca="1">_xlfn.IFNA(VLOOKUP("4"&amp;B487,CountSpecific!E:F,2,0),"")</f>
        <v/>
      </c>
    </row>
    <row r="488" spans="1:16" customFormat="1" x14ac:dyDescent="0.25">
      <c r="A488" s="7">
        <v>487</v>
      </c>
      <c r="B488" s="11" t="s">
        <v>503</v>
      </c>
      <c r="C488" s="7" t="s">
        <v>1039</v>
      </c>
      <c r="D488" s="7">
        <v>487</v>
      </c>
      <c r="E488" s="7">
        <v>487</v>
      </c>
      <c r="F488" s="7">
        <v>487</v>
      </c>
      <c r="G488" s="11" t="s">
        <v>1022</v>
      </c>
      <c r="H488" s="20">
        <v>9868</v>
      </c>
      <c r="I488" s="12">
        <v>44407</v>
      </c>
      <c r="J488" s="12">
        <v>45107</v>
      </c>
      <c r="K488" s="25">
        <v>7451</v>
      </c>
      <c r="L488" s="23">
        <v>2417</v>
      </c>
      <c r="M488" s="11"/>
      <c r="N488" s="7" t="str">
        <f ca="1">_xlfn.IFNA(VLOOKUP("2"&amp;B488,CountSpecific!E:F,2,0),"")</f>
        <v/>
      </c>
      <c r="O488" s="14" t="str">
        <f ca="1">_xlfn.IFNA(VLOOKUP("3"&amp;B488,CountSpecific!E:F,2,0),"")</f>
        <v/>
      </c>
      <c r="P488" s="7" t="str">
        <f ca="1">_xlfn.IFNA(VLOOKUP("4"&amp;B488,CountSpecific!E:F,2,0),"")</f>
        <v/>
      </c>
    </row>
    <row r="489" spans="1:16" customFormat="1" x14ac:dyDescent="0.25">
      <c r="A489" s="7">
        <v>488</v>
      </c>
      <c r="B489" s="11" t="s">
        <v>504</v>
      </c>
      <c r="C489" s="7" t="s">
        <v>1039</v>
      </c>
      <c r="D489" s="7">
        <v>488</v>
      </c>
      <c r="E489" s="7">
        <v>488</v>
      </c>
      <c r="F489" s="7">
        <v>488</v>
      </c>
      <c r="G489" s="11" t="s">
        <v>1020</v>
      </c>
      <c r="H489" s="20">
        <v>47325</v>
      </c>
      <c r="I489" s="12">
        <v>44327</v>
      </c>
      <c r="J489" s="12">
        <v>44996</v>
      </c>
      <c r="K489" s="25">
        <v>24991</v>
      </c>
      <c r="L489" s="23">
        <v>22334</v>
      </c>
      <c r="M489" s="11"/>
      <c r="N489" s="7" t="str">
        <f ca="1">_xlfn.IFNA(VLOOKUP("2"&amp;B489,CountSpecific!E:F,2,0),"")</f>
        <v/>
      </c>
      <c r="O489" s="14" t="str">
        <f ca="1">_xlfn.IFNA(VLOOKUP("3"&amp;B489,CountSpecific!E:F,2,0),"")</f>
        <v/>
      </c>
      <c r="P489" s="7" t="str">
        <f ca="1">_xlfn.IFNA(VLOOKUP("4"&amp;B489,CountSpecific!E:F,2,0),"")</f>
        <v/>
      </c>
    </row>
    <row r="490" spans="1:16" customFormat="1" x14ac:dyDescent="0.25">
      <c r="A490" s="7">
        <v>489</v>
      </c>
      <c r="B490" s="11" t="s">
        <v>505</v>
      </c>
      <c r="C490" s="7" t="s">
        <v>1039</v>
      </c>
      <c r="D490" s="7">
        <v>489</v>
      </c>
      <c r="E490" s="9">
        <v>489</v>
      </c>
      <c r="F490" s="7">
        <v>489</v>
      </c>
      <c r="G490" s="11" t="s">
        <v>1026</v>
      </c>
      <c r="H490" s="20">
        <v>3864990</v>
      </c>
      <c r="I490" s="12">
        <v>44969</v>
      </c>
      <c r="J490" s="12">
        <v>45272</v>
      </c>
      <c r="K490" s="25">
        <v>1193780</v>
      </c>
      <c r="L490" s="23">
        <v>2671210</v>
      </c>
      <c r="M490" s="11"/>
      <c r="N490" s="7" t="str">
        <f ca="1">_xlfn.IFNA(VLOOKUP("2"&amp;B490,CountSpecific!E:F,2,0),"")</f>
        <v/>
      </c>
      <c r="O490" s="14" t="str">
        <f ca="1">_xlfn.IFNA(VLOOKUP("3"&amp;B490,CountSpecific!E:F,2,0),"")</f>
        <v/>
      </c>
      <c r="P490" s="7" t="str">
        <f ca="1">_xlfn.IFNA(VLOOKUP("4"&amp;B490,CountSpecific!E:F,2,0),"")</f>
        <v/>
      </c>
    </row>
    <row r="491" spans="1:16" customFormat="1" x14ac:dyDescent="0.25">
      <c r="A491" s="7">
        <v>490</v>
      </c>
      <c r="B491" s="11" t="s">
        <v>506</v>
      </c>
      <c r="C491" s="7" t="s">
        <v>1039</v>
      </c>
      <c r="D491" s="7">
        <v>490</v>
      </c>
      <c r="E491" s="7">
        <v>490</v>
      </c>
      <c r="F491" s="7">
        <v>490</v>
      </c>
      <c r="G491" s="11" t="s">
        <v>1020</v>
      </c>
      <c r="H491" s="20">
        <v>107657</v>
      </c>
      <c r="I491" s="12">
        <v>45711</v>
      </c>
      <c r="J491" s="12">
        <v>46349</v>
      </c>
      <c r="K491" s="25">
        <v>82214</v>
      </c>
      <c r="L491" s="23">
        <v>25443</v>
      </c>
      <c r="M491" s="11"/>
      <c r="N491" s="7" t="str">
        <f ca="1">_xlfn.IFNA(VLOOKUP("2"&amp;B491,CountSpecific!E:F,2,0),"")</f>
        <v/>
      </c>
      <c r="O491" s="14" t="str">
        <f ca="1">_xlfn.IFNA(VLOOKUP("3"&amp;B491,CountSpecific!E:F,2,0),"")</f>
        <v/>
      </c>
      <c r="P491" s="7" t="str">
        <f ca="1">_xlfn.IFNA(VLOOKUP("4"&amp;B491,CountSpecific!E:F,2,0),"")</f>
        <v/>
      </c>
    </row>
    <row r="492" spans="1:16" customFormat="1" x14ac:dyDescent="0.25">
      <c r="A492" s="7">
        <v>491</v>
      </c>
      <c r="B492" s="11" t="s">
        <v>507</v>
      </c>
      <c r="C492" s="7" t="s">
        <v>1039</v>
      </c>
      <c r="D492" s="7">
        <v>491</v>
      </c>
      <c r="E492" s="7">
        <v>491</v>
      </c>
      <c r="F492" s="7">
        <v>491</v>
      </c>
      <c r="G492" s="11" t="s">
        <v>1022</v>
      </c>
      <c r="H492" s="20">
        <v>14096</v>
      </c>
      <c r="I492" s="12">
        <v>44357</v>
      </c>
      <c r="J492" s="12">
        <v>44479</v>
      </c>
      <c r="K492" s="25">
        <v>5039</v>
      </c>
      <c r="L492" s="23">
        <v>9057</v>
      </c>
      <c r="M492" s="11"/>
      <c r="N492" s="7" t="str">
        <f ca="1">_xlfn.IFNA(VLOOKUP("2"&amp;B492,CountSpecific!E:F,2,0),"")</f>
        <v/>
      </c>
      <c r="O492" s="14" t="str">
        <f ca="1">_xlfn.IFNA(VLOOKUP("3"&amp;B492,CountSpecific!E:F,2,0),"")</f>
        <v/>
      </c>
      <c r="P492" s="7" t="str">
        <f ca="1">_xlfn.IFNA(VLOOKUP("4"&amp;B492,CountSpecific!E:F,2,0),"")</f>
        <v/>
      </c>
    </row>
    <row r="493" spans="1:16" customFormat="1" x14ac:dyDescent="0.25">
      <c r="A493" s="7">
        <v>492</v>
      </c>
      <c r="B493" s="11" t="s">
        <v>508</v>
      </c>
      <c r="C493" s="7" t="s">
        <v>1039</v>
      </c>
      <c r="D493" s="7">
        <v>492</v>
      </c>
      <c r="E493" s="9">
        <v>492</v>
      </c>
      <c r="F493" s="7">
        <v>492</v>
      </c>
      <c r="G493" s="11" t="s">
        <v>1021</v>
      </c>
      <c r="H493" s="20">
        <v>58548</v>
      </c>
      <c r="I493" s="12">
        <v>44226</v>
      </c>
      <c r="J493" s="12">
        <v>44285</v>
      </c>
      <c r="K493" s="25">
        <v>2469</v>
      </c>
      <c r="L493" s="23">
        <v>56079</v>
      </c>
      <c r="M493" s="11"/>
      <c r="N493" s="7" t="str">
        <f ca="1">_xlfn.IFNA(VLOOKUP("2"&amp;B493,CountSpecific!E:F,2,0),"")</f>
        <v/>
      </c>
      <c r="O493" s="14" t="str">
        <f ca="1">_xlfn.IFNA(VLOOKUP("3"&amp;B493,CountSpecific!E:F,2,0),"")</f>
        <v/>
      </c>
      <c r="P493" s="7" t="str">
        <f ca="1">_xlfn.IFNA(VLOOKUP("4"&amp;B493,CountSpecific!E:F,2,0),"")</f>
        <v/>
      </c>
    </row>
    <row r="494" spans="1:16" customFormat="1" x14ac:dyDescent="0.25">
      <c r="A494" s="7">
        <v>493</v>
      </c>
      <c r="B494" s="11" t="s">
        <v>509</v>
      </c>
      <c r="C494" s="7" t="s">
        <v>1039</v>
      </c>
      <c r="D494" s="7">
        <v>493</v>
      </c>
      <c r="E494" s="7">
        <v>493</v>
      </c>
      <c r="F494" s="7">
        <v>493</v>
      </c>
      <c r="G494" s="11" t="s">
        <v>1022</v>
      </c>
      <c r="H494" s="20">
        <v>23517</v>
      </c>
      <c r="I494" s="12">
        <v>44562</v>
      </c>
      <c r="J494" s="12">
        <v>45200</v>
      </c>
      <c r="K494" s="25">
        <v>21584</v>
      </c>
      <c r="L494" s="23">
        <v>1933</v>
      </c>
      <c r="M494" s="11"/>
      <c r="N494" s="7" t="str">
        <f ca="1">_xlfn.IFNA(VLOOKUP("2"&amp;B494,CountSpecific!E:F,2,0),"")</f>
        <v/>
      </c>
      <c r="O494" s="14" t="str">
        <f ca="1">_xlfn.IFNA(VLOOKUP("3"&amp;B494,CountSpecific!E:F,2,0),"")</f>
        <v/>
      </c>
      <c r="P494" s="7" t="str">
        <f ca="1">_xlfn.IFNA(VLOOKUP("4"&amp;B494,CountSpecific!E:F,2,0),"")</f>
        <v/>
      </c>
    </row>
    <row r="495" spans="1:16" customFormat="1" x14ac:dyDescent="0.25">
      <c r="A495" s="7">
        <v>494</v>
      </c>
      <c r="B495" s="11" t="s">
        <v>510</v>
      </c>
      <c r="C495" s="7" t="s">
        <v>1039</v>
      </c>
      <c r="D495" s="7">
        <v>494</v>
      </c>
      <c r="E495" s="7">
        <v>494</v>
      </c>
      <c r="F495" s="7">
        <v>494</v>
      </c>
      <c r="G495" s="11" t="s">
        <v>1025</v>
      </c>
      <c r="H495" s="20">
        <v>495342</v>
      </c>
      <c r="I495" s="12">
        <v>44075</v>
      </c>
      <c r="J495" s="12">
        <v>44166</v>
      </c>
      <c r="K495" s="25">
        <v>302609</v>
      </c>
      <c r="L495" s="23">
        <v>192733</v>
      </c>
      <c r="M495" s="11"/>
      <c r="N495" s="7" t="str">
        <f ca="1">_xlfn.IFNA(VLOOKUP("2"&amp;B495,CountSpecific!E:F,2,0),"")</f>
        <v/>
      </c>
      <c r="O495" s="14" t="str">
        <f ca="1">_xlfn.IFNA(VLOOKUP("3"&amp;B495,CountSpecific!E:F,2,0),"")</f>
        <v/>
      </c>
      <c r="P495" s="7" t="str">
        <f ca="1">_xlfn.IFNA(VLOOKUP("4"&amp;B495,CountSpecific!E:F,2,0),"")</f>
        <v/>
      </c>
    </row>
    <row r="496" spans="1:16" customFormat="1" x14ac:dyDescent="0.25">
      <c r="A496" s="7">
        <v>495</v>
      </c>
      <c r="B496" s="11" t="s">
        <v>511</v>
      </c>
      <c r="C496" s="7" t="s">
        <v>1039</v>
      </c>
      <c r="D496" s="7">
        <v>495</v>
      </c>
      <c r="E496" s="9">
        <v>495</v>
      </c>
      <c r="F496" s="7">
        <v>495</v>
      </c>
      <c r="G496" s="11" t="s">
        <v>1027</v>
      </c>
      <c r="H496" s="20">
        <v>38139</v>
      </c>
      <c r="I496" s="12">
        <v>45140</v>
      </c>
      <c r="J496" s="12">
        <v>45659</v>
      </c>
      <c r="K496" s="25">
        <v>32573</v>
      </c>
      <c r="L496" s="23">
        <v>5566</v>
      </c>
      <c r="M496" s="11"/>
      <c r="N496" s="7" t="str">
        <f ca="1">_xlfn.IFNA(VLOOKUP("2"&amp;B496,CountSpecific!E:F,2,0),"")</f>
        <v/>
      </c>
      <c r="O496" s="14" t="str">
        <f ca="1">_xlfn.IFNA(VLOOKUP("3"&amp;B496,CountSpecific!E:F,2,0),"")</f>
        <v/>
      </c>
      <c r="P496" s="7" t="str">
        <f ca="1">_xlfn.IFNA(VLOOKUP("4"&amp;B496,CountSpecific!E:F,2,0),"")</f>
        <v/>
      </c>
    </row>
    <row r="497" spans="1:16" customFormat="1" x14ac:dyDescent="0.25">
      <c r="A497" s="7">
        <v>496</v>
      </c>
      <c r="B497" s="11" t="s">
        <v>512</v>
      </c>
      <c r="C497" s="7" t="s">
        <v>1039</v>
      </c>
      <c r="D497" s="7">
        <v>496</v>
      </c>
      <c r="E497" s="7">
        <v>496</v>
      </c>
      <c r="F497" s="7">
        <v>496</v>
      </c>
      <c r="G497" s="11" t="s">
        <v>1027</v>
      </c>
      <c r="H497" s="20">
        <v>54861</v>
      </c>
      <c r="I497" s="12">
        <v>45026</v>
      </c>
      <c r="J497" s="12">
        <v>45392</v>
      </c>
      <c r="K497" s="25">
        <v>1028</v>
      </c>
      <c r="L497" s="23">
        <v>53833</v>
      </c>
      <c r="M497" s="11"/>
      <c r="N497" s="7" t="str">
        <f ca="1">_xlfn.IFNA(VLOOKUP("2"&amp;B497,CountSpecific!E:F,2,0),"")</f>
        <v/>
      </c>
      <c r="O497" s="14" t="str">
        <f ca="1">_xlfn.IFNA(VLOOKUP("3"&amp;B497,CountSpecific!E:F,2,0),"")</f>
        <v/>
      </c>
      <c r="P497" s="7" t="str">
        <f ca="1">_xlfn.IFNA(VLOOKUP("4"&amp;B497,CountSpecific!E:F,2,0),"")</f>
        <v/>
      </c>
    </row>
    <row r="498" spans="1:16" customFormat="1" x14ac:dyDescent="0.25">
      <c r="A498" s="7">
        <v>497</v>
      </c>
      <c r="B498" s="11" t="s">
        <v>513</v>
      </c>
      <c r="C498" s="7" t="s">
        <v>1039</v>
      </c>
      <c r="D498" s="7">
        <v>497</v>
      </c>
      <c r="E498" s="7">
        <v>497</v>
      </c>
      <c r="F498" s="7">
        <v>497</v>
      </c>
      <c r="G498" s="11" t="s">
        <v>1023</v>
      </c>
      <c r="H498" s="20">
        <v>694</v>
      </c>
      <c r="I498" s="12">
        <v>45001</v>
      </c>
      <c r="J498" s="12">
        <v>45093</v>
      </c>
      <c r="K498" s="25">
        <v>390</v>
      </c>
      <c r="L498" s="23">
        <v>304</v>
      </c>
      <c r="M498" s="11"/>
      <c r="N498" s="7" t="str">
        <f ca="1">_xlfn.IFNA(VLOOKUP("2"&amp;B498,CountSpecific!E:F,2,0),"")</f>
        <v/>
      </c>
      <c r="O498" s="14" t="str">
        <f ca="1">_xlfn.IFNA(VLOOKUP("3"&amp;B498,CountSpecific!E:F,2,0),"")</f>
        <v/>
      </c>
      <c r="P498" s="7" t="str">
        <f ca="1">_xlfn.IFNA(VLOOKUP("4"&amp;B498,CountSpecific!E:F,2,0),"")</f>
        <v/>
      </c>
    </row>
    <row r="499" spans="1:16" customFormat="1" x14ac:dyDescent="0.25">
      <c r="A499" s="7">
        <v>498</v>
      </c>
      <c r="B499" s="11" t="s">
        <v>514</v>
      </c>
      <c r="C499" s="7" t="s">
        <v>1039</v>
      </c>
      <c r="D499" s="7">
        <v>498</v>
      </c>
      <c r="E499" s="9">
        <v>498</v>
      </c>
      <c r="F499" s="7">
        <v>498</v>
      </c>
      <c r="G499" s="11" t="s">
        <v>1016</v>
      </c>
      <c r="H499" s="20">
        <v>48020</v>
      </c>
      <c r="I499" s="12">
        <v>44215</v>
      </c>
      <c r="J499" s="12">
        <v>44731</v>
      </c>
      <c r="K499" s="25">
        <v>3351</v>
      </c>
      <c r="L499" s="23">
        <v>44669</v>
      </c>
      <c r="M499" s="11"/>
      <c r="N499" s="7" t="str">
        <f ca="1">_xlfn.IFNA(VLOOKUP("2"&amp;B499,CountSpecific!E:F,2,0),"")</f>
        <v/>
      </c>
      <c r="O499" s="14" t="str">
        <f ca="1">_xlfn.IFNA(VLOOKUP("3"&amp;B499,CountSpecific!E:F,2,0),"")</f>
        <v/>
      </c>
      <c r="P499" s="7" t="str">
        <f ca="1">_xlfn.IFNA(VLOOKUP("4"&amp;B499,CountSpecific!E:F,2,0),"")</f>
        <v/>
      </c>
    </row>
    <row r="500" spans="1:16" customFormat="1" x14ac:dyDescent="0.25">
      <c r="A500" s="7">
        <v>499</v>
      </c>
      <c r="B500" s="11" t="s">
        <v>515</v>
      </c>
      <c r="C500" s="7" t="s">
        <v>1039</v>
      </c>
      <c r="D500" s="7">
        <v>499</v>
      </c>
      <c r="E500" s="7">
        <v>499</v>
      </c>
      <c r="F500" s="7">
        <v>499</v>
      </c>
      <c r="G500" s="11" t="s">
        <v>1020</v>
      </c>
      <c r="H500" s="20">
        <v>270440</v>
      </c>
      <c r="I500" s="12">
        <v>44652</v>
      </c>
      <c r="J500" s="12">
        <v>44774</v>
      </c>
      <c r="K500" s="25">
        <v>102315</v>
      </c>
      <c r="L500" s="23">
        <v>168125</v>
      </c>
      <c r="M500" s="11"/>
      <c r="N500" s="7" t="str">
        <f ca="1">_xlfn.IFNA(VLOOKUP("2"&amp;B500,CountSpecific!E:F,2,0),"")</f>
        <v/>
      </c>
      <c r="O500" s="14" t="str">
        <f ca="1">_xlfn.IFNA(VLOOKUP("3"&amp;B500,CountSpecific!E:F,2,0),"")</f>
        <v/>
      </c>
      <c r="P500" s="7" t="str">
        <f ca="1">_xlfn.IFNA(VLOOKUP("4"&amp;B500,CountSpecific!E:F,2,0),"")</f>
        <v/>
      </c>
    </row>
    <row r="501" spans="1:16" customFormat="1" x14ac:dyDescent="0.25">
      <c r="A501" s="7">
        <v>500</v>
      </c>
      <c r="B501" s="11" t="s">
        <v>516</v>
      </c>
      <c r="C501" s="7" t="s">
        <v>1039</v>
      </c>
      <c r="D501" s="7">
        <v>500</v>
      </c>
      <c r="E501" s="7">
        <v>500</v>
      </c>
      <c r="F501" s="7">
        <v>500</v>
      </c>
      <c r="G501" s="11" t="s">
        <v>1016</v>
      </c>
      <c r="H501" s="20">
        <v>6260</v>
      </c>
      <c r="I501" s="12">
        <v>45639</v>
      </c>
      <c r="J501" s="12">
        <v>46066</v>
      </c>
      <c r="K501" s="25">
        <v>2566</v>
      </c>
      <c r="L501" s="23">
        <v>3694</v>
      </c>
      <c r="M501" s="11"/>
      <c r="N501" s="7" t="str">
        <f ca="1">_xlfn.IFNA(VLOOKUP("2"&amp;B501,CountSpecific!E:F,2,0),"")</f>
        <v/>
      </c>
      <c r="O501" s="14" t="str">
        <f ca="1">_xlfn.IFNA(VLOOKUP("3"&amp;B501,CountSpecific!E:F,2,0),"")</f>
        <v/>
      </c>
      <c r="P501" s="7" t="str">
        <f ca="1">_xlfn.IFNA(VLOOKUP("4"&amp;B501,CountSpecific!E:F,2,0),"")</f>
        <v/>
      </c>
    </row>
    <row r="502" spans="1:16" customFormat="1" x14ac:dyDescent="0.25">
      <c r="A502" s="7">
        <v>501</v>
      </c>
      <c r="B502" s="11" t="s">
        <v>517</v>
      </c>
      <c r="C502" s="7" t="s">
        <v>1039</v>
      </c>
      <c r="D502" s="7">
        <v>501</v>
      </c>
      <c r="E502" s="9">
        <v>501</v>
      </c>
      <c r="F502" s="7">
        <v>501</v>
      </c>
      <c r="G502" s="11" t="s">
        <v>1021</v>
      </c>
      <c r="H502" s="20">
        <v>57865</v>
      </c>
      <c r="I502" s="12">
        <v>44380</v>
      </c>
      <c r="J502" s="12">
        <v>44745</v>
      </c>
      <c r="K502" s="25">
        <v>55461</v>
      </c>
      <c r="L502" s="23">
        <v>2404</v>
      </c>
      <c r="M502" s="11"/>
      <c r="N502" s="7" t="str">
        <f ca="1">_xlfn.IFNA(VLOOKUP("2"&amp;B502,CountSpecific!E:F,2,0),"")</f>
        <v/>
      </c>
      <c r="O502" s="14" t="str">
        <f ca="1">_xlfn.IFNA(VLOOKUP("3"&amp;B502,CountSpecific!E:F,2,0),"")</f>
        <v/>
      </c>
      <c r="P502" s="7" t="str">
        <f ca="1">_xlfn.IFNA(VLOOKUP("4"&amp;B502,CountSpecific!E:F,2,0),"")</f>
        <v/>
      </c>
    </row>
    <row r="503" spans="1:16" customFormat="1" x14ac:dyDescent="0.25">
      <c r="A503" s="7">
        <v>502</v>
      </c>
      <c r="B503" s="11" t="s">
        <v>518</v>
      </c>
      <c r="C503" s="7" t="s">
        <v>1039</v>
      </c>
      <c r="D503" s="7">
        <v>502</v>
      </c>
      <c r="E503" s="7">
        <v>502</v>
      </c>
      <c r="F503" s="7">
        <v>502</v>
      </c>
      <c r="G503" s="11" t="s">
        <v>1023</v>
      </c>
      <c r="H503" s="20">
        <v>1274</v>
      </c>
      <c r="I503" s="12">
        <v>43948</v>
      </c>
      <c r="J503" s="12">
        <v>44131</v>
      </c>
      <c r="K503" s="25">
        <v>45</v>
      </c>
      <c r="L503" s="23">
        <v>1229</v>
      </c>
      <c r="M503" s="11"/>
      <c r="N503" s="7" t="str">
        <f ca="1">_xlfn.IFNA(VLOOKUP("2"&amp;B503,CountSpecific!E:F,2,0),"")</f>
        <v/>
      </c>
      <c r="O503" s="14" t="str">
        <f ca="1">_xlfn.IFNA(VLOOKUP("3"&amp;B503,CountSpecific!E:F,2,0),"")</f>
        <v/>
      </c>
      <c r="P503" s="7" t="str">
        <f ca="1">_xlfn.IFNA(VLOOKUP("4"&amp;B503,CountSpecific!E:F,2,0),"")</f>
        <v/>
      </c>
    </row>
    <row r="504" spans="1:16" customFormat="1" x14ac:dyDescent="0.25">
      <c r="A504" s="7">
        <v>503</v>
      </c>
      <c r="B504" s="11" t="s">
        <v>519</v>
      </c>
      <c r="C504" s="7" t="s">
        <v>1039</v>
      </c>
      <c r="D504" s="7">
        <v>503</v>
      </c>
      <c r="E504" s="7">
        <v>503</v>
      </c>
      <c r="F504" s="7">
        <v>503</v>
      </c>
      <c r="G504" s="11" t="s">
        <v>1020</v>
      </c>
      <c r="H504" s="20">
        <v>394397</v>
      </c>
      <c r="I504" s="12">
        <v>44050</v>
      </c>
      <c r="J504" s="12">
        <v>44749</v>
      </c>
      <c r="K504" s="25">
        <v>264234</v>
      </c>
      <c r="L504" s="23">
        <v>130163</v>
      </c>
      <c r="M504" s="11"/>
      <c r="N504" s="7" t="str">
        <f ca="1">_xlfn.IFNA(VLOOKUP("2"&amp;B504,CountSpecific!E:F,2,0),"")</f>
        <v/>
      </c>
      <c r="O504" s="14" t="str">
        <f ca="1">_xlfn.IFNA(VLOOKUP("3"&amp;B504,CountSpecific!E:F,2,0),"")</f>
        <v/>
      </c>
      <c r="P504" s="7" t="str">
        <f ca="1">_xlfn.IFNA(VLOOKUP("4"&amp;B504,CountSpecific!E:F,2,0),"")</f>
        <v/>
      </c>
    </row>
    <row r="505" spans="1:16" customFormat="1" x14ac:dyDescent="0.25">
      <c r="A505" s="7">
        <v>504</v>
      </c>
      <c r="B505" s="11" t="s">
        <v>520</v>
      </c>
      <c r="C505" s="7" t="s">
        <v>1039</v>
      </c>
      <c r="D505" s="7">
        <v>504</v>
      </c>
      <c r="E505" s="9">
        <v>504</v>
      </c>
      <c r="F505" s="7">
        <v>504</v>
      </c>
      <c r="G505" s="11" t="s">
        <v>1025</v>
      </c>
      <c r="H505" s="20">
        <v>361407</v>
      </c>
      <c r="I505" s="12">
        <v>44318</v>
      </c>
      <c r="J505" s="12">
        <v>44836</v>
      </c>
      <c r="K505" s="25">
        <v>276946</v>
      </c>
      <c r="L505" s="23">
        <v>84461</v>
      </c>
      <c r="M505" s="11"/>
      <c r="N505" s="7" t="str">
        <f ca="1">_xlfn.IFNA(VLOOKUP("2"&amp;B505,CountSpecific!E:F,2,0),"")</f>
        <v/>
      </c>
      <c r="O505" s="14" t="str">
        <f ca="1">_xlfn.IFNA(VLOOKUP("3"&amp;B505,CountSpecific!E:F,2,0),"")</f>
        <v/>
      </c>
      <c r="P505" s="7" t="str">
        <f ca="1">_xlfn.IFNA(VLOOKUP("4"&amp;B505,CountSpecific!E:F,2,0),"")</f>
        <v/>
      </c>
    </row>
    <row r="506" spans="1:16" customFormat="1" x14ac:dyDescent="0.25">
      <c r="A506" s="7">
        <v>505</v>
      </c>
      <c r="B506" s="11" t="s">
        <v>521</v>
      </c>
      <c r="C506" s="7" t="s">
        <v>1039</v>
      </c>
      <c r="D506" s="7">
        <v>505</v>
      </c>
      <c r="E506" s="7">
        <v>505</v>
      </c>
      <c r="F506" s="7">
        <v>505</v>
      </c>
      <c r="G506" s="11" t="s">
        <v>1022</v>
      </c>
      <c r="H506" s="20">
        <v>5983</v>
      </c>
      <c r="I506" s="12">
        <v>43894</v>
      </c>
      <c r="J506" s="12">
        <v>44381</v>
      </c>
      <c r="K506" s="25">
        <v>5566</v>
      </c>
      <c r="L506" s="23">
        <v>417</v>
      </c>
      <c r="M506" s="11"/>
      <c r="N506" s="7" t="str">
        <f ca="1">_xlfn.IFNA(VLOOKUP("2"&amp;B506,CountSpecific!E:F,2,0),"")</f>
        <v/>
      </c>
      <c r="O506" s="14" t="str">
        <f ca="1">_xlfn.IFNA(VLOOKUP("3"&amp;B506,CountSpecific!E:F,2,0),"")</f>
        <v/>
      </c>
      <c r="P506" s="7" t="str">
        <f ca="1">_xlfn.IFNA(VLOOKUP("4"&amp;B506,CountSpecific!E:F,2,0),"")</f>
        <v/>
      </c>
    </row>
    <row r="507" spans="1:16" customFormat="1" x14ac:dyDescent="0.25">
      <c r="A507" s="7">
        <v>506</v>
      </c>
      <c r="B507" s="11" t="s">
        <v>522</v>
      </c>
      <c r="C507" s="7" t="s">
        <v>1039</v>
      </c>
      <c r="D507" s="7">
        <v>506</v>
      </c>
      <c r="E507" s="7">
        <v>506</v>
      </c>
      <c r="F507" s="7">
        <v>506</v>
      </c>
      <c r="G507" s="11" t="s">
        <v>1024</v>
      </c>
      <c r="H507" s="20">
        <v>334908</v>
      </c>
      <c r="I507" s="12">
        <v>44876</v>
      </c>
      <c r="J507" s="12">
        <v>45180</v>
      </c>
      <c r="K507" s="25">
        <v>307270</v>
      </c>
      <c r="L507" s="23">
        <v>27638</v>
      </c>
      <c r="M507" s="11"/>
      <c r="N507" s="7" t="str">
        <f ca="1">_xlfn.IFNA(VLOOKUP("2"&amp;B507,CountSpecific!E:F,2,0),"")</f>
        <v/>
      </c>
      <c r="O507" s="14" t="str">
        <f ca="1">_xlfn.IFNA(VLOOKUP("3"&amp;B507,CountSpecific!E:F,2,0),"")</f>
        <v/>
      </c>
      <c r="P507" s="7" t="str">
        <f ca="1">_xlfn.IFNA(VLOOKUP("4"&amp;B507,CountSpecific!E:F,2,0),"")</f>
        <v/>
      </c>
    </row>
    <row r="508" spans="1:16" customFormat="1" x14ac:dyDescent="0.25">
      <c r="A508" s="7">
        <v>507</v>
      </c>
      <c r="B508" s="11" t="s">
        <v>523</v>
      </c>
      <c r="C508" s="7" t="s">
        <v>1039</v>
      </c>
      <c r="D508" s="7">
        <v>507</v>
      </c>
      <c r="E508" s="9">
        <v>507</v>
      </c>
      <c r="F508" s="7">
        <v>507</v>
      </c>
      <c r="G508" s="11" t="s">
        <v>1016</v>
      </c>
      <c r="H508" s="20">
        <v>3707</v>
      </c>
      <c r="I508" s="12">
        <v>45556</v>
      </c>
      <c r="J508" s="12">
        <v>46286</v>
      </c>
      <c r="K508" s="25">
        <v>2433</v>
      </c>
      <c r="L508" s="23">
        <v>1274</v>
      </c>
      <c r="M508" s="11"/>
      <c r="N508" s="7" t="str">
        <f ca="1">_xlfn.IFNA(VLOOKUP("2"&amp;B508,CountSpecific!E:F,2,0),"")</f>
        <v/>
      </c>
      <c r="O508" s="14" t="str">
        <f ca="1">_xlfn.IFNA(VLOOKUP("3"&amp;B508,CountSpecific!E:F,2,0),"")</f>
        <v/>
      </c>
      <c r="P508" s="7" t="str">
        <f ca="1">_xlfn.IFNA(VLOOKUP("4"&amp;B508,CountSpecific!E:F,2,0),"")</f>
        <v/>
      </c>
    </row>
    <row r="509" spans="1:16" customFormat="1" x14ac:dyDescent="0.25">
      <c r="A509" s="7">
        <v>508</v>
      </c>
      <c r="B509" s="11" t="s">
        <v>524</v>
      </c>
      <c r="C509" s="7" t="s">
        <v>1039</v>
      </c>
      <c r="D509" s="7">
        <v>508</v>
      </c>
      <c r="E509" s="7">
        <v>508</v>
      </c>
      <c r="F509" s="7">
        <v>508</v>
      </c>
      <c r="G509" s="11" t="s">
        <v>1024</v>
      </c>
      <c r="H509" s="20">
        <v>787061</v>
      </c>
      <c r="I509" s="12">
        <v>44545</v>
      </c>
      <c r="J509" s="12">
        <v>45092</v>
      </c>
      <c r="K509" s="25">
        <v>663620</v>
      </c>
      <c r="L509" s="23">
        <v>123441</v>
      </c>
      <c r="M509" s="11"/>
      <c r="N509" s="7" t="str">
        <f ca="1">_xlfn.IFNA(VLOOKUP("2"&amp;B509,CountSpecific!E:F,2,0),"")</f>
        <v/>
      </c>
      <c r="O509" s="14" t="str">
        <f ca="1">_xlfn.IFNA(VLOOKUP("3"&amp;B509,CountSpecific!E:F,2,0),"")</f>
        <v/>
      </c>
      <c r="P509" s="7" t="str">
        <f ca="1">_xlfn.IFNA(VLOOKUP("4"&amp;B509,CountSpecific!E:F,2,0),"")</f>
        <v/>
      </c>
    </row>
    <row r="510" spans="1:16" customFormat="1" x14ac:dyDescent="0.25">
      <c r="A510" s="7">
        <v>509</v>
      </c>
      <c r="B510" s="11" t="s">
        <v>525</v>
      </c>
      <c r="C510" s="7" t="s">
        <v>1039</v>
      </c>
      <c r="D510" s="7">
        <v>509</v>
      </c>
      <c r="E510" s="7">
        <v>509</v>
      </c>
      <c r="F510" s="7">
        <v>509</v>
      </c>
      <c r="G510" s="11" t="s">
        <v>1026</v>
      </c>
      <c r="H510" s="20">
        <v>2604107</v>
      </c>
      <c r="I510" s="12">
        <v>44552</v>
      </c>
      <c r="J510" s="12">
        <v>44764</v>
      </c>
      <c r="K510" s="25">
        <v>1998454</v>
      </c>
      <c r="L510" s="23">
        <v>605653</v>
      </c>
      <c r="M510" s="11"/>
      <c r="N510" s="7" t="str">
        <f ca="1">_xlfn.IFNA(VLOOKUP("2"&amp;B510,CountSpecific!E:F,2,0),"")</f>
        <v/>
      </c>
      <c r="O510" s="14" t="str">
        <f ca="1">_xlfn.IFNA(VLOOKUP("3"&amp;B510,CountSpecific!E:F,2,0),"")</f>
        <v/>
      </c>
      <c r="P510" s="7" t="str">
        <f ca="1">_xlfn.IFNA(VLOOKUP("4"&amp;B510,CountSpecific!E:F,2,0),"")</f>
        <v/>
      </c>
    </row>
    <row r="511" spans="1:16" customFormat="1" x14ac:dyDescent="0.25">
      <c r="A511" s="7">
        <v>510</v>
      </c>
      <c r="B511" s="11" t="s">
        <v>526</v>
      </c>
      <c r="C511" s="7" t="s">
        <v>1039</v>
      </c>
      <c r="D511" s="7">
        <v>510</v>
      </c>
      <c r="E511" s="9">
        <v>510</v>
      </c>
      <c r="F511" s="7">
        <v>510</v>
      </c>
      <c r="G511" s="11" t="s">
        <v>1022</v>
      </c>
      <c r="H511" s="20">
        <v>29864</v>
      </c>
      <c r="I511" s="12">
        <v>44191</v>
      </c>
      <c r="J511" s="12">
        <v>44799</v>
      </c>
      <c r="K511" s="25">
        <v>8755</v>
      </c>
      <c r="L511" s="23">
        <v>21109</v>
      </c>
      <c r="M511" s="11"/>
      <c r="N511" s="7" t="str">
        <f ca="1">_xlfn.IFNA(VLOOKUP("2"&amp;B511,CountSpecific!E:F,2,0),"")</f>
        <v/>
      </c>
      <c r="O511" s="14" t="str">
        <f ca="1">_xlfn.IFNA(VLOOKUP("3"&amp;B511,CountSpecific!E:F,2,0),"")</f>
        <v/>
      </c>
      <c r="P511" s="7" t="str">
        <f ca="1">_xlfn.IFNA(VLOOKUP("4"&amp;B511,CountSpecific!E:F,2,0),"")</f>
        <v/>
      </c>
    </row>
    <row r="512" spans="1:16" customFormat="1" x14ac:dyDescent="0.25">
      <c r="A512" s="7">
        <v>511</v>
      </c>
      <c r="B512" s="11" t="s">
        <v>527</v>
      </c>
      <c r="C512" s="7" t="s">
        <v>1039</v>
      </c>
      <c r="D512" s="7">
        <v>511</v>
      </c>
      <c r="E512" s="7">
        <v>511</v>
      </c>
      <c r="F512" s="7">
        <v>511</v>
      </c>
      <c r="G512" s="11" t="s">
        <v>1022</v>
      </c>
      <c r="H512" s="20">
        <v>20251</v>
      </c>
      <c r="I512" s="12">
        <v>45152</v>
      </c>
      <c r="J512" s="12">
        <v>45274</v>
      </c>
      <c r="K512" s="25">
        <v>15479</v>
      </c>
      <c r="L512" s="23">
        <v>4772</v>
      </c>
      <c r="M512" s="11"/>
      <c r="N512" s="7" t="str">
        <f ca="1">_xlfn.IFNA(VLOOKUP("2"&amp;B512,CountSpecific!E:F,2,0),"")</f>
        <v/>
      </c>
      <c r="O512" s="14" t="str">
        <f ca="1">_xlfn.IFNA(VLOOKUP("3"&amp;B512,CountSpecific!E:F,2,0),"")</f>
        <v/>
      </c>
      <c r="P512" s="7" t="str">
        <f ca="1">_xlfn.IFNA(VLOOKUP("4"&amp;B512,CountSpecific!E:F,2,0),"")</f>
        <v/>
      </c>
    </row>
    <row r="513" spans="1:16" customFormat="1" x14ac:dyDescent="0.25">
      <c r="A513" s="7">
        <v>512</v>
      </c>
      <c r="B513" s="11" t="s">
        <v>528</v>
      </c>
      <c r="C513" s="7" t="s">
        <v>1039</v>
      </c>
      <c r="D513" s="7">
        <v>512</v>
      </c>
      <c r="E513" s="7">
        <v>512</v>
      </c>
      <c r="F513" s="7">
        <v>512</v>
      </c>
      <c r="G513" s="11" t="s">
        <v>1021</v>
      </c>
      <c r="H513" s="20">
        <v>65978</v>
      </c>
      <c r="I513" s="12">
        <v>44505</v>
      </c>
      <c r="J513" s="12">
        <v>44597</v>
      </c>
      <c r="K513" s="25">
        <v>28585</v>
      </c>
      <c r="L513" s="23">
        <v>37393</v>
      </c>
      <c r="M513" s="11"/>
      <c r="N513" s="7" t="str">
        <f ca="1">_xlfn.IFNA(VLOOKUP("2"&amp;B513,CountSpecific!E:F,2,0),"")</f>
        <v/>
      </c>
      <c r="O513" s="14" t="str">
        <f ca="1">_xlfn.IFNA(VLOOKUP("3"&amp;B513,CountSpecific!E:F,2,0),"")</f>
        <v/>
      </c>
      <c r="P513" s="7" t="str">
        <f ca="1">_xlfn.IFNA(VLOOKUP("4"&amp;B513,CountSpecific!E:F,2,0),"")</f>
        <v/>
      </c>
    </row>
    <row r="514" spans="1:16" customFormat="1" x14ac:dyDescent="0.25">
      <c r="A514" s="7">
        <v>513</v>
      </c>
      <c r="B514" s="11" t="s">
        <v>529</v>
      </c>
      <c r="C514" s="7" t="s">
        <v>1039</v>
      </c>
      <c r="D514" s="7">
        <v>513</v>
      </c>
      <c r="E514" s="9">
        <v>513</v>
      </c>
      <c r="F514" s="7">
        <v>513</v>
      </c>
      <c r="G514" s="11" t="s">
        <v>1022</v>
      </c>
      <c r="H514" s="20">
        <v>16815</v>
      </c>
      <c r="I514" s="12">
        <v>45370</v>
      </c>
      <c r="J514" s="12">
        <v>45676</v>
      </c>
      <c r="K514" s="25">
        <v>16009</v>
      </c>
      <c r="L514" s="23">
        <v>806</v>
      </c>
      <c r="M514" s="11"/>
      <c r="N514" s="7" t="str">
        <f ca="1">_xlfn.IFNA(VLOOKUP("2"&amp;B514,CountSpecific!E:F,2,0),"")</f>
        <v/>
      </c>
      <c r="O514" s="14" t="str">
        <f ca="1">_xlfn.IFNA(VLOOKUP("3"&amp;B514,CountSpecific!E:F,2,0),"")</f>
        <v/>
      </c>
      <c r="P514" s="7" t="str">
        <f ca="1">_xlfn.IFNA(VLOOKUP("4"&amp;B514,CountSpecific!E:F,2,0),"")</f>
        <v/>
      </c>
    </row>
    <row r="515" spans="1:16" customFormat="1" x14ac:dyDescent="0.25">
      <c r="A515" s="7">
        <v>514</v>
      </c>
      <c r="B515" s="11" t="s">
        <v>530</v>
      </c>
      <c r="C515" s="7" t="s">
        <v>1039</v>
      </c>
      <c r="D515" s="7">
        <v>514</v>
      </c>
      <c r="E515" s="7">
        <v>514</v>
      </c>
      <c r="F515" s="7">
        <v>514</v>
      </c>
      <c r="G515" s="11" t="s">
        <v>1022</v>
      </c>
      <c r="H515" s="20">
        <v>12674</v>
      </c>
      <c r="I515" s="12">
        <v>44816</v>
      </c>
      <c r="J515" s="12">
        <v>45181</v>
      </c>
      <c r="K515" s="25">
        <v>7610</v>
      </c>
      <c r="L515" s="23">
        <v>5064</v>
      </c>
      <c r="M515" s="11"/>
      <c r="N515" s="7" t="str">
        <f ca="1">_xlfn.IFNA(VLOOKUP("2"&amp;B515,CountSpecific!E:F,2,0),"")</f>
        <v/>
      </c>
      <c r="O515" s="14" t="str">
        <f ca="1">_xlfn.IFNA(VLOOKUP("3"&amp;B515,CountSpecific!E:F,2,0),"")</f>
        <v/>
      </c>
      <c r="P515" s="7" t="str">
        <f ca="1">_xlfn.IFNA(VLOOKUP("4"&amp;B515,CountSpecific!E:F,2,0),"")</f>
        <v/>
      </c>
    </row>
    <row r="516" spans="1:16" customFormat="1" x14ac:dyDescent="0.25">
      <c r="A516" s="7">
        <v>515</v>
      </c>
      <c r="B516" s="11" t="s">
        <v>531</v>
      </c>
      <c r="C516" s="7" t="s">
        <v>1039</v>
      </c>
      <c r="D516" s="7">
        <v>515</v>
      </c>
      <c r="E516" s="7">
        <v>515</v>
      </c>
      <c r="F516" s="7">
        <v>515</v>
      </c>
      <c r="G516" s="11" t="s">
        <v>1016</v>
      </c>
      <c r="H516" s="20">
        <v>41271</v>
      </c>
      <c r="I516" s="12">
        <v>44506</v>
      </c>
      <c r="J516" s="12">
        <v>44598</v>
      </c>
      <c r="K516" s="25">
        <v>35694</v>
      </c>
      <c r="L516" s="23">
        <v>5577</v>
      </c>
      <c r="M516" s="11"/>
      <c r="N516" s="7" t="str">
        <f ca="1">_xlfn.IFNA(VLOOKUP("2"&amp;B516,CountSpecific!E:F,2,0),"")</f>
        <v/>
      </c>
      <c r="O516" s="14" t="str">
        <f ca="1">_xlfn.IFNA(VLOOKUP("3"&amp;B516,CountSpecific!E:F,2,0),"")</f>
        <v/>
      </c>
      <c r="P516" s="7" t="str">
        <f ca="1">_xlfn.IFNA(VLOOKUP("4"&amp;B516,CountSpecific!E:F,2,0),"")</f>
        <v/>
      </c>
    </row>
    <row r="517" spans="1:16" customFormat="1" x14ac:dyDescent="0.25">
      <c r="A517" s="7">
        <v>516</v>
      </c>
      <c r="B517" s="11" t="s">
        <v>532</v>
      </c>
      <c r="C517" s="7" t="s">
        <v>1039</v>
      </c>
      <c r="D517" s="7">
        <v>516</v>
      </c>
      <c r="E517" s="9">
        <v>516</v>
      </c>
      <c r="F517" s="7">
        <v>516</v>
      </c>
      <c r="G517" s="11" t="s">
        <v>1020</v>
      </c>
      <c r="H517" s="20">
        <v>232263</v>
      </c>
      <c r="I517" s="12">
        <v>45660</v>
      </c>
      <c r="J517" s="12">
        <v>46115</v>
      </c>
      <c r="K517" s="25">
        <v>179673</v>
      </c>
      <c r="L517" s="23">
        <v>52590</v>
      </c>
      <c r="M517" s="11"/>
      <c r="N517" s="7" t="str">
        <f ca="1">_xlfn.IFNA(VLOOKUP("2"&amp;B517,CountSpecific!E:F,2,0),"")</f>
        <v/>
      </c>
      <c r="O517" s="14" t="str">
        <f ca="1">_xlfn.IFNA(VLOOKUP("3"&amp;B517,CountSpecific!E:F,2,0),"")</f>
        <v/>
      </c>
      <c r="P517" s="7" t="str">
        <f ca="1">_xlfn.IFNA(VLOOKUP("4"&amp;B517,CountSpecific!E:F,2,0),"")</f>
        <v/>
      </c>
    </row>
    <row r="518" spans="1:16" customFormat="1" x14ac:dyDescent="0.25">
      <c r="A518" s="7">
        <v>517</v>
      </c>
      <c r="B518" s="11" t="s">
        <v>533</v>
      </c>
      <c r="C518" s="7" t="s">
        <v>1039</v>
      </c>
      <c r="D518" s="7">
        <v>517</v>
      </c>
      <c r="E518" s="7">
        <v>517</v>
      </c>
      <c r="F518" s="7">
        <v>517</v>
      </c>
      <c r="G518" s="11" t="s">
        <v>1023</v>
      </c>
      <c r="H518" s="20">
        <v>857</v>
      </c>
      <c r="I518" s="12">
        <v>44130</v>
      </c>
      <c r="J518" s="12">
        <v>44161</v>
      </c>
      <c r="K518" s="25">
        <v>239</v>
      </c>
      <c r="L518" s="23">
        <v>618</v>
      </c>
      <c r="M518" s="11"/>
      <c r="N518" s="7" t="str">
        <f ca="1">_xlfn.IFNA(VLOOKUP("2"&amp;B518,CountSpecific!E:F,2,0),"")</f>
        <v/>
      </c>
      <c r="O518" s="14" t="str">
        <f ca="1">_xlfn.IFNA(VLOOKUP("3"&amp;B518,CountSpecific!E:F,2,0),"")</f>
        <v/>
      </c>
      <c r="P518" s="7" t="str">
        <f ca="1">_xlfn.IFNA(VLOOKUP("4"&amp;B518,CountSpecific!E:F,2,0),"")</f>
        <v/>
      </c>
    </row>
    <row r="519" spans="1:16" customFormat="1" x14ac:dyDescent="0.25">
      <c r="A519" s="7">
        <v>518</v>
      </c>
      <c r="B519" s="11" t="s">
        <v>534</v>
      </c>
      <c r="C519" s="7" t="s">
        <v>1039</v>
      </c>
      <c r="D519" s="7">
        <v>518</v>
      </c>
      <c r="E519" s="7">
        <v>518</v>
      </c>
      <c r="F519" s="7">
        <v>518</v>
      </c>
      <c r="G519" s="11" t="s">
        <v>1023</v>
      </c>
      <c r="H519" s="20">
        <v>1264</v>
      </c>
      <c r="I519" s="12">
        <v>44897</v>
      </c>
      <c r="J519" s="12">
        <v>45414</v>
      </c>
      <c r="K519" s="25">
        <v>263</v>
      </c>
      <c r="L519" s="23">
        <v>1001</v>
      </c>
      <c r="M519" s="11"/>
      <c r="N519" s="7" t="str">
        <f ca="1">_xlfn.IFNA(VLOOKUP("2"&amp;B519,CountSpecific!E:F,2,0),"")</f>
        <v/>
      </c>
      <c r="O519" s="14" t="str">
        <f ca="1">_xlfn.IFNA(VLOOKUP("3"&amp;B519,CountSpecific!E:F,2,0),"")</f>
        <v/>
      </c>
      <c r="P519" s="7" t="str">
        <f ca="1">_xlfn.IFNA(VLOOKUP("4"&amp;B519,CountSpecific!E:F,2,0),"")</f>
        <v/>
      </c>
    </row>
    <row r="520" spans="1:16" customFormat="1" x14ac:dyDescent="0.25">
      <c r="A520" s="7">
        <v>519</v>
      </c>
      <c r="B520" s="11" t="s">
        <v>535</v>
      </c>
      <c r="C520" s="7" t="s">
        <v>1039</v>
      </c>
      <c r="D520" s="7">
        <v>519</v>
      </c>
      <c r="E520" s="9">
        <v>519</v>
      </c>
      <c r="F520" s="7">
        <v>519</v>
      </c>
      <c r="G520" s="11" t="s">
        <v>1021</v>
      </c>
      <c r="H520" s="20">
        <v>34117</v>
      </c>
      <c r="I520" s="12">
        <v>44636</v>
      </c>
      <c r="J520" s="12">
        <v>44789</v>
      </c>
      <c r="K520" s="25">
        <v>32071</v>
      </c>
      <c r="L520" s="23">
        <v>2046</v>
      </c>
      <c r="M520" s="11"/>
      <c r="N520" s="7" t="str">
        <f ca="1">_xlfn.IFNA(VLOOKUP("2"&amp;B520,CountSpecific!E:F,2,0),"")</f>
        <v/>
      </c>
      <c r="O520" s="14" t="str">
        <f ca="1">_xlfn.IFNA(VLOOKUP("3"&amp;B520,CountSpecific!E:F,2,0),"")</f>
        <v/>
      </c>
      <c r="P520" s="7" t="str">
        <f ca="1">_xlfn.IFNA(VLOOKUP("4"&amp;B520,CountSpecific!E:F,2,0),"")</f>
        <v/>
      </c>
    </row>
    <row r="521" spans="1:16" customFormat="1" x14ac:dyDescent="0.25">
      <c r="A521" s="7">
        <v>520</v>
      </c>
      <c r="B521" s="11" t="s">
        <v>536</v>
      </c>
      <c r="C521" s="7" t="s">
        <v>1039</v>
      </c>
      <c r="D521" s="7">
        <v>520</v>
      </c>
      <c r="E521" s="7">
        <v>520</v>
      </c>
      <c r="F521" s="7">
        <v>520</v>
      </c>
      <c r="G521" s="11" t="s">
        <v>1020</v>
      </c>
      <c r="H521" s="20">
        <v>267883</v>
      </c>
      <c r="I521" s="12">
        <v>44448</v>
      </c>
      <c r="J521" s="12">
        <v>44509</v>
      </c>
      <c r="K521" s="25">
        <v>8607</v>
      </c>
      <c r="L521" s="23">
        <v>259276</v>
      </c>
      <c r="M521" s="11"/>
      <c r="N521" s="7" t="str">
        <f ca="1">_xlfn.IFNA(VLOOKUP("2"&amp;B521,CountSpecific!E:F,2,0),"")</f>
        <v/>
      </c>
      <c r="O521" s="14" t="str">
        <f ca="1">_xlfn.IFNA(VLOOKUP("3"&amp;B521,CountSpecific!E:F,2,0),"")</f>
        <v/>
      </c>
      <c r="P521" s="7" t="str">
        <f ca="1">_xlfn.IFNA(VLOOKUP("4"&amp;B521,CountSpecific!E:F,2,0),"")</f>
        <v/>
      </c>
    </row>
    <row r="522" spans="1:16" customFormat="1" x14ac:dyDescent="0.25">
      <c r="A522" s="7">
        <v>521</v>
      </c>
      <c r="B522" s="11" t="s">
        <v>537</v>
      </c>
      <c r="C522" s="7" t="s">
        <v>1039</v>
      </c>
      <c r="D522" s="7">
        <v>521</v>
      </c>
      <c r="E522" s="7">
        <v>521</v>
      </c>
      <c r="F522" s="7">
        <v>521</v>
      </c>
      <c r="G522" s="11" t="s">
        <v>1022</v>
      </c>
      <c r="H522" s="20">
        <v>18362</v>
      </c>
      <c r="I522" s="12">
        <v>44002</v>
      </c>
      <c r="J522" s="12">
        <v>44612</v>
      </c>
      <c r="K522" s="25">
        <v>2934</v>
      </c>
      <c r="L522" s="23">
        <v>15428</v>
      </c>
      <c r="M522" s="11"/>
      <c r="N522" s="7" t="str">
        <f ca="1">_xlfn.IFNA(VLOOKUP("2"&amp;B522,CountSpecific!E:F,2,0),"")</f>
        <v/>
      </c>
      <c r="O522" s="14" t="str">
        <f ca="1">_xlfn.IFNA(VLOOKUP("3"&amp;B522,CountSpecific!E:F,2,0),"")</f>
        <v/>
      </c>
      <c r="P522" s="7" t="str">
        <f ca="1">_xlfn.IFNA(VLOOKUP("4"&amp;B522,CountSpecific!E:F,2,0),"")</f>
        <v/>
      </c>
    </row>
    <row r="523" spans="1:16" customFormat="1" x14ac:dyDescent="0.25">
      <c r="A523" s="7">
        <v>522</v>
      </c>
      <c r="B523" s="11" t="s">
        <v>538</v>
      </c>
      <c r="C523" s="7" t="s">
        <v>1039</v>
      </c>
      <c r="D523" s="7">
        <v>522</v>
      </c>
      <c r="E523" s="9">
        <v>522</v>
      </c>
      <c r="F523" s="7">
        <v>522</v>
      </c>
      <c r="G523" s="11" t="s">
        <v>1021</v>
      </c>
      <c r="H523" s="20">
        <v>59411</v>
      </c>
      <c r="I523" s="12">
        <v>45100</v>
      </c>
      <c r="J523" s="12">
        <v>45374</v>
      </c>
      <c r="K523" s="25">
        <v>47476</v>
      </c>
      <c r="L523" s="23">
        <v>11935</v>
      </c>
      <c r="M523" s="11"/>
      <c r="N523" s="7" t="str">
        <f ca="1">_xlfn.IFNA(VLOOKUP("2"&amp;B523,CountSpecific!E:F,2,0),"")</f>
        <v/>
      </c>
      <c r="O523" s="14" t="str">
        <f ca="1">_xlfn.IFNA(VLOOKUP("3"&amp;B523,CountSpecific!E:F,2,0),"")</f>
        <v/>
      </c>
      <c r="P523" s="7" t="str">
        <f ca="1">_xlfn.IFNA(VLOOKUP("4"&amp;B523,CountSpecific!E:F,2,0),"")</f>
        <v/>
      </c>
    </row>
    <row r="524" spans="1:16" customFormat="1" x14ac:dyDescent="0.25">
      <c r="A524" s="7">
        <v>523</v>
      </c>
      <c r="B524" s="11" t="s">
        <v>539</v>
      </c>
      <c r="C524" s="7" t="s">
        <v>1039</v>
      </c>
      <c r="D524" s="7">
        <v>523</v>
      </c>
      <c r="E524" s="7">
        <v>523</v>
      </c>
      <c r="F524" s="7">
        <v>523</v>
      </c>
      <c r="G524" s="11" t="s">
        <v>1026</v>
      </c>
      <c r="H524" s="20">
        <v>780852</v>
      </c>
      <c r="I524" s="12">
        <v>44785</v>
      </c>
      <c r="J524" s="12">
        <v>44846</v>
      </c>
      <c r="K524" s="25">
        <v>224362</v>
      </c>
      <c r="L524" s="23">
        <v>556490</v>
      </c>
      <c r="M524" s="11"/>
      <c r="N524" s="7" t="str">
        <f ca="1">_xlfn.IFNA(VLOOKUP("2"&amp;B524,CountSpecific!E:F,2,0),"")</f>
        <v/>
      </c>
      <c r="O524" s="14" t="str">
        <f ca="1">_xlfn.IFNA(VLOOKUP("3"&amp;B524,CountSpecific!E:F,2,0),"")</f>
        <v/>
      </c>
      <c r="P524" s="7" t="str">
        <f ca="1">_xlfn.IFNA(VLOOKUP("4"&amp;B524,CountSpecific!E:F,2,0),"")</f>
        <v/>
      </c>
    </row>
    <row r="525" spans="1:16" customFormat="1" x14ac:dyDescent="0.25">
      <c r="A525" s="7">
        <v>524</v>
      </c>
      <c r="B525" s="11" t="s">
        <v>540</v>
      </c>
      <c r="C525" s="7" t="s">
        <v>1039</v>
      </c>
      <c r="D525" s="7">
        <v>524</v>
      </c>
      <c r="E525" s="7">
        <v>524</v>
      </c>
      <c r="F525" s="7">
        <v>524</v>
      </c>
      <c r="G525" s="11" t="s">
        <v>1021</v>
      </c>
      <c r="H525" s="20">
        <v>81744</v>
      </c>
      <c r="I525" s="12">
        <v>43944</v>
      </c>
      <c r="J525" s="12">
        <v>44462</v>
      </c>
      <c r="K525" s="25">
        <v>42922</v>
      </c>
      <c r="L525" s="23">
        <v>38822</v>
      </c>
      <c r="M525" s="11"/>
      <c r="N525" s="7" t="str">
        <f ca="1">_xlfn.IFNA(VLOOKUP("2"&amp;B525,CountSpecific!E:F,2,0),"")</f>
        <v/>
      </c>
      <c r="O525" s="14" t="str">
        <f ca="1">_xlfn.IFNA(VLOOKUP("3"&amp;B525,CountSpecific!E:F,2,0),"")</f>
        <v/>
      </c>
      <c r="P525" s="7" t="str">
        <f ca="1">_xlfn.IFNA(VLOOKUP("4"&amp;B525,CountSpecific!E:F,2,0),"")</f>
        <v/>
      </c>
    </row>
    <row r="526" spans="1:16" customFormat="1" x14ac:dyDescent="0.25">
      <c r="A526" s="7">
        <v>525</v>
      </c>
      <c r="B526" s="11" t="s">
        <v>541</v>
      </c>
      <c r="C526" s="7" t="s">
        <v>1039</v>
      </c>
      <c r="D526" s="7">
        <v>525</v>
      </c>
      <c r="E526" s="9">
        <v>525</v>
      </c>
      <c r="F526" s="7">
        <v>525</v>
      </c>
      <c r="G526" s="11" t="s">
        <v>1022</v>
      </c>
      <c r="H526" s="20">
        <v>14769</v>
      </c>
      <c r="I526" s="12">
        <v>44681</v>
      </c>
      <c r="J526" s="12">
        <v>44925</v>
      </c>
      <c r="K526" s="25">
        <v>1842</v>
      </c>
      <c r="L526" s="23">
        <v>12927</v>
      </c>
      <c r="M526" s="11"/>
      <c r="N526" s="7" t="str">
        <f ca="1">_xlfn.IFNA(VLOOKUP("2"&amp;B526,CountSpecific!E:F,2,0),"")</f>
        <v/>
      </c>
      <c r="O526" s="14" t="str">
        <f ca="1">_xlfn.IFNA(VLOOKUP("3"&amp;B526,CountSpecific!E:F,2,0),"")</f>
        <v/>
      </c>
      <c r="P526" s="7" t="str">
        <f ca="1">_xlfn.IFNA(VLOOKUP("4"&amp;B526,CountSpecific!E:F,2,0),"")</f>
        <v/>
      </c>
    </row>
    <row r="527" spans="1:16" customFormat="1" x14ac:dyDescent="0.25">
      <c r="A527" s="7">
        <v>526</v>
      </c>
      <c r="B527" s="11" t="s">
        <v>542</v>
      </c>
      <c r="C527" s="7" t="s">
        <v>1039</v>
      </c>
      <c r="D527" s="7">
        <v>526</v>
      </c>
      <c r="E527" s="7">
        <v>526</v>
      </c>
      <c r="F527" s="7">
        <v>526</v>
      </c>
      <c r="G527" s="11" t="s">
        <v>1016</v>
      </c>
      <c r="H527" s="20">
        <v>9639</v>
      </c>
      <c r="I527" s="12">
        <v>44410</v>
      </c>
      <c r="J527" s="12">
        <v>44683</v>
      </c>
      <c r="K527" s="25">
        <v>7653</v>
      </c>
      <c r="L527" s="23">
        <v>1986</v>
      </c>
      <c r="M527" s="11"/>
      <c r="N527" s="7" t="str">
        <f ca="1">_xlfn.IFNA(VLOOKUP("2"&amp;B527,CountSpecific!E:F,2,0),"")</f>
        <v/>
      </c>
      <c r="O527" s="14" t="str">
        <f ca="1">_xlfn.IFNA(VLOOKUP("3"&amp;B527,CountSpecific!E:F,2,0),"")</f>
        <v/>
      </c>
      <c r="P527" s="7" t="str">
        <f ca="1">_xlfn.IFNA(VLOOKUP("4"&amp;B527,CountSpecific!E:F,2,0),"")</f>
        <v/>
      </c>
    </row>
    <row r="528" spans="1:16" customFormat="1" x14ac:dyDescent="0.25">
      <c r="A528" s="7">
        <v>527</v>
      </c>
      <c r="B528" s="11" t="s">
        <v>543</v>
      </c>
      <c r="C528" s="7" t="s">
        <v>1039</v>
      </c>
      <c r="D528" s="7">
        <v>527</v>
      </c>
      <c r="E528" s="7">
        <v>527</v>
      </c>
      <c r="F528" s="7">
        <v>527</v>
      </c>
      <c r="G528" s="11" t="s">
        <v>1021</v>
      </c>
      <c r="H528" s="20">
        <v>94737</v>
      </c>
      <c r="I528" s="12">
        <v>45133</v>
      </c>
      <c r="J528" s="12">
        <v>45714</v>
      </c>
      <c r="K528" s="25">
        <v>34084</v>
      </c>
      <c r="L528" s="23">
        <v>60653</v>
      </c>
      <c r="M528" s="11"/>
      <c r="N528" s="7" t="str">
        <f ca="1">_xlfn.IFNA(VLOOKUP("2"&amp;B528,CountSpecific!E:F,2,0),"")</f>
        <v/>
      </c>
      <c r="O528" s="14" t="str">
        <f ca="1">_xlfn.IFNA(VLOOKUP("3"&amp;B528,CountSpecific!E:F,2,0),"")</f>
        <v/>
      </c>
      <c r="P528" s="7" t="str">
        <f ca="1">_xlfn.IFNA(VLOOKUP("4"&amp;B528,CountSpecific!E:F,2,0),"")</f>
        <v/>
      </c>
    </row>
    <row r="529" spans="1:16" customFormat="1" x14ac:dyDescent="0.25">
      <c r="A529" s="7">
        <v>528</v>
      </c>
      <c r="B529" s="11" t="s">
        <v>544</v>
      </c>
      <c r="C529" s="7" t="s">
        <v>1039</v>
      </c>
      <c r="D529" s="7">
        <v>528</v>
      </c>
      <c r="E529" s="9">
        <v>528</v>
      </c>
      <c r="F529" s="7">
        <v>528</v>
      </c>
      <c r="G529" s="11" t="s">
        <v>1016</v>
      </c>
      <c r="H529" s="20">
        <v>14505</v>
      </c>
      <c r="I529" s="12">
        <v>45467</v>
      </c>
      <c r="J529" s="12">
        <v>45801</v>
      </c>
      <c r="K529" s="25">
        <v>4609</v>
      </c>
      <c r="L529" s="23">
        <v>9896</v>
      </c>
      <c r="M529" s="11"/>
      <c r="N529" s="7" t="str">
        <f ca="1">_xlfn.IFNA(VLOOKUP("2"&amp;B529,CountSpecific!E:F,2,0),"")</f>
        <v/>
      </c>
      <c r="O529" s="14" t="str">
        <f ca="1">_xlfn.IFNA(VLOOKUP("3"&amp;B529,CountSpecific!E:F,2,0),"")</f>
        <v/>
      </c>
      <c r="P529" s="7" t="str">
        <f ca="1">_xlfn.IFNA(VLOOKUP("4"&amp;B529,CountSpecific!E:F,2,0),"")</f>
        <v/>
      </c>
    </row>
    <row r="530" spans="1:16" customFormat="1" x14ac:dyDescent="0.25">
      <c r="A530" s="7">
        <v>529</v>
      </c>
      <c r="B530" s="11" t="s">
        <v>545</v>
      </c>
      <c r="C530" s="7" t="s">
        <v>1039</v>
      </c>
      <c r="D530" s="7">
        <v>529</v>
      </c>
      <c r="E530" s="7">
        <v>529</v>
      </c>
      <c r="F530" s="7">
        <v>529</v>
      </c>
      <c r="G530" s="11" t="s">
        <v>1016</v>
      </c>
      <c r="H530" s="20">
        <v>45229</v>
      </c>
      <c r="I530" s="12">
        <v>44807</v>
      </c>
      <c r="J530" s="12">
        <v>45049</v>
      </c>
      <c r="K530" s="25">
        <v>24279</v>
      </c>
      <c r="L530" s="23">
        <v>20950</v>
      </c>
      <c r="M530" s="11"/>
      <c r="N530" s="7" t="str">
        <f ca="1">_xlfn.IFNA(VLOOKUP("2"&amp;B530,CountSpecific!E:F,2,0),"")</f>
        <v/>
      </c>
      <c r="O530" s="14" t="str">
        <f ca="1">_xlfn.IFNA(VLOOKUP("3"&amp;B530,CountSpecific!E:F,2,0),"")</f>
        <v/>
      </c>
      <c r="P530" s="7" t="str">
        <f ca="1">_xlfn.IFNA(VLOOKUP("4"&amp;B530,CountSpecific!E:F,2,0),"")</f>
        <v/>
      </c>
    </row>
    <row r="531" spans="1:16" customFormat="1" x14ac:dyDescent="0.25">
      <c r="A531" s="7">
        <v>530</v>
      </c>
      <c r="B531" s="11" t="s">
        <v>546</v>
      </c>
      <c r="C531" s="7" t="s">
        <v>1039</v>
      </c>
      <c r="D531" s="7">
        <v>530</v>
      </c>
      <c r="E531" s="7">
        <v>530</v>
      </c>
      <c r="F531" s="7">
        <v>530</v>
      </c>
      <c r="G531" s="11" t="s">
        <v>1022</v>
      </c>
      <c r="H531" s="20">
        <v>33025</v>
      </c>
      <c r="I531" s="12">
        <v>45498</v>
      </c>
      <c r="J531" s="12">
        <v>45529</v>
      </c>
      <c r="K531" s="25">
        <v>11607</v>
      </c>
      <c r="L531" s="23">
        <v>21418</v>
      </c>
      <c r="M531" s="11"/>
      <c r="N531" s="7" t="str">
        <f ca="1">_xlfn.IFNA(VLOOKUP("2"&amp;B531,CountSpecific!E:F,2,0),"")</f>
        <v/>
      </c>
      <c r="O531" s="14" t="str">
        <f ca="1">_xlfn.IFNA(VLOOKUP("3"&amp;B531,CountSpecific!E:F,2,0),"")</f>
        <v/>
      </c>
      <c r="P531" s="7" t="str">
        <f ca="1">_xlfn.IFNA(VLOOKUP("4"&amp;B531,CountSpecific!E:F,2,0),"")</f>
        <v/>
      </c>
    </row>
    <row r="532" spans="1:16" customFormat="1" x14ac:dyDescent="0.25">
      <c r="A532" s="7">
        <v>531</v>
      </c>
      <c r="B532" s="11" t="s">
        <v>547</v>
      </c>
      <c r="C532" s="7" t="s">
        <v>1039</v>
      </c>
      <c r="D532" s="7">
        <v>531</v>
      </c>
      <c r="E532" s="9">
        <v>531</v>
      </c>
      <c r="F532" s="7">
        <v>531</v>
      </c>
      <c r="G532" s="11" t="s">
        <v>1025</v>
      </c>
      <c r="H532" s="20">
        <v>291056</v>
      </c>
      <c r="I532" s="12">
        <v>45595</v>
      </c>
      <c r="J532" s="12">
        <v>45807</v>
      </c>
      <c r="K532" s="25">
        <v>108607</v>
      </c>
      <c r="L532" s="23">
        <v>182449</v>
      </c>
      <c r="M532" s="11"/>
      <c r="N532" s="7" t="str">
        <f ca="1">_xlfn.IFNA(VLOOKUP("2"&amp;B532,CountSpecific!E:F,2,0),"")</f>
        <v/>
      </c>
      <c r="O532" s="14" t="str">
        <f ca="1">_xlfn.IFNA(VLOOKUP("3"&amp;B532,CountSpecific!E:F,2,0),"")</f>
        <v/>
      </c>
      <c r="P532" s="7" t="str">
        <f ca="1">_xlfn.IFNA(VLOOKUP("4"&amp;B532,CountSpecific!E:F,2,0),"")</f>
        <v/>
      </c>
    </row>
    <row r="533" spans="1:16" customFormat="1" x14ac:dyDescent="0.25">
      <c r="A533" s="7">
        <v>532</v>
      </c>
      <c r="B533" s="11" t="s">
        <v>548</v>
      </c>
      <c r="C533" s="7" t="s">
        <v>1039</v>
      </c>
      <c r="D533" s="7">
        <v>532</v>
      </c>
      <c r="E533" s="7">
        <v>532</v>
      </c>
      <c r="F533" s="7">
        <v>532</v>
      </c>
      <c r="G533" s="11" t="s">
        <v>1024</v>
      </c>
      <c r="H533" s="20">
        <v>262251</v>
      </c>
      <c r="I533" s="12">
        <v>45342</v>
      </c>
      <c r="J533" s="12">
        <v>45767</v>
      </c>
      <c r="K533" s="25">
        <v>150537</v>
      </c>
      <c r="L533" s="23">
        <v>111714</v>
      </c>
      <c r="M533" s="11"/>
      <c r="N533" s="7" t="str">
        <f ca="1">_xlfn.IFNA(VLOOKUP("2"&amp;B533,CountSpecific!E:F,2,0),"")</f>
        <v/>
      </c>
      <c r="O533" s="14" t="str">
        <f ca="1">_xlfn.IFNA(VLOOKUP("3"&amp;B533,CountSpecific!E:F,2,0),"")</f>
        <v/>
      </c>
      <c r="P533" s="7" t="str">
        <f ca="1">_xlfn.IFNA(VLOOKUP("4"&amp;B533,CountSpecific!E:F,2,0),"")</f>
        <v/>
      </c>
    </row>
    <row r="534" spans="1:16" customFormat="1" x14ac:dyDescent="0.25">
      <c r="A534" s="7">
        <v>533</v>
      </c>
      <c r="B534" s="11" t="s">
        <v>549</v>
      </c>
      <c r="C534" s="7" t="s">
        <v>1039</v>
      </c>
      <c r="D534" s="7">
        <v>533</v>
      </c>
      <c r="E534" s="7">
        <v>533</v>
      </c>
      <c r="F534" s="7">
        <v>533</v>
      </c>
      <c r="G534" s="11" t="s">
        <v>1020</v>
      </c>
      <c r="H534" s="20">
        <v>378733</v>
      </c>
      <c r="I534" s="12">
        <v>44266</v>
      </c>
      <c r="J534" s="12">
        <v>44784</v>
      </c>
      <c r="K534" s="25">
        <v>274646</v>
      </c>
      <c r="L534" s="23">
        <v>104087</v>
      </c>
      <c r="M534" s="11"/>
      <c r="N534" s="7" t="str">
        <f ca="1">_xlfn.IFNA(VLOOKUP("2"&amp;B534,CountSpecific!E:F,2,0),"")</f>
        <v/>
      </c>
      <c r="O534" s="14" t="str">
        <f ca="1">_xlfn.IFNA(VLOOKUP("3"&amp;B534,CountSpecific!E:F,2,0),"")</f>
        <v/>
      </c>
      <c r="P534" s="7" t="str">
        <f ca="1">_xlfn.IFNA(VLOOKUP("4"&amp;B534,CountSpecific!E:F,2,0),"")</f>
        <v/>
      </c>
    </row>
    <row r="535" spans="1:16" customFormat="1" x14ac:dyDescent="0.25">
      <c r="A535" s="7">
        <v>534</v>
      </c>
      <c r="B535" s="11" t="s">
        <v>550</v>
      </c>
      <c r="C535" s="7" t="s">
        <v>1039</v>
      </c>
      <c r="D535" s="7">
        <v>534</v>
      </c>
      <c r="E535" s="9">
        <v>534</v>
      </c>
      <c r="F535" s="7">
        <v>534</v>
      </c>
      <c r="G535" s="11" t="s">
        <v>1027</v>
      </c>
      <c r="H535" s="20">
        <v>27631</v>
      </c>
      <c r="I535" s="12">
        <v>44708</v>
      </c>
      <c r="J535" s="12">
        <v>45439</v>
      </c>
      <c r="K535" s="25">
        <v>25540</v>
      </c>
      <c r="L535" s="23">
        <v>2091</v>
      </c>
      <c r="M535" s="11"/>
      <c r="N535" s="7" t="str">
        <f ca="1">_xlfn.IFNA(VLOOKUP("2"&amp;B535,CountSpecific!E:F,2,0),"")</f>
        <v/>
      </c>
      <c r="O535" s="14" t="str">
        <f ca="1">_xlfn.IFNA(VLOOKUP("3"&amp;B535,CountSpecific!E:F,2,0),"")</f>
        <v/>
      </c>
      <c r="P535" s="7" t="str">
        <f ca="1">_xlfn.IFNA(VLOOKUP("4"&amp;B535,CountSpecific!E:F,2,0),"")</f>
        <v/>
      </c>
    </row>
    <row r="536" spans="1:16" customFormat="1" x14ac:dyDescent="0.25">
      <c r="A536" s="7">
        <v>535</v>
      </c>
      <c r="B536" s="11" t="s">
        <v>551</v>
      </c>
      <c r="C536" s="7" t="s">
        <v>1039</v>
      </c>
      <c r="D536" s="7">
        <v>535</v>
      </c>
      <c r="E536" s="7">
        <v>535</v>
      </c>
      <c r="F536" s="7">
        <v>535</v>
      </c>
      <c r="G536" s="11" t="s">
        <v>1020</v>
      </c>
      <c r="H536" s="20">
        <v>46158</v>
      </c>
      <c r="I536" s="12">
        <v>44923</v>
      </c>
      <c r="J536" s="12">
        <v>45379</v>
      </c>
      <c r="K536" s="25">
        <v>15745</v>
      </c>
      <c r="L536" s="23">
        <v>30413</v>
      </c>
      <c r="M536" s="11"/>
      <c r="N536" s="7" t="str">
        <f ca="1">_xlfn.IFNA(VLOOKUP("2"&amp;B536,CountSpecific!E:F,2,0),"")</f>
        <v/>
      </c>
      <c r="O536" s="14" t="str">
        <f ca="1">_xlfn.IFNA(VLOOKUP("3"&amp;B536,CountSpecific!E:F,2,0),"")</f>
        <v/>
      </c>
      <c r="P536" s="7" t="str">
        <f ca="1">_xlfn.IFNA(VLOOKUP("4"&amp;B536,CountSpecific!E:F,2,0),"")</f>
        <v/>
      </c>
    </row>
    <row r="537" spans="1:16" customFormat="1" x14ac:dyDescent="0.25">
      <c r="A537" s="7">
        <v>536</v>
      </c>
      <c r="B537" s="11" t="s">
        <v>552</v>
      </c>
      <c r="C537" s="7" t="s">
        <v>1039</v>
      </c>
      <c r="D537" s="7">
        <v>536</v>
      </c>
      <c r="E537" s="7">
        <v>536</v>
      </c>
      <c r="F537" s="7">
        <v>536</v>
      </c>
      <c r="G537" s="11" t="s">
        <v>1027</v>
      </c>
      <c r="H537" s="20">
        <v>29115</v>
      </c>
      <c r="I537" s="12">
        <v>44208</v>
      </c>
      <c r="J537" s="12">
        <v>44907</v>
      </c>
      <c r="K537" s="25">
        <v>2110</v>
      </c>
      <c r="L537" s="23">
        <v>27005</v>
      </c>
      <c r="M537" s="11"/>
      <c r="N537" s="7" t="str">
        <f ca="1">_xlfn.IFNA(VLOOKUP("2"&amp;B537,CountSpecific!E:F,2,0),"")</f>
        <v/>
      </c>
      <c r="O537" s="14" t="str">
        <f ca="1">_xlfn.IFNA(VLOOKUP("3"&amp;B537,CountSpecific!E:F,2,0),"")</f>
        <v/>
      </c>
      <c r="P537" s="7" t="str">
        <f ca="1">_xlfn.IFNA(VLOOKUP("4"&amp;B537,CountSpecific!E:F,2,0),"")</f>
        <v/>
      </c>
    </row>
    <row r="538" spans="1:16" customFormat="1" x14ac:dyDescent="0.25">
      <c r="A538" s="7">
        <v>537</v>
      </c>
      <c r="B538" s="11" t="s">
        <v>553</v>
      </c>
      <c r="C538" s="7" t="s">
        <v>1039</v>
      </c>
      <c r="D538" s="7">
        <v>537</v>
      </c>
      <c r="E538" s="9">
        <v>537</v>
      </c>
      <c r="F538" s="7">
        <v>537</v>
      </c>
      <c r="G538" s="11" t="s">
        <v>1023</v>
      </c>
      <c r="H538" s="20">
        <v>979</v>
      </c>
      <c r="I538" s="12">
        <v>44890</v>
      </c>
      <c r="J538" s="12">
        <v>45132</v>
      </c>
      <c r="K538" s="25">
        <v>943</v>
      </c>
      <c r="L538" s="23">
        <v>36</v>
      </c>
      <c r="M538" s="11"/>
      <c r="N538" s="7" t="str">
        <f ca="1">_xlfn.IFNA(VLOOKUP("2"&amp;B538,CountSpecific!E:F,2,0),"")</f>
        <v/>
      </c>
      <c r="O538" s="14" t="str">
        <f ca="1">_xlfn.IFNA(VLOOKUP("3"&amp;B538,CountSpecific!E:F,2,0),"")</f>
        <v/>
      </c>
      <c r="P538" s="7" t="str">
        <f ca="1">_xlfn.IFNA(VLOOKUP("4"&amp;B538,CountSpecific!E:F,2,0),"")</f>
        <v/>
      </c>
    </row>
    <row r="539" spans="1:16" customFormat="1" x14ac:dyDescent="0.25">
      <c r="A539" s="7">
        <v>538</v>
      </c>
      <c r="B539" s="11" t="s">
        <v>554</v>
      </c>
      <c r="C539" s="7" t="s">
        <v>1039</v>
      </c>
      <c r="D539" s="7">
        <v>538</v>
      </c>
      <c r="E539" s="7">
        <v>538</v>
      </c>
      <c r="F539" s="7">
        <v>538</v>
      </c>
      <c r="G539" s="11" t="s">
        <v>1024</v>
      </c>
      <c r="H539" s="20">
        <v>749646</v>
      </c>
      <c r="I539" s="12">
        <v>44637</v>
      </c>
      <c r="J539" s="12">
        <v>44943</v>
      </c>
      <c r="K539" s="25">
        <v>625786</v>
      </c>
      <c r="L539" s="23">
        <v>123860</v>
      </c>
      <c r="M539" s="11"/>
      <c r="N539" s="7" t="str">
        <f ca="1">_xlfn.IFNA(VLOOKUP("2"&amp;B539,CountSpecific!E:F,2,0),"")</f>
        <v/>
      </c>
      <c r="O539" s="14" t="str">
        <f ca="1">_xlfn.IFNA(VLOOKUP("3"&amp;B539,CountSpecific!E:F,2,0),"")</f>
        <v/>
      </c>
      <c r="P539" s="7" t="str">
        <f ca="1">_xlfn.IFNA(VLOOKUP("4"&amp;B539,CountSpecific!E:F,2,0),"")</f>
        <v/>
      </c>
    </row>
    <row r="540" spans="1:16" customFormat="1" x14ac:dyDescent="0.25">
      <c r="A540" s="7">
        <v>539</v>
      </c>
      <c r="B540" s="11" t="s">
        <v>555</v>
      </c>
      <c r="C540" s="7" t="s">
        <v>1039</v>
      </c>
      <c r="D540" s="7">
        <v>539</v>
      </c>
      <c r="E540" s="7">
        <v>539</v>
      </c>
      <c r="F540" s="7">
        <v>539</v>
      </c>
      <c r="G540" s="11" t="s">
        <v>1021</v>
      </c>
      <c r="H540" s="20">
        <v>57107</v>
      </c>
      <c r="I540" s="12">
        <v>44211</v>
      </c>
      <c r="J540" s="12">
        <v>44242</v>
      </c>
      <c r="K540" s="25">
        <v>18583</v>
      </c>
      <c r="L540" s="23">
        <v>38524</v>
      </c>
      <c r="M540" s="11"/>
      <c r="N540" s="7" t="str">
        <f ca="1">_xlfn.IFNA(VLOOKUP("2"&amp;B540,CountSpecific!E:F,2,0),"")</f>
        <v/>
      </c>
      <c r="O540" s="14" t="str">
        <f ca="1">_xlfn.IFNA(VLOOKUP("3"&amp;B540,CountSpecific!E:F,2,0),"")</f>
        <v/>
      </c>
      <c r="P540" s="7" t="str">
        <f ca="1">_xlfn.IFNA(VLOOKUP("4"&amp;B540,CountSpecific!E:F,2,0),"")</f>
        <v/>
      </c>
    </row>
    <row r="541" spans="1:16" customFormat="1" x14ac:dyDescent="0.25">
      <c r="A541" s="7">
        <v>540</v>
      </c>
      <c r="B541" s="11" t="s">
        <v>556</v>
      </c>
      <c r="C541" s="7" t="s">
        <v>1039</v>
      </c>
      <c r="D541" s="7">
        <v>540</v>
      </c>
      <c r="E541" s="9">
        <v>540</v>
      </c>
      <c r="F541" s="7">
        <v>540</v>
      </c>
      <c r="G541" s="11" t="s">
        <v>1021</v>
      </c>
      <c r="H541" s="20">
        <v>30817</v>
      </c>
      <c r="I541" s="12">
        <v>44480</v>
      </c>
      <c r="J541" s="12">
        <v>44631</v>
      </c>
      <c r="K541" s="25">
        <v>3507</v>
      </c>
      <c r="L541" s="23">
        <v>27310</v>
      </c>
      <c r="M541" s="11"/>
      <c r="N541" s="7" t="str">
        <f ca="1">_xlfn.IFNA(VLOOKUP("2"&amp;B541,CountSpecific!E:F,2,0),"")</f>
        <v/>
      </c>
      <c r="O541" s="14" t="str">
        <f ca="1">_xlfn.IFNA(VLOOKUP("3"&amp;B541,CountSpecific!E:F,2,0),"")</f>
        <v/>
      </c>
      <c r="P541" s="7" t="str">
        <f ca="1">_xlfn.IFNA(VLOOKUP("4"&amp;B541,CountSpecific!E:F,2,0),"")</f>
        <v/>
      </c>
    </row>
    <row r="542" spans="1:16" customFormat="1" x14ac:dyDescent="0.25">
      <c r="A542" s="7">
        <v>541</v>
      </c>
      <c r="B542" s="11" t="s">
        <v>557</v>
      </c>
      <c r="C542" s="7" t="s">
        <v>1039</v>
      </c>
      <c r="D542" s="7">
        <v>541</v>
      </c>
      <c r="E542" s="7">
        <v>541</v>
      </c>
      <c r="F542" s="7">
        <v>541</v>
      </c>
      <c r="G542" s="11" t="s">
        <v>1027</v>
      </c>
      <c r="H542" s="20">
        <v>38193</v>
      </c>
      <c r="I542" s="12">
        <v>44285</v>
      </c>
      <c r="J542" s="12">
        <v>45015</v>
      </c>
      <c r="K542" s="25">
        <v>18784</v>
      </c>
      <c r="L542" s="23">
        <v>19409</v>
      </c>
      <c r="M542" s="11"/>
      <c r="N542" s="7" t="str">
        <f ca="1">_xlfn.IFNA(VLOOKUP("2"&amp;B542,CountSpecific!E:F,2,0),"")</f>
        <v/>
      </c>
      <c r="O542" s="14" t="str">
        <f ca="1">_xlfn.IFNA(VLOOKUP("3"&amp;B542,CountSpecific!E:F,2,0),"")</f>
        <v/>
      </c>
      <c r="P542" s="7" t="str">
        <f ca="1">_xlfn.IFNA(VLOOKUP("4"&amp;B542,CountSpecific!E:F,2,0),"")</f>
        <v/>
      </c>
    </row>
    <row r="543" spans="1:16" customFormat="1" x14ac:dyDescent="0.25">
      <c r="A543" s="7">
        <v>542</v>
      </c>
      <c r="B543" s="11" t="s">
        <v>558</v>
      </c>
      <c r="C543" s="7" t="s">
        <v>1039</v>
      </c>
      <c r="D543" s="7">
        <v>542</v>
      </c>
      <c r="E543" s="7">
        <v>542</v>
      </c>
      <c r="F543" s="7">
        <v>542</v>
      </c>
      <c r="G543" s="11" t="s">
        <v>1023</v>
      </c>
      <c r="H543" s="20">
        <v>373</v>
      </c>
      <c r="I543" s="12">
        <v>44735</v>
      </c>
      <c r="J543" s="12">
        <v>45130</v>
      </c>
      <c r="K543" s="25">
        <v>107</v>
      </c>
      <c r="L543" s="23">
        <v>266</v>
      </c>
      <c r="M543" s="11"/>
      <c r="N543" s="7" t="str">
        <f ca="1">_xlfn.IFNA(VLOOKUP("2"&amp;B543,CountSpecific!E:F,2,0),"")</f>
        <v/>
      </c>
      <c r="O543" s="14" t="str">
        <f ca="1">_xlfn.IFNA(VLOOKUP("3"&amp;B543,CountSpecific!E:F,2,0),"")</f>
        <v/>
      </c>
      <c r="P543" s="7" t="str">
        <f ca="1">_xlfn.IFNA(VLOOKUP("4"&amp;B543,CountSpecific!E:F,2,0),"")</f>
        <v/>
      </c>
    </row>
    <row r="544" spans="1:16" customFormat="1" x14ac:dyDescent="0.25">
      <c r="A544" s="7">
        <v>543</v>
      </c>
      <c r="B544" s="11" t="s">
        <v>559</v>
      </c>
      <c r="C544" s="7" t="s">
        <v>1039</v>
      </c>
      <c r="D544" s="7">
        <v>543</v>
      </c>
      <c r="E544" s="9">
        <v>543</v>
      </c>
      <c r="F544" s="7">
        <v>543</v>
      </c>
      <c r="G544" s="11" t="s">
        <v>1016</v>
      </c>
      <c r="H544" s="20">
        <v>19582</v>
      </c>
      <c r="I544" s="12">
        <v>45009</v>
      </c>
      <c r="J544" s="12">
        <v>45040</v>
      </c>
      <c r="K544" s="25">
        <v>13450</v>
      </c>
      <c r="L544" s="23">
        <v>6132</v>
      </c>
      <c r="M544" s="11"/>
      <c r="N544" s="7" t="str">
        <f ca="1">_xlfn.IFNA(VLOOKUP("2"&amp;B544,CountSpecific!E:F,2,0),"")</f>
        <v/>
      </c>
      <c r="O544" s="14" t="str">
        <f ca="1">_xlfn.IFNA(VLOOKUP("3"&amp;B544,CountSpecific!E:F,2,0),"")</f>
        <v/>
      </c>
      <c r="P544" s="7" t="str">
        <f ca="1">_xlfn.IFNA(VLOOKUP("4"&amp;B544,CountSpecific!E:F,2,0),"")</f>
        <v/>
      </c>
    </row>
    <row r="545" spans="1:16" customFormat="1" x14ac:dyDescent="0.25">
      <c r="A545" s="7">
        <v>544</v>
      </c>
      <c r="B545" s="11" t="s">
        <v>560</v>
      </c>
      <c r="C545" s="7" t="s">
        <v>1039</v>
      </c>
      <c r="D545" s="7">
        <v>544</v>
      </c>
      <c r="E545" s="7">
        <v>544</v>
      </c>
      <c r="F545" s="7">
        <v>544</v>
      </c>
      <c r="G545" s="11" t="s">
        <v>1022</v>
      </c>
      <c r="H545" s="20">
        <v>25904</v>
      </c>
      <c r="I545" s="12">
        <v>45179</v>
      </c>
      <c r="J545" s="12">
        <v>45910</v>
      </c>
      <c r="K545" s="25">
        <v>5636</v>
      </c>
      <c r="L545" s="23">
        <v>20268</v>
      </c>
      <c r="M545" s="11"/>
      <c r="N545" s="7" t="str">
        <f ca="1">_xlfn.IFNA(VLOOKUP("2"&amp;B545,CountSpecific!E:F,2,0),"")</f>
        <v/>
      </c>
      <c r="O545" s="14" t="str">
        <f ca="1">_xlfn.IFNA(VLOOKUP("3"&amp;B545,CountSpecific!E:F,2,0),"")</f>
        <v/>
      </c>
      <c r="P545" s="7" t="str">
        <f ca="1">_xlfn.IFNA(VLOOKUP("4"&amp;B545,CountSpecific!E:F,2,0),"")</f>
        <v/>
      </c>
    </row>
    <row r="546" spans="1:16" customFormat="1" x14ac:dyDescent="0.25">
      <c r="A546" s="7">
        <v>545</v>
      </c>
      <c r="B546" s="11" t="s">
        <v>561</v>
      </c>
      <c r="C546" s="7" t="s">
        <v>1039</v>
      </c>
      <c r="D546" s="7">
        <v>545</v>
      </c>
      <c r="E546" s="7">
        <v>545</v>
      </c>
      <c r="F546" s="7">
        <v>545</v>
      </c>
      <c r="G546" s="11" t="s">
        <v>1027</v>
      </c>
      <c r="H546" s="20">
        <v>44272</v>
      </c>
      <c r="I546" s="12">
        <v>45649</v>
      </c>
      <c r="J546" s="12">
        <v>46135</v>
      </c>
      <c r="K546" s="25">
        <v>19635</v>
      </c>
      <c r="L546" s="23">
        <v>24637</v>
      </c>
      <c r="M546" s="11"/>
      <c r="N546" s="7" t="str">
        <f ca="1">_xlfn.IFNA(VLOOKUP("2"&amp;B546,CountSpecific!E:F,2,0),"")</f>
        <v/>
      </c>
      <c r="O546" s="14" t="str">
        <f ca="1">_xlfn.IFNA(VLOOKUP("3"&amp;B546,CountSpecific!E:F,2,0),"")</f>
        <v/>
      </c>
      <c r="P546" s="7" t="str">
        <f ca="1">_xlfn.IFNA(VLOOKUP("4"&amp;B546,CountSpecific!E:F,2,0),"")</f>
        <v/>
      </c>
    </row>
    <row r="547" spans="1:16" customFormat="1" x14ac:dyDescent="0.25">
      <c r="A547" s="7">
        <v>546</v>
      </c>
      <c r="B547" s="11" t="s">
        <v>562</v>
      </c>
      <c r="C547" s="7" t="s">
        <v>1039</v>
      </c>
      <c r="D547" s="7">
        <v>546</v>
      </c>
      <c r="E547" s="9">
        <v>546</v>
      </c>
      <c r="F547" s="7">
        <v>546</v>
      </c>
      <c r="G547" s="11" t="s">
        <v>1024</v>
      </c>
      <c r="H547" s="20">
        <v>410444</v>
      </c>
      <c r="I547" s="12">
        <v>45209</v>
      </c>
      <c r="J547" s="12">
        <v>45636</v>
      </c>
      <c r="K547" s="25">
        <v>25451</v>
      </c>
      <c r="L547" s="23">
        <v>384993</v>
      </c>
      <c r="M547" s="11"/>
      <c r="N547" s="7" t="str">
        <f ca="1">_xlfn.IFNA(VLOOKUP("2"&amp;B547,CountSpecific!E:F,2,0),"")</f>
        <v/>
      </c>
      <c r="O547" s="14" t="str">
        <f ca="1">_xlfn.IFNA(VLOOKUP("3"&amp;B547,CountSpecific!E:F,2,0),"")</f>
        <v/>
      </c>
      <c r="P547" s="7" t="str">
        <f ca="1">_xlfn.IFNA(VLOOKUP("4"&amp;B547,CountSpecific!E:F,2,0),"")</f>
        <v/>
      </c>
    </row>
    <row r="548" spans="1:16" customFormat="1" x14ac:dyDescent="0.25">
      <c r="A548" s="7">
        <v>547</v>
      </c>
      <c r="B548" s="11" t="s">
        <v>563</v>
      </c>
      <c r="C548" s="7" t="s">
        <v>1039</v>
      </c>
      <c r="D548" s="7">
        <v>547</v>
      </c>
      <c r="E548" s="7">
        <v>547</v>
      </c>
      <c r="F548" s="7">
        <v>547</v>
      </c>
      <c r="G548" s="11" t="s">
        <v>1023</v>
      </c>
      <c r="H548" s="20">
        <v>1125</v>
      </c>
      <c r="I548" s="12">
        <v>45352</v>
      </c>
      <c r="J548" s="12">
        <v>45992</v>
      </c>
      <c r="K548" s="25">
        <v>431</v>
      </c>
      <c r="L548" s="23">
        <v>694</v>
      </c>
      <c r="M548" s="11"/>
      <c r="N548" s="7" t="str">
        <f ca="1">_xlfn.IFNA(VLOOKUP("2"&amp;B548,CountSpecific!E:F,2,0),"")</f>
        <v/>
      </c>
      <c r="O548" s="14" t="str">
        <f ca="1">_xlfn.IFNA(VLOOKUP("3"&amp;B548,CountSpecific!E:F,2,0),"")</f>
        <v/>
      </c>
      <c r="P548" s="7" t="str">
        <f ca="1">_xlfn.IFNA(VLOOKUP("4"&amp;B548,CountSpecific!E:F,2,0),"")</f>
        <v/>
      </c>
    </row>
    <row r="549" spans="1:16" customFormat="1" x14ac:dyDescent="0.25">
      <c r="A549" s="7">
        <v>548</v>
      </c>
      <c r="B549" s="11" t="s">
        <v>564</v>
      </c>
      <c r="C549" s="7" t="s">
        <v>1039</v>
      </c>
      <c r="D549" s="7">
        <v>548</v>
      </c>
      <c r="E549" s="7">
        <v>548</v>
      </c>
      <c r="F549" s="7">
        <v>548</v>
      </c>
      <c r="G549" s="11" t="s">
        <v>1022</v>
      </c>
      <c r="H549" s="20">
        <v>8509</v>
      </c>
      <c r="I549" s="12">
        <v>45148</v>
      </c>
      <c r="J549" s="12">
        <v>45757</v>
      </c>
      <c r="K549" s="25">
        <v>2658</v>
      </c>
      <c r="L549" s="23">
        <v>5851</v>
      </c>
      <c r="M549" s="11"/>
      <c r="N549" s="7" t="str">
        <f ca="1">_xlfn.IFNA(VLOOKUP("2"&amp;B549,CountSpecific!E:F,2,0),"")</f>
        <v/>
      </c>
      <c r="O549" s="14" t="str">
        <f ca="1">_xlfn.IFNA(VLOOKUP("3"&amp;B549,CountSpecific!E:F,2,0),"")</f>
        <v/>
      </c>
      <c r="P549" s="7" t="str">
        <f ca="1">_xlfn.IFNA(VLOOKUP("4"&amp;B549,CountSpecific!E:F,2,0),"")</f>
        <v/>
      </c>
    </row>
    <row r="550" spans="1:16" customFormat="1" x14ac:dyDescent="0.25">
      <c r="A550" s="7">
        <v>549</v>
      </c>
      <c r="B550" s="11" t="s">
        <v>565</v>
      </c>
      <c r="C550" s="7" t="s">
        <v>1039</v>
      </c>
      <c r="D550" s="7">
        <v>549</v>
      </c>
      <c r="E550" s="9">
        <v>549</v>
      </c>
      <c r="F550" s="7">
        <v>549</v>
      </c>
      <c r="G550" s="11" t="s">
        <v>1021</v>
      </c>
      <c r="H550" s="20">
        <v>94312</v>
      </c>
      <c r="I550" s="12">
        <v>44250</v>
      </c>
      <c r="J550" s="12">
        <v>44370</v>
      </c>
      <c r="K550" s="25">
        <v>24979</v>
      </c>
      <c r="L550" s="23">
        <v>69333</v>
      </c>
      <c r="M550" s="11"/>
      <c r="N550" s="7" t="str">
        <f ca="1">_xlfn.IFNA(VLOOKUP("2"&amp;B550,CountSpecific!E:F,2,0),"")</f>
        <v/>
      </c>
      <c r="O550" s="14" t="str">
        <f ca="1">_xlfn.IFNA(VLOOKUP("3"&amp;B550,CountSpecific!E:F,2,0),"")</f>
        <v/>
      </c>
      <c r="P550" s="7" t="str">
        <f ca="1">_xlfn.IFNA(VLOOKUP("4"&amp;B550,CountSpecific!E:F,2,0),"")</f>
        <v/>
      </c>
    </row>
    <row r="551" spans="1:16" customFormat="1" x14ac:dyDescent="0.25">
      <c r="A551" s="7">
        <v>550</v>
      </c>
      <c r="B551" s="11" t="s">
        <v>566</v>
      </c>
      <c r="C551" s="7" t="s">
        <v>1039</v>
      </c>
      <c r="D551" s="7">
        <v>550</v>
      </c>
      <c r="E551" s="7">
        <v>550</v>
      </c>
      <c r="F551" s="7">
        <v>550</v>
      </c>
      <c r="G551" s="11" t="s">
        <v>1027</v>
      </c>
      <c r="H551" s="20">
        <v>54223</v>
      </c>
      <c r="I551" s="12">
        <v>45464</v>
      </c>
      <c r="J551" s="12">
        <v>46133</v>
      </c>
      <c r="K551" s="25">
        <v>1378</v>
      </c>
      <c r="L551" s="23">
        <v>52845</v>
      </c>
      <c r="M551" s="11"/>
      <c r="N551" s="7" t="str">
        <f ca="1">_xlfn.IFNA(VLOOKUP("2"&amp;B551,CountSpecific!E:F,2,0),"")</f>
        <v/>
      </c>
      <c r="O551" s="14" t="str">
        <f ca="1">_xlfn.IFNA(VLOOKUP("3"&amp;B551,CountSpecific!E:F,2,0),"")</f>
        <v/>
      </c>
      <c r="P551" s="7" t="str">
        <f ca="1">_xlfn.IFNA(VLOOKUP("4"&amp;B551,CountSpecific!E:F,2,0),"")</f>
        <v/>
      </c>
    </row>
    <row r="552" spans="1:16" customFormat="1" x14ac:dyDescent="0.25">
      <c r="A552" s="7">
        <v>551</v>
      </c>
      <c r="B552" s="11" t="s">
        <v>567</v>
      </c>
      <c r="C552" s="7" t="s">
        <v>1039</v>
      </c>
      <c r="D552" s="7">
        <v>551</v>
      </c>
      <c r="E552" s="7">
        <v>551</v>
      </c>
      <c r="F552" s="7">
        <v>551</v>
      </c>
      <c r="G552" s="11" t="s">
        <v>1026</v>
      </c>
      <c r="H552" s="20">
        <v>1974880</v>
      </c>
      <c r="I552" s="12">
        <v>45432</v>
      </c>
      <c r="J552" s="12">
        <v>45677</v>
      </c>
      <c r="K552" s="25">
        <v>204501</v>
      </c>
      <c r="L552" s="23">
        <v>1770379</v>
      </c>
      <c r="M552" s="11"/>
      <c r="N552" s="7" t="str">
        <f ca="1">_xlfn.IFNA(VLOOKUP("2"&amp;B552,CountSpecific!E:F,2,0),"")</f>
        <v/>
      </c>
      <c r="O552" s="14" t="str">
        <f ca="1">_xlfn.IFNA(VLOOKUP("3"&amp;B552,CountSpecific!E:F,2,0),"")</f>
        <v/>
      </c>
      <c r="P552" s="7" t="str">
        <f ca="1">_xlfn.IFNA(VLOOKUP("4"&amp;B552,CountSpecific!E:F,2,0),"")</f>
        <v/>
      </c>
    </row>
    <row r="553" spans="1:16" customFormat="1" x14ac:dyDescent="0.25">
      <c r="A553" s="7">
        <v>552</v>
      </c>
      <c r="B553" s="11" t="s">
        <v>568</v>
      </c>
      <c r="C553" s="7" t="s">
        <v>1039</v>
      </c>
      <c r="D553" s="7">
        <v>552</v>
      </c>
      <c r="E553" s="9">
        <v>552</v>
      </c>
      <c r="F553" s="7">
        <v>552</v>
      </c>
      <c r="G553" s="11" t="s">
        <v>1023</v>
      </c>
      <c r="H553" s="20">
        <v>1023</v>
      </c>
      <c r="I553" s="12">
        <v>45643</v>
      </c>
      <c r="J553" s="12">
        <v>45917</v>
      </c>
      <c r="K553" s="25">
        <v>531</v>
      </c>
      <c r="L553" s="23">
        <v>492</v>
      </c>
      <c r="M553" s="11"/>
      <c r="N553" s="7" t="str">
        <f ca="1">_xlfn.IFNA(VLOOKUP("2"&amp;B553,CountSpecific!E:F,2,0),"")</f>
        <v/>
      </c>
      <c r="O553" s="14" t="str">
        <f ca="1">_xlfn.IFNA(VLOOKUP("3"&amp;B553,CountSpecific!E:F,2,0),"")</f>
        <v/>
      </c>
      <c r="P553" s="7" t="str">
        <f ca="1">_xlfn.IFNA(VLOOKUP("4"&amp;B553,CountSpecific!E:F,2,0),"")</f>
        <v/>
      </c>
    </row>
    <row r="554" spans="1:16" customFormat="1" x14ac:dyDescent="0.25">
      <c r="A554" s="7">
        <v>553</v>
      </c>
      <c r="B554" s="11" t="s">
        <v>569</v>
      </c>
      <c r="C554" s="7" t="s">
        <v>1039</v>
      </c>
      <c r="D554" s="7">
        <v>553</v>
      </c>
      <c r="E554" s="7">
        <v>553</v>
      </c>
      <c r="F554" s="7">
        <v>553</v>
      </c>
      <c r="G554" s="11" t="s">
        <v>1020</v>
      </c>
      <c r="H554" s="20">
        <v>277812</v>
      </c>
      <c r="I554" s="12">
        <v>43965</v>
      </c>
      <c r="J554" s="12">
        <v>44088</v>
      </c>
      <c r="K554" s="25">
        <v>231434</v>
      </c>
      <c r="L554" s="23">
        <v>46378</v>
      </c>
      <c r="M554" s="11"/>
      <c r="N554" s="7" t="str">
        <f ca="1">_xlfn.IFNA(VLOOKUP("2"&amp;B554,CountSpecific!E:F,2,0),"")</f>
        <v/>
      </c>
      <c r="O554" s="14" t="str">
        <f ca="1">_xlfn.IFNA(VLOOKUP("3"&amp;B554,CountSpecific!E:F,2,0),"")</f>
        <v/>
      </c>
      <c r="P554" s="7" t="str">
        <f ca="1">_xlfn.IFNA(VLOOKUP("4"&amp;B554,CountSpecific!E:F,2,0),"")</f>
        <v/>
      </c>
    </row>
    <row r="555" spans="1:16" customFormat="1" x14ac:dyDescent="0.25">
      <c r="A555" s="7">
        <v>554</v>
      </c>
      <c r="B555" s="11" t="s">
        <v>570</v>
      </c>
      <c r="C555" s="7" t="s">
        <v>1039</v>
      </c>
      <c r="D555" s="7">
        <v>554</v>
      </c>
      <c r="E555" s="7">
        <v>554</v>
      </c>
      <c r="F555" s="7">
        <v>554</v>
      </c>
      <c r="G555" s="11" t="s">
        <v>1022</v>
      </c>
      <c r="H555" s="20">
        <v>13076</v>
      </c>
      <c r="I555" s="12">
        <v>43967</v>
      </c>
      <c r="J555" s="12">
        <v>44697</v>
      </c>
      <c r="K555" s="25">
        <v>2933</v>
      </c>
      <c r="L555" s="23">
        <v>10143</v>
      </c>
      <c r="M555" s="11"/>
      <c r="N555" s="7" t="str">
        <f ca="1">_xlfn.IFNA(VLOOKUP("2"&amp;B555,CountSpecific!E:F,2,0),"")</f>
        <v/>
      </c>
      <c r="O555" s="14" t="str">
        <f ca="1">_xlfn.IFNA(VLOOKUP("3"&amp;B555,CountSpecific!E:F,2,0),"")</f>
        <v/>
      </c>
      <c r="P555" s="7" t="str">
        <f ca="1">_xlfn.IFNA(VLOOKUP("4"&amp;B555,CountSpecific!E:F,2,0),"")</f>
        <v/>
      </c>
    </row>
    <row r="556" spans="1:16" customFormat="1" x14ac:dyDescent="0.25">
      <c r="A556" s="7">
        <v>555</v>
      </c>
      <c r="B556" s="11" t="s">
        <v>571</v>
      </c>
      <c r="C556" s="7" t="s">
        <v>1039</v>
      </c>
      <c r="D556" s="7">
        <v>555</v>
      </c>
      <c r="E556" s="9">
        <v>555</v>
      </c>
      <c r="F556" s="7">
        <v>555</v>
      </c>
      <c r="G556" s="11" t="s">
        <v>1020</v>
      </c>
      <c r="H556" s="20">
        <v>271330</v>
      </c>
      <c r="I556" s="12">
        <v>45230</v>
      </c>
      <c r="J556" s="12">
        <v>45291</v>
      </c>
      <c r="K556" s="25">
        <v>151895</v>
      </c>
      <c r="L556" s="23">
        <v>119435</v>
      </c>
      <c r="M556" s="11"/>
      <c r="N556" s="7" t="str">
        <f ca="1">_xlfn.IFNA(VLOOKUP("2"&amp;B556,CountSpecific!E:F,2,0),"")</f>
        <v/>
      </c>
      <c r="O556" s="14" t="str">
        <f ca="1">_xlfn.IFNA(VLOOKUP("3"&amp;B556,CountSpecific!E:F,2,0),"")</f>
        <v/>
      </c>
      <c r="P556" s="7" t="str">
        <f ca="1">_xlfn.IFNA(VLOOKUP("4"&amp;B556,CountSpecific!E:F,2,0),"")</f>
        <v/>
      </c>
    </row>
    <row r="557" spans="1:16" customFormat="1" x14ac:dyDescent="0.25">
      <c r="A557" s="7">
        <v>556</v>
      </c>
      <c r="B557" s="11" t="s">
        <v>572</v>
      </c>
      <c r="C557" s="7" t="s">
        <v>1039</v>
      </c>
      <c r="D557" s="7">
        <v>556</v>
      </c>
      <c r="E557" s="7">
        <v>556</v>
      </c>
      <c r="F557" s="7">
        <v>556</v>
      </c>
      <c r="G557" s="11" t="s">
        <v>1023</v>
      </c>
      <c r="H557" s="20">
        <v>73</v>
      </c>
      <c r="I557" s="12">
        <v>44047</v>
      </c>
      <c r="J557" s="12">
        <v>44381</v>
      </c>
      <c r="K557" s="25">
        <v>19</v>
      </c>
      <c r="L557" s="23">
        <v>54</v>
      </c>
      <c r="M557" s="11"/>
      <c r="N557" s="7" t="str">
        <f ca="1">_xlfn.IFNA(VLOOKUP("2"&amp;B557,CountSpecific!E:F,2,0),"")</f>
        <v/>
      </c>
      <c r="O557" s="14" t="str">
        <f ca="1">_xlfn.IFNA(VLOOKUP("3"&amp;B557,CountSpecific!E:F,2,0),"")</f>
        <v/>
      </c>
      <c r="P557" s="7" t="str">
        <f ca="1">_xlfn.IFNA(VLOOKUP("4"&amp;B557,CountSpecific!E:F,2,0),"")</f>
        <v/>
      </c>
    </row>
    <row r="558" spans="1:16" customFormat="1" x14ac:dyDescent="0.25">
      <c r="A558" s="7">
        <v>557</v>
      </c>
      <c r="B558" s="11" t="s">
        <v>573</v>
      </c>
      <c r="C558" s="7" t="s">
        <v>1039</v>
      </c>
      <c r="D558" s="7">
        <v>557</v>
      </c>
      <c r="E558" s="7">
        <v>557</v>
      </c>
      <c r="F558" s="7">
        <v>557</v>
      </c>
      <c r="G558" s="11" t="s">
        <v>1016</v>
      </c>
      <c r="H558" s="20">
        <v>8673</v>
      </c>
      <c r="I558" s="12">
        <v>45479</v>
      </c>
      <c r="J558" s="12">
        <v>45722</v>
      </c>
      <c r="K558" s="25">
        <v>1638</v>
      </c>
      <c r="L558" s="23">
        <v>7035</v>
      </c>
      <c r="M558" s="11"/>
      <c r="N558" s="7" t="str">
        <f ca="1">_xlfn.IFNA(VLOOKUP("2"&amp;B558,CountSpecific!E:F,2,0),"")</f>
        <v/>
      </c>
      <c r="O558" s="14" t="str">
        <f ca="1">_xlfn.IFNA(VLOOKUP("3"&amp;B558,CountSpecific!E:F,2,0),"")</f>
        <v/>
      </c>
      <c r="P558" s="7" t="str">
        <f ca="1">_xlfn.IFNA(VLOOKUP("4"&amp;B558,CountSpecific!E:F,2,0),"")</f>
        <v/>
      </c>
    </row>
    <row r="559" spans="1:16" customFormat="1" x14ac:dyDescent="0.25">
      <c r="A559" s="7">
        <v>558</v>
      </c>
      <c r="B559" s="11" t="s">
        <v>574</v>
      </c>
      <c r="C559" s="7" t="s">
        <v>1039</v>
      </c>
      <c r="D559" s="7">
        <v>558</v>
      </c>
      <c r="E559" s="9">
        <v>558</v>
      </c>
      <c r="F559" s="7">
        <v>558</v>
      </c>
      <c r="G559" s="11" t="s">
        <v>1025</v>
      </c>
      <c r="H559" s="20">
        <v>288143</v>
      </c>
      <c r="I559" s="12">
        <v>44600</v>
      </c>
      <c r="J559" s="12">
        <v>45299</v>
      </c>
      <c r="K559" s="25">
        <v>69529</v>
      </c>
      <c r="L559" s="23">
        <v>218614</v>
      </c>
      <c r="M559" s="11"/>
      <c r="N559" s="7" t="str">
        <f ca="1">_xlfn.IFNA(VLOOKUP("2"&amp;B559,CountSpecific!E:F,2,0),"")</f>
        <v/>
      </c>
      <c r="O559" s="14" t="str">
        <f ca="1">_xlfn.IFNA(VLOOKUP("3"&amp;B559,CountSpecific!E:F,2,0),"")</f>
        <v/>
      </c>
      <c r="P559" s="7" t="str">
        <f ca="1">_xlfn.IFNA(VLOOKUP("4"&amp;B559,CountSpecific!E:F,2,0),"")</f>
        <v/>
      </c>
    </row>
    <row r="560" spans="1:16" customFormat="1" x14ac:dyDescent="0.25">
      <c r="A560" s="7">
        <v>559</v>
      </c>
      <c r="B560" s="11" t="s">
        <v>575</v>
      </c>
      <c r="C560" s="7" t="s">
        <v>1039</v>
      </c>
      <c r="D560" s="7">
        <v>559</v>
      </c>
      <c r="E560" s="7">
        <v>559</v>
      </c>
      <c r="F560" s="7">
        <v>559</v>
      </c>
      <c r="G560" s="11" t="s">
        <v>1025</v>
      </c>
      <c r="H560" s="20">
        <v>87500</v>
      </c>
      <c r="I560" s="12">
        <v>44011</v>
      </c>
      <c r="J560" s="12">
        <v>44468</v>
      </c>
      <c r="K560" s="25">
        <v>66158</v>
      </c>
      <c r="L560" s="23">
        <v>21342</v>
      </c>
      <c r="M560" s="11"/>
      <c r="N560" s="7" t="str">
        <f ca="1">_xlfn.IFNA(VLOOKUP("2"&amp;B560,CountSpecific!E:F,2,0),"")</f>
        <v/>
      </c>
      <c r="O560" s="14" t="str">
        <f ca="1">_xlfn.IFNA(VLOOKUP("3"&amp;B560,CountSpecific!E:F,2,0),"")</f>
        <v/>
      </c>
      <c r="P560" s="7" t="str">
        <f ca="1">_xlfn.IFNA(VLOOKUP("4"&amp;B560,CountSpecific!E:F,2,0),"")</f>
        <v/>
      </c>
    </row>
    <row r="561" spans="1:16" customFormat="1" x14ac:dyDescent="0.25">
      <c r="A561" s="7">
        <v>560</v>
      </c>
      <c r="B561" s="11" t="s">
        <v>576</v>
      </c>
      <c r="C561" s="7" t="s">
        <v>1039</v>
      </c>
      <c r="D561" s="7">
        <v>560</v>
      </c>
      <c r="E561" s="7">
        <v>560</v>
      </c>
      <c r="F561" s="7">
        <v>560</v>
      </c>
      <c r="G561" s="11" t="s">
        <v>1027</v>
      </c>
      <c r="H561" s="20">
        <v>47803</v>
      </c>
      <c r="I561" s="12">
        <v>45091</v>
      </c>
      <c r="J561" s="12">
        <v>45244</v>
      </c>
      <c r="K561" s="25">
        <v>14411</v>
      </c>
      <c r="L561" s="23">
        <v>33392</v>
      </c>
      <c r="M561" s="11"/>
      <c r="N561" s="7" t="str">
        <f ca="1">_xlfn.IFNA(VLOOKUP("2"&amp;B561,CountSpecific!E:F,2,0),"")</f>
        <v/>
      </c>
      <c r="O561" s="14" t="str">
        <f ca="1">_xlfn.IFNA(VLOOKUP("3"&amp;B561,CountSpecific!E:F,2,0),"")</f>
        <v/>
      </c>
      <c r="P561" s="7" t="str">
        <f ca="1">_xlfn.IFNA(VLOOKUP("4"&amp;B561,CountSpecific!E:F,2,0),"")</f>
        <v/>
      </c>
    </row>
    <row r="562" spans="1:16" customFormat="1" x14ac:dyDescent="0.25">
      <c r="A562" s="7">
        <v>561</v>
      </c>
      <c r="B562" s="11" t="s">
        <v>577</v>
      </c>
      <c r="C562" s="7" t="s">
        <v>1039</v>
      </c>
      <c r="D562" s="7">
        <v>561</v>
      </c>
      <c r="E562" s="9">
        <v>561</v>
      </c>
      <c r="F562" s="7">
        <v>561</v>
      </c>
      <c r="G562" s="11" t="s">
        <v>1027</v>
      </c>
      <c r="H562" s="20">
        <v>27131</v>
      </c>
      <c r="I562" s="12">
        <v>45698</v>
      </c>
      <c r="J562" s="12">
        <v>45757</v>
      </c>
      <c r="K562" s="25">
        <v>11648</v>
      </c>
      <c r="L562" s="23">
        <v>15483</v>
      </c>
      <c r="M562" s="11"/>
      <c r="N562" s="7" t="str">
        <f ca="1">_xlfn.IFNA(VLOOKUP("2"&amp;B562,CountSpecific!E:F,2,0),"")</f>
        <v/>
      </c>
      <c r="O562" s="14" t="str">
        <f ca="1">_xlfn.IFNA(VLOOKUP("3"&amp;B562,CountSpecific!E:F,2,0),"")</f>
        <v/>
      </c>
      <c r="P562" s="7" t="str">
        <f ca="1">_xlfn.IFNA(VLOOKUP("4"&amp;B562,CountSpecific!E:F,2,0),"")</f>
        <v/>
      </c>
    </row>
    <row r="563" spans="1:16" customFormat="1" x14ac:dyDescent="0.25">
      <c r="A563" s="7">
        <v>562</v>
      </c>
      <c r="B563" s="11" t="s">
        <v>578</v>
      </c>
      <c r="C563" s="7" t="s">
        <v>1039</v>
      </c>
      <c r="D563" s="7">
        <v>562</v>
      </c>
      <c r="E563" s="7">
        <v>562</v>
      </c>
      <c r="F563" s="7">
        <v>562</v>
      </c>
      <c r="G563" s="11" t="s">
        <v>1020</v>
      </c>
      <c r="H563" s="20">
        <v>220432</v>
      </c>
      <c r="I563" s="12">
        <v>44604</v>
      </c>
      <c r="J563" s="12">
        <v>45058</v>
      </c>
      <c r="K563" s="25">
        <v>101815</v>
      </c>
      <c r="L563" s="23">
        <v>118617</v>
      </c>
      <c r="M563" s="11"/>
      <c r="N563" s="7" t="str">
        <f ca="1">_xlfn.IFNA(VLOOKUP("2"&amp;B563,CountSpecific!E:F,2,0),"")</f>
        <v/>
      </c>
      <c r="O563" s="14" t="str">
        <f ca="1">_xlfn.IFNA(VLOOKUP("3"&amp;B563,CountSpecific!E:F,2,0),"")</f>
        <v/>
      </c>
      <c r="P563" s="7" t="str">
        <f ca="1">_xlfn.IFNA(VLOOKUP("4"&amp;B563,CountSpecific!E:F,2,0),"")</f>
        <v/>
      </c>
    </row>
    <row r="564" spans="1:16" customFormat="1" x14ac:dyDescent="0.25">
      <c r="A564" s="7">
        <v>563</v>
      </c>
      <c r="B564" s="11" t="s">
        <v>579</v>
      </c>
      <c r="C564" s="7" t="s">
        <v>1039</v>
      </c>
      <c r="D564" s="7">
        <v>563</v>
      </c>
      <c r="E564" s="7">
        <v>563</v>
      </c>
      <c r="F564" s="7">
        <v>563</v>
      </c>
      <c r="G564" s="11" t="s">
        <v>1021</v>
      </c>
      <c r="H564" s="20">
        <v>45225</v>
      </c>
      <c r="I564" s="12">
        <v>45029</v>
      </c>
      <c r="J564" s="12">
        <v>45517</v>
      </c>
      <c r="K564" s="25">
        <v>22290</v>
      </c>
      <c r="L564" s="23">
        <v>22935</v>
      </c>
      <c r="M564" s="11"/>
      <c r="N564" s="7" t="str">
        <f ca="1">_xlfn.IFNA(VLOOKUP("2"&amp;B564,CountSpecific!E:F,2,0),"")</f>
        <v/>
      </c>
      <c r="O564" s="14" t="str">
        <f ca="1">_xlfn.IFNA(VLOOKUP("3"&amp;B564,CountSpecific!E:F,2,0),"")</f>
        <v/>
      </c>
      <c r="P564" s="7" t="str">
        <f ca="1">_xlfn.IFNA(VLOOKUP("4"&amp;B564,CountSpecific!E:F,2,0),"")</f>
        <v/>
      </c>
    </row>
    <row r="565" spans="1:16" customFormat="1" x14ac:dyDescent="0.25">
      <c r="A565" s="7">
        <v>564</v>
      </c>
      <c r="B565" s="11" t="s">
        <v>580</v>
      </c>
      <c r="C565" s="7" t="s">
        <v>1039</v>
      </c>
      <c r="D565" s="7">
        <v>564</v>
      </c>
      <c r="E565" s="9">
        <v>564</v>
      </c>
      <c r="F565" s="7">
        <v>564</v>
      </c>
      <c r="G565" s="11" t="s">
        <v>1016</v>
      </c>
      <c r="H565" s="20">
        <v>1637</v>
      </c>
      <c r="I565" s="12">
        <v>45637</v>
      </c>
      <c r="J565" s="12">
        <v>46306</v>
      </c>
      <c r="K565" s="25">
        <v>140</v>
      </c>
      <c r="L565" s="23">
        <v>1497</v>
      </c>
      <c r="M565" s="11"/>
      <c r="N565" s="7" t="str">
        <f ca="1">_xlfn.IFNA(VLOOKUP("2"&amp;B565,CountSpecific!E:F,2,0),"")</f>
        <v/>
      </c>
      <c r="O565" s="14" t="str">
        <f ca="1">_xlfn.IFNA(VLOOKUP("3"&amp;B565,CountSpecific!E:F,2,0),"")</f>
        <v/>
      </c>
      <c r="P565" s="7" t="str">
        <f ca="1">_xlfn.IFNA(VLOOKUP("4"&amp;B565,CountSpecific!E:F,2,0),"")</f>
        <v/>
      </c>
    </row>
    <row r="566" spans="1:16" customFormat="1" x14ac:dyDescent="0.25">
      <c r="A566" s="7">
        <v>565</v>
      </c>
      <c r="B566" s="11" t="s">
        <v>581</v>
      </c>
      <c r="C566" s="7" t="s">
        <v>1039</v>
      </c>
      <c r="D566" s="7">
        <v>565</v>
      </c>
      <c r="E566" s="7">
        <v>565</v>
      </c>
      <c r="F566" s="7">
        <v>565</v>
      </c>
      <c r="G566" s="11" t="s">
        <v>1020</v>
      </c>
      <c r="H566" s="20">
        <v>337988</v>
      </c>
      <c r="I566" s="12">
        <v>45216</v>
      </c>
      <c r="J566" s="12">
        <v>45582</v>
      </c>
      <c r="K566" s="25">
        <v>78857</v>
      </c>
      <c r="L566" s="23">
        <v>259131</v>
      </c>
      <c r="M566" s="11"/>
      <c r="N566" s="7" t="str">
        <f ca="1">_xlfn.IFNA(VLOOKUP("2"&amp;B566,CountSpecific!E:F,2,0),"")</f>
        <v/>
      </c>
      <c r="O566" s="14" t="str">
        <f ca="1">_xlfn.IFNA(VLOOKUP("3"&amp;B566,CountSpecific!E:F,2,0),"")</f>
        <v/>
      </c>
      <c r="P566" s="7" t="str">
        <f ca="1">_xlfn.IFNA(VLOOKUP("4"&amp;B566,CountSpecific!E:F,2,0),"")</f>
        <v/>
      </c>
    </row>
    <row r="567" spans="1:16" customFormat="1" x14ac:dyDescent="0.25">
      <c r="A567" s="7">
        <v>566</v>
      </c>
      <c r="B567" s="11" t="s">
        <v>582</v>
      </c>
      <c r="C567" s="7" t="s">
        <v>1039</v>
      </c>
      <c r="D567" s="7">
        <v>566</v>
      </c>
      <c r="E567" s="7">
        <v>566</v>
      </c>
      <c r="F567" s="7">
        <v>566</v>
      </c>
      <c r="G567" s="11" t="s">
        <v>1020</v>
      </c>
      <c r="H567" s="20">
        <v>74683</v>
      </c>
      <c r="I567" s="12">
        <v>44499</v>
      </c>
      <c r="J567" s="12">
        <v>44956</v>
      </c>
      <c r="K567" s="25">
        <v>49519</v>
      </c>
      <c r="L567" s="23">
        <v>25164</v>
      </c>
      <c r="M567" s="11"/>
      <c r="N567" s="7" t="str">
        <f ca="1">_xlfn.IFNA(VLOOKUP("2"&amp;B567,CountSpecific!E:F,2,0),"")</f>
        <v/>
      </c>
      <c r="O567" s="14" t="str">
        <f ca="1">_xlfn.IFNA(VLOOKUP("3"&amp;B567,CountSpecific!E:F,2,0),"")</f>
        <v/>
      </c>
      <c r="P567" s="7" t="str">
        <f ca="1">_xlfn.IFNA(VLOOKUP("4"&amp;B567,CountSpecific!E:F,2,0),"")</f>
        <v/>
      </c>
    </row>
    <row r="568" spans="1:16" customFormat="1" x14ac:dyDescent="0.25">
      <c r="A568" s="7">
        <v>567</v>
      </c>
      <c r="B568" s="11" t="s">
        <v>583</v>
      </c>
      <c r="C568" s="7" t="s">
        <v>1039</v>
      </c>
      <c r="D568" s="7">
        <v>567</v>
      </c>
      <c r="E568" s="9">
        <v>567</v>
      </c>
      <c r="F568" s="7">
        <v>567</v>
      </c>
      <c r="G568" s="11" t="s">
        <v>1024</v>
      </c>
      <c r="H568" s="20">
        <v>526532</v>
      </c>
      <c r="I568" s="12">
        <v>45615</v>
      </c>
      <c r="J568" s="12">
        <v>45857</v>
      </c>
      <c r="K568" s="25">
        <v>71799</v>
      </c>
      <c r="L568" s="23">
        <v>454733</v>
      </c>
      <c r="M568" s="11"/>
      <c r="N568" s="7" t="str">
        <f ca="1">_xlfn.IFNA(VLOOKUP("2"&amp;B568,CountSpecific!E:F,2,0),"")</f>
        <v/>
      </c>
      <c r="O568" s="14" t="str">
        <f ca="1">_xlfn.IFNA(VLOOKUP("3"&amp;B568,CountSpecific!E:F,2,0),"")</f>
        <v/>
      </c>
      <c r="P568" s="7" t="str">
        <f ca="1">_xlfn.IFNA(VLOOKUP("4"&amp;B568,CountSpecific!E:F,2,0),"")</f>
        <v/>
      </c>
    </row>
    <row r="569" spans="1:16" customFormat="1" x14ac:dyDescent="0.25">
      <c r="A569" s="7">
        <v>568</v>
      </c>
      <c r="B569" s="11" t="s">
        <v>584</v>
      </c>
      <c r="C569" s="7" t="s">
        <v>1039</v>
      </c>
      <c r="D569" s="7">
        <v>568</v>
      </c>
      <c r="E569" s="7">
        <v>568</v>
      </c>
      <c r="F569" s="7">
        <v>568</v>
      </c>
      <c r="G569" s="11" t="s">
        <v>1021</v>
      </c>
      <c r="H569" s="20">
        <v>65578</v>
      </c>
      <c r="I569" s="12">
        <v>45116</v>
      </c>
      <c r="J569" s="12">
        <v>45544</v>
      </c>
      <c r="K569" s="25">
        <v>12652</v>
      </c>
      <c r="L569" s="23">
        <v>52926</v>
      </c>
      <c r="M569" s="11"/>
      <c r="N569" s="7" t="str">
        <f ca="1">_xlfn.IFNA(VLOOKUP("2"&amp;B569,CountSpecific!E:F,2,0),"")</f>
        <v/>
      </c>
      <c r="O569" s="14" t="str">
        <f ca="1">_xlfn.IFNA(VLOOKUP("3"&amp;B569,CountSpecific!E:F,2,0),"")</f>
        <v/>
      </c>
      <c r="P569" s="7" t="str">
        <f ca="1">_xlfn.IFNA(VLOOKUP("4"&amp;B569,CountSpecific!E:F,2,0),"")</f>
        <v/>
      </c>
    </row>
    <row r="570" spans="1:16" customFormat="1" x14ac:dyDescent="0.25">
      <c r="A570" s="7">
        <v>569</v>
      </c>
      <c r="B570" s="11" t="s">
        <v>585</v>
      </c>
      <c r="C570" s="7" t="s">
        <v>1039</v>
      </c>
      <c r="D570" s="7">
        <v>569</v>
      </c>
      <c r="E570" s="7">
        <v>569</v>
      </c>
      <c r="F570" s="7">
        <v>569</v>
      </c>
      <c r="G570" s="11" t="s">
        <v>1027</v>
      </c>
      <c r="H570" s="20">
        <v>32219</v>
      </c>
      <c r="I570" s="12">
        <v>44177</v>
      </c>
      <c r="J570" s="12">
        <v>44451</v>
      </c>
      <c r="K570" s="25">
        <v>864</v>
      </c>
      <c r="L570" s="23">
        <v>31355</v>
      </c>
      <c r="M570" s="11"/>
      <c r="N570" s="7" t="str">
        <f ca="1">_xlfn.IFNA(VLOOKUP("2"&amp;B570,CountSpecific!E:F,2,0),"")</f>
        <v/>
      </c>
      <c r="O570" s="14" t="str">
        <f ca="1">_xlfn.IFNA(VLOOKUP("3"&amp;B570,CountSpecific!E:F,2,0),"")</f>
        <v/>
      </c>
      <c r="P570" s="7" t="str">
        <f ca="1">_xlfn.IFNA(VLOOKUP("4"&amp;B570,CountSpecific!E:F,2,0),"")</f>
        <v/>
      </c>
    </row>
    <row r="571" spans="1:16" customFormat="1" x14ac:dyDescent="0.25">
      <c r="A571" s="7">
        <v>570</v>
      </c>
      <c r="B571" s="11" t="s">
        <v>586</v>
      </c>
      <c r="C571" s="7" t="s">
        <v>1039</v>
      </c>
      <c r="D571" s="7">
        <v>570</v>
      </c>
      <c r="E571" s="9">
        <v>570</v>
      </c>
      <c r="F571" s="7">
        <v>570</v>
      </c>
      <c r="G571" s="11" t="s">
        <v>1026</v>
      </c>
      <c r="H571" s="20">
        <v>2462029</v>
      </c>
      <c r="I571" s="12">
        <v>44999</v>
      </c>
      <c r="J571" s="12">
        <v>45091</v>
      </c>
      <c r="K571" s="25">
        <v>4015</v>
      </c>
      <c r="L571" s="23">
        <v>2458014</v>
      </c>
      <c r="M571" s="11"/>
      <c r="N571" s="7" t="str">
        <f ca="1">_xlfn.IFNA(VLOOKUP("2"&amp;B571,CountSpecific!E:F,2,0),"")</f>
        <v/>
      </c>
      <c r="O571" s="14" t="str">
        <f ca="1">_xlfn.IFNA(VLOOKUP("3"&amp;B571,CountSpecific!E:F,2,0),"")</f>
        <v/>
      </c>
      <c r="P571" s="7" t="str">
        <f ca="1">_xlfn.IFNA(VLOOKUP("4"&amp;B571,CountSpecific!E:F,2,0),"")</f>
        <v/>
      </c>
    </row>
    <row r="572" spans="1:16" customFormat="1" x14ac:dyDescent="0.25">
      <c r="A572" s="7">
        <v>571</v>
      </c>
      <c r="B572" s="11" t="s">
        <v>587</v>
      </c>
      <c r="C572" s="7" t="s">
        <v>1039</v>
      </c>
      <c r="D572" s="7">
        <v>571</v>
      </c>
      <c r="E572" s="7">
        <v>571</v>
      </c>
      <c r="F572" s="7">
        <v>571</v>
      </c>
      <c r="G572" s="11" t="s">
        <v>1024</v>
      </c>
      <c r="H572" s="20">
        <v>195333</v>
      </c>
      <c r="I572" s="12">
        <v>44974</v>
      </c>
      <c r="J572" s="12">
        <v>45613</v>
      </c>
      <c r="K572" s="25">
        <v>185936</v>
      </c>
      <c r="L572" s="23">
        <v>9397</v>
      </c>
      <c r="M572" s="11"/>
      <c r="N572" s="7" t="str">
        <f ca="1">_xlfn.IFNA(VLOOKUP("2"&amp;B572,CountSpecific!E:F,2,0),"")</f>
        <v/>
      </c>
      <c r="O572" s="14" t="str">
        <f ca="1">_xlfn.IFNA(VLOOKUP("3"&amp;B572,CountSpecific!E:F,2,0),"")</f>
        <v/>
      </c>
      <c r="P572" s="7" t="str">
        <f ca="1">_xlfn.IFNA(VLOOKUP("4"&amp;B572,CountSpecific!E:F,2,0),"")</f>
        <v/>
      </c>
    </row>
    <row r="573" spans="1:16" customFormat="1" x14ac:dyDescent="0.25">
      <c r="A573" s="7">
        <v>572</v>
      </c>
      <c r="B573" s="11" t="s">
        <v>588</v>
      </c>
      <c r="C573" s="7" t="s">
        <v>1039</v>
      </c>
      <c r="D573" s="7">
        <v>572</v>
      </c>
      <c r="E573" s="7">
        <v>572</v>
      </c>
      <c r="F573" s="7">
        <v>572</v>
      </c>
      <c r="G573" s="11" t="s">
        <v>1027</v>
      </c>
      <c r="H573" s="20">
        <v>53281</v>
      </c>
      <c r="I573" s="12">
        <v>44622</v>
      </c>
      <c r="J573" s="12">
        <v>45293</v>
      </c>
      <c r="K573" s="25">
        <v>9554</v>
      </c>
      <c r="L573" s="23">
        <v>43727</v>
      </c>
      <c r="M573" s="11"/>
      <c r="N573" s="7" t="str">
        <f ca="1">_xlfn.IFNA(VLOOKUP("2"&amp;B573,CountSpecific!E:F,2,0),"")</f>
        <v/>
      </c>
      <c r="O573" s="14" t="str">
        <f ca="1">_xlfn.IFNA(VLOOKUP("3"&amp;B573,CountSpecific!E:F,2,0),"")</f>
        <v/>
      </c>
      <c r="P573" s="7" t="str">
        <f ca="1">_xlfn.IFNA(VLOOKUP("4"&amp;B573,CountSpecific!E:F,2,0),"")</f>
        <v/>
      </c>
    </row>
    <row r="574" spans="1:16" customFormat="1" x14ac:dyDescent="0.25">
      <c r="A574" s="7">
        <v>573</v>
      </c>
      <c r="B574" s="11" t="s">
        <v>589</v>
      </c>
      <c r="C574" s="7" t="s">
        <v>1039</v>
      </c>
      <c r="D574" s="7">
        <v>573</v>
      </c>
      <c r="E574" s="9">
        <v>573</v>
      </c>
      <c r="F574" s="7">
        <v>573</v>
      </c>
      <c r="G574" s="11" t="s">
        <v>1022</v>
      </c>
      <c r="H574" s="20">
        <v>18186</v>
      </c>
      <c r="I574" s="12">
        <v>44089</v>
      </c>
      <c r="J574" s="12">
        <v>44454</v>
      </c>
      <c r="K574" s="25">
        <v>37</v>
      </c>
      <c r="L574" s="23">
        <v>18149</v>
      </c>
      <c r="M574" s="11"/>
      <c r="N574" s="7" t="str">
        <f ca="1">_xlfn.IFNA(VLOOKUP("2"&amp;B574,CountSpecific!E:F,2,0),"")</f>
        <v/>
      </c>
      <c r="O574" s="14" t="str">
        <f ca="1">_xlfn.IFNA(VLOOKUP("3"&amp;B574,CountSpecific!E:F,2,0),"")</f>
        <v/>
      </c>
      <c r="P574" s="7" t="str">
        <f ca="1">_xlfn.IFNA(VLOOKUP("4"&amp;B574,CountSpecific!E:F,2,0),"")</f>
        <v/>
      </c>
    </row>
    <row r="575" spans="1:16" customFormat="1" x14ac:dyDescent="0.25">
      <c r="A575" s="7">
        <v>574</v>
      </c>
      <c r="B575" s="11" t="s">
        <v>590</v>
      </c>
      <c r="C575" s="7" t="s">
        <v>1039</v>
      </c>
      <c r="D575" s="7">
        <v>574</v>
      </c>
      <c r="E575" s="7">
        <v>574</v>
      </c>
      <c r="F575" s="7">
        <v>574</v>
      </c>
      <c r="G575" s="11" t="s">
        <v>1025</v>
      </c>
      <c r="H575" s="20">
        <v>107791</v>
      </c>
      <c r="I575" s="12">
        <v>45711</v>
      </c>
      <c r="J575" s="12">
        <v>45770</v>
      </c>
      <c r="K575" s="25">
        <v>10997</v>
      </c>
      <c r="L575" s="23">
        <v>96794</v>
      </c>
      <c r="M575" s="11"/>
      <c r="N575" s="7" t="str">
        <f ca="1">_xlfn.IFNA(VLOOKUP("2"&amp;B575,CountSpecific!E:F,2,0),"")</f>
        <v/>
      </c>
      <c r="O575" s="14" t="str">
        <f ca="1">_xlfn.IFNA(VLOOKUP("3"&amp;B575,CountSpecific!E:F,2,0),"")</f>
        <v/>
      </c>
      <c r="P575" s="7" t="str">
        <f ca="1">_xlfn.IFNA(VLOOKUP("4"&amp;B575,CountSpecific!E:F,2,0),"")</f>
        <v/>
      </c>
    </row>
    <row r="576" spans="1:16" customFormat="1" x14ac:dyDescent="0.25">
      <c r="A576" s="7">
        <v>575</v>
      </c>
      <c r="B576" s="11" t="s">
        <v>591</v>
      </c>
      <c r="C576" s="7" t="s">
        <v>1039</v>
      </c>
      <c r="D576" s="7">
        <v>575</v>
      </c>
      <c r="E576" s="7">
        <v>575</v>
      </c>
      <c r="F576" s="7">
        <v>575</v>
      </c>
      <c r="G576" s="11" t="s">
        <v>1021</v>
      </c>
      <c r="H576" s="20">
        <v>68124</v>
      </c>
      <c r="I576" s="12">
        <v>44903</v>
      </c>
      <c r="J576" s="12">
        <v>45573</v>
      </c>
      <c r="K576" s="25">
        <v>49150</v>
      </c>
      <c r="L576" s="23">
        <v>18974</v>
      </c>
      <c r="M576" s="11"/>
      <c r="N576" s="7" t="str">
        <f ca="1">_xlfn.IFNA(VLOOKUP("2"&amp;B576,CountSpecific!E:F,2,0),"")</f>
        <v/>
      </c>
      <c r="O576" s="14" t="str">
        <f ca="1">_xlfn.IFNA(VLOOKUP("3"&amp;B576,CountSpecific!E:F,2,0),"")</f>
        <v/>
      </c>
      <c r="P576" s="7" t="str">
        <f ca="1">_xlfn.IFNA(VLOOKUP("4"&amp;B576,CountSpecific!E:F,2,0),"")</f>
        <v/>
      </c>
    </row>
    <row r="577" spans="1:16" customFormat="1" x14ac:dyDescent="0.25">
      <c r="A577" s="7">
        <v>576</v>
      </c>
      <c r="B577" s="11" t="s">
        <v>592</v>
      </c>
      <c r="C577" s="7" t="s">
        <v>1039</v>
      </c>
      <c r="D577" s="7">
        <v>576</v>
      </c>
      <c r="E577" s="9">
        <v>576</v>
      </c>
      <c r="F577" s="7">
        <v>576</v>
      </c>
      <c r="G577" s="11" t="s">
        <v>1024</v>
      </c>
      <c r="H577" s="20">
        <v>699648</v>
      </c>
      <c r="I577" s="12">
        <v>45011</v>
      </c>
      <c r="J577" s="12">
        <v>45742</v>
      </c>
      <c r="K577" s="25">
        <v>383874</v>
      </c>
      <c r="L577" s="23">
        <v>315774</v>
      </c>
      <c r="M577" s="11"/>
      <c r="N577" s="7" t="str">
        <f ca="1">_xlfn.IFNA(VLOOKUP("2"&amp;B577,CountSpecific!E:F,2,0),"")</f>
        <v/>
      </c>
      <c r="O577" s="14" t="str">
        <f ca="1">_xlfn.IFNA(VLOOKUP("3"&amp;B577,CountSpecific!E:F,2,0),"")</f>
        <v/>
      </c>
      <c r="P577" s="7" t="str">
        <f ca="1">_xlfn.IFNA(VLOOKUP("4"&amp;B577,CountSpecific!E:F,2,0),"")</f>
        <v/>
      </c>
    </row>
    <row r="578" spans="1:16" customFormat="1" x14ac:dyDescent="0.25">
      <c r="A578" s="7">
        <v>577</v>
      </c>
      <c r="B578" s="11" t="s">
        <v>593</v>
      </c>
      <c r="C578" s="7" t="s">
        <v>1039</v>
      </c>
      <c r="D578" s="7">
        <v>577</v>
      </c>
      <c r="E578" s="7">
        <v>577</v>
      </c>
      <c r="F578" s="7">
        <v>577</v>
      </c>
      <c r="G578" s="11" t="s">
        <v>1027</v>
      </c>
      <c r="H578" s="20">
        <v>35189</v>
      </c>
      <c r="I578" s="12">
        <v>44758</v>
      </c>
      <c r="J578" s="12">
        <v>45093</v>
      </c>
      <c r="K578" s="25">
        <v>33429</v>
      </c>
      <c r="L578" s="23">
        <v>1760</v>
      </c>
      <c r="M578" s="11"/>
      <c r="N578" s="7" t="str">
        <f ca="1">_xlfn.IFNA(VLOOKUP("2"&amp;B578,CountSpecific!E:F,2,0),"")</f>
        <v/>
      </c>
      <c r="O578" s="14" t="str">
        <f ca="1">_xlfn.IFNA(VLOOKUP("3"&amp;B578,CountSpecific!E:F,2,0),"")</f>
        <v/>
      </c>
      <c r="P578" s="7" t="str">
        <f ca="1">_xlfn.IFNA(VLOOKUP("4"&amp;B578,CountSpecific!E:F,2,0),"")</f>
        <v/>
      </c>
    </row>
    <row r="579" spans="1:16" customFormat="1" x14ac:dyDescent="0.25">
      <c r="A579" s="7">
        <v>578</v>
      </c>
      <c r="B579" s="11" t="s">
        <v>594</v>
      </c>
      <c r="C579" s="7" t="s">
        <v>1039</v>
      </c>
      <c r="D579" s="7">
        <v>578</v>
      </c>
      <c r="E579" s="7">
        <v>578</v>
      </c>
      <c r="F579" s="7">
        <v>578</v>
      </c>
      <c r="G579" s="11" t="s">
        <v>1027</v>
      </c>
      <c r="H579" s="20">
        <v>20385</v>
      </c>
      <c r="I579" s="12">
        <v>44711</v>
      </c>
      <c r="J579" s="12">
        <v>45168</v>
      </c>
      <c r="K579" s="25">
        <v>8025</v>
      </c>
      <c r="L579" s="23">
        <v>12360</v>
      </c>
      <c r="M579" s="11"/>
      <c r="N579" s="7" t="str">
        <f ca="1">_xlfn.IFNA(VLOOKUP("2"&amp;B579,CountSpecific!E:F,2,0),"")</f>
        <v/>
      </c>
      <c r="O579" s="14" t="str">
        <f ca="1">_xlfn.IFNA(VLOOKUP("3"&amp;B579,CountSpecific!E:F,2,0),"")</f>
        <v/>
      </c>
      <c r="P579" s="7" t="str">
        <f ca="1">_xlfn.IFNA(VLOOKUP("4"&amp;B579,CountSpecific!E:F,2,0),"")</f>
        <v/>
      </c>
    </row>
    <row r="580" spans="1:16" customFormat="1" x14ac:dyDescent="0.25">
      <c r="A580" s="7">
        <v>579</v>
      </c>
      <c r="B580" s="11" t="s">
        <v>595</v>
      </c>
      <c r="C580" s="7" t="s">
        <v>1039</v>
      </c>
      <c r="D580" s="7">
        <v>579</v>
      </c>
      <c r="E580" s="9">
        <v>579</v>
      </c>
      <c r="F580" s="7">
        <v>579</v>
      </c>
      <c r="G580" s="11" t="s">
        <v>1025</v>
      </c>
      <c r="H580" s="20">
        <v>446572</v>
      </c>
      <c r="I580" s="12">
        <v>44910</v>
      </c>
      <c r="J580" s="12">
        <v>45580</v>
      </c>
      <c r="K580" s="25">
        <v>73301</v>
      </c>
      <c r="L580" s="23">
        <v>373271</v>
      </c>
      <c r="M580" s="11"/>
      <c r="N580" s="7" t="str">
        <f ca="1">_xlfn.IFNA(VLOOKUP("2"&amp;B580,CountSpecific!E:F,2,0),"")</f>
        <v/>
      </c>
      <c r="O580" s="14" t="str">
        <f ca="1">_xlfn.IFNA(VLOOKUP("3"&amp;B580,CountSpecific!E:F,2,0),"")</f>
        <v/>
      </c>
      <c r="P580" s="7" t="str">
        <f ca="1">_xlfn.IFNA(VLOOKUP("4"&amp;B580,CountSpecific!E:F,2,0),"")</f>
        <v/>
      </c>
    </row>
    <row r="581" spans="1:16" customFormat="1" x14ac:dyDescent="0.25">
      <c r="A581" s="7">
        <v>580</v>
      </c>
      <c r="B581" s="11" t="s">
        <v>596</v>
      </c>
      <c r="C581" s="7" t="s">
        <v>1039</v>
      </c>
      <c r="D581" s="7">
        <v>580</v>
      </c>
      <c r="E581" s="7">
        <v>580</v>
      </c>
      <c r="F581" s="7">
        <v>580</v>
      </c>
      <c r="G581" s="11" t="s">
        <v>1025</v>
      </c>
      <c r="H581" s="20">
        <v>281875</v>
      </c>
      <c r="I581" s="12">
        <v>44277</v>
      </c>
      <c r="J581" s="12">
        <v>44703</v>
      </c>
      <c r="K581" s="25">
        <v>58617</v>
      </c>
      <c r="L581" s="23">
        <v>223258</v>
      </c>
      <c r="M581" s="11"/>
      <c r="N581" s="7" t="str">
        <f ca="1">_xlfn.IFNA(VLOOKUP("2"&amp;B581,CountSpecific!E:F,2,0),"")</f>
        <v/>
      </c>
      <c r="O581" s="14" t="str">
        <f ca="1">_xlfn.IFNA(VLOOKUP("3"&amp;B581,CountSpecific!E:F,2,0),"")</f>
        <v/>
      </c>
      <c r="P581" s="7" t="str">
        <f ca="1">_xlfn.IFNA(VLOOKUP("4"&amp;B581,CountSpecific!E:F,2,0),"")</f>
        <v/>
      </c>
    </row>
    <row r="582" spans="1:16" customFormat="1" x14ac:dyDescent="0.25">
      <c r="A582" s="7">
        <v>581</v>
      </c>
      <c r="B582" s="11" t="s">
        <v>597</v>
      </c>
      <c r="C582" s="7" t="s">
        <v>1039</v>
      </c>
      <c r="D582" s="7">
        <v>581</v>
      </c>
      <c r="E582" s="7">
        <v>581</v>
      </c>
      <c r="F582" s="7">
        <v>581</v>
      </c>
      <c r="G582" s="11" t="s">
        <v>1021</v>
      </c>
      <c r="H582" s="20">
        <v>28649</v>
      </c>
      <c r="I582" s="12">
        <v>45195</v>
      </c>
      <c r="J582" s="12">
        <v>45803</v>
      </c>
      <c r="K582" s="25">
        <v>26102</v>
      </c>
      <c r="L582" s="23">
        <v>2547</v>
      </c>
      <c r="M582" s="11"/>
      <c r="N582" s="7" t="str">
        <f ca="1">_xlfn.IFNA(VLOOKUP("2"&amp;B582,CountSpecific!E:F,2,0),"")</f>
        <v/>
      </c>
      <c r="O582" s="14" t="str">
        <f ca="1">_xlfn.IFNA(VLOOKUP("3"&amp;B582,CountSpecific!E:F,2,0),"")</f>
        <v/>
      </c>
      <c r="P582" s="7" t="str">
        <f ca="1">_xlfn.IFNA(VLOOKUP("4"&amp;B582,CountSpecific!E:F,2,0),"")</f>
        <v/>
      </c>
    </row>
    <row r="583" spans="1:16" customFormat="1" x14ac:dyDescent="0.25">
      <c r="A583" s="7">
        <v>582</v>
      </c>
      <c r="B583" s="11" t="s">
        <v>598</v>
      </c>
      <c r="C583" s="7" t="s">
        <v>1039</v>
      </c>
      <c r="D583" s="7">
        <v>582</v>
      </c>
      <c r="E583" s="9">
        <v>582</v>
      </c>
      <c r="F583" s="7">
        <v>582</v>
      </c>
      <c r="G583" s="11" t="s">
        <v>1026</v>
      </c>
      <c r="H583" s="20">
        <v>3805086</v>
      </c>
      <c r="I583" s="12">
        <v>44656</v>
      </c>
      <c r="J583" s="12">
        <v>45387</v>
      </c>
      <c r="K583" s="25">
        <v>3576726</v>
      </c>
      <c r="L583" s="23">
        <v>228360</v>
      </c>
      <c r="M583" s="11"/>
      <c r="N583" s="7" t="str">
        <f ca="1">_xlfn.IFNA(VLOOKUP("2"&amp;B583,CountSpecific!E:F,2,0),"")</f>
        <v/>
      </c>
      <c r="O583" s="14" t="str">
        <f ca="1">_xlfn.IFNA(VLOOKUP("3"&amp;B583,CountSpecific!E:F,2,0),"")</f>
        <v/>
      </c>
      <c r="P583" s="7" t="str">
        <f ca="1">_xlfn.IFNA(VLOOKUP("4"&amp;B583,CountSpecific!E:F,2,0),"")</f>
        <v/>
      </c>
    </row>
    <row r="584" spans="1:16" customFormat="1" x14ac:dyDescent="0.25">
      <c r="A584" s="7">
        <v>583</v>
      </c>
      <c r="B584" s="11" t="s">
        <v>599</v>
      </c>
      <c r="C584" s="7" t="s">
        <v>1039</v>
      </c>
      <c r="D584" s="7">
        <v>583</v>
      </c>
      <c r="E584" s="7">
        <v>583</v>
      </c>
      <c r="F584" s="7">
        <v>583</v>
      </c>
      <c r="G584" s="11" t="s">
        <v>1026</v>
      </c>
      <c r="H584" s="20">
        <v>1375200</v>
      </c>
      <c r="I584" s="12">
        <v>44121</v>
      </c>
      <c r="J584" s="12">
        <v>44698</v>
      </c>
      <c r="K584" s="25">
        <v>280252</v>
      </c>
      <c r="L584" s="23">
        <v>1094948</v>
      </c>
      <c r="M584" s="11"/>
      <c r="N584" s="7" t="str">
        <f ca="1">_xlfn.IFNA(VLOOKUP("2"&amp;B584,CountSpecific!E:F,2,0),"")</f>
        <v/>
      </c>
      <c r="O584" s="14" t="str">
        <f ca="1">_xlfn.IFNA(VLOOKUP("3"&amp;B584,CountSpecific!E:F,2,0),"")</f>
        <v/>
      </c>
      <c r="P584" s="7" t="str">
        <f ca="1">_xlfn.IFNA(VLOOKUP("4"&amp;B584,CountSpecific!E:F,2,0),"")</f>
        <v/>
      </c>
    </row>
    <row r="585" spans="1:16" customFormat="1" x14ac:dyDescent="0.25">
      <c r="A585" s="7">
        <v>584</v>
      </c>
      <c r="B585" s="11" t="s">
        <v>600</v>
      </c>
      <c r="C585" s="7" t="s">
        <v>1039</v>
      </c>
      <c r="D585" s="7">
        <v>584</v>
      </c>
      <c r="E585" s="7">
        <v>584</v>
      </c>
      <c r="F585" s="7">
        <v>584</v>
      </c>
      <c r="G585" s="11" t="s">
        <v>1021</v>
      </c>
      <c r="H585" s="20">
        <v>67829</v>
      </c>
      <c r="I585" s="12">
        <v>43973</v>
      </c>
      <c r="J585" s="12">
        <v>44399</v>
      </c>
      <c r="K585" s="25">
        <v>38026</v>
      </c>
      <c r="L585" s="23">
        <v>29803</v>
      </c>
      <c r="M585" s="11"/>
      <c r="N585" s="7" t="str">
        <f ca="1">_xlfn.IFNA(VLOOKUP("2"&amp;B585,CountSpecific!E:F,2,0),"")</f>
        <v/>
      </c>
      <c r="O585" s="14" t="str">
        <f ca="1">_xlfn.IFNA(VLOOKUP("3"&amp;B585,CountSpecific!E:F,2,0),"")</f>
        <v/>
      </c>
      <c r="P585" s="7" t="str">
        <f ca="1">_xlfn.IFNA(VLOOKUP("4"&amp;B585,CountSpecific!E:F,2,0),"")</f>
        <v/>
      </c>
    </row>
    <row r="586" spans="1:16" customFormat="1" x14ac:dyDescent="0.25">
      <c r="A586" s="7">
        <v>585</v>
      </c>
      <c r="B586" s="11" t="s">
        <v>601</v>
      </c>
      <c r="C586" s="7" t="s">
        <v>1039</v>
      </c>
      <c r="D586" s="7">
        <v>585</v>
      </c>
      <c r="E586" s="9">
        <v>585</v>
      </c>
      <c r="F586" s="7">
        <v>585</v>
      </c>
      <c r="G586" s="11" t="s">
        <v>1027</v>
      </c>
      <c r="H586" s="20">
        <v>37169</v>
      </c>
      <c r="I586" s="12">
        <v>44925</v>
      </c>
      <c r="J586" s="12">
        <v>45260</v>
      </c>
      <c r="K586" s="25">
        <v>5536</v>
      </c>
      <c r="L586" s="23">
        <v>31633</v>
      </c>
      <c r="M586" s="11"/>
      <c r="N586" s="7" t="str">
        <f ca="1">_xlfn.IFNA(VLOOKUP("2"&amp;B586,CountSpecific!E:F,2,0),"")</f>
        <v/>
      </c>
      <c r="O586" s="14" t="str">
        <f ca="1">_xlfn.IFNA(VLOOKUP("3"&amp;B586,CountSpecific!E:F,2,0),"")</f>
        <v/>
      </c>
      <c r="P586" s="7" t="str">
        <f ca="1">_xlfn.IFNA(VLOOKUP("4"&amp;B586,CountSpecific!E:F,2,0),"")</f>
        <v/>
      </c>
    </row>
    <row r="587" spans="1:16" customFormat="1" x14ac:dyDescent="0.25">
      <c r="A587" s="7">
        <v>586</v>
      </c>
      <c r="B587" s="11" t="s">
        <v>602</v>
      </c>
      <c r="C587" s="7" t="s">
        <v>1039</v>
      </c>
      <c r="D587" s="7">
        <v>586</v>
      </c>
      <c r="E587" s="7">
        <v>586</v>
      </c>
      <c r="F587" s="7">
        <v>586</v>
      </c>
      <c r="G587" s="11" t="s">
        <v>1026</v>
      </c>
      <c r="H587" s="20">
        <v>3307896</v>
      </c>
      <c r="I587" s="12">
        <v>45484</v>
      </c>
      <c r="J587" s="12">
        <v>45819</v>
      </c>
      <c r="K587" s="25">
        <v>1026806</v>
      </c>
      <c r="L587" s="23">
        <v>2281090</v>
      </c>
      <c r="M587" s="11"/>
      <c r="N587" s="7" t="str">
        <f ca="1">_xlfn.IFNA(VLOOKUP("2"&amp;B587,CountSpecific!E:F,2,0),"")</f>
        <v/>
      </c>
      <c r="O587" s="14" t="str">
        <f ca="1">_xlfn.IFNA(VLOOKUP("3"&amp;B587,CountSpecific!E:F,2,0),"")</f>
        <v/>
      </c>
      <c r="P587" s="7" t="str">
        <f ca="1">_xlfn.IFNA(VLOOKUP("4"&amp;B587,CountSpecific!E:F,2,0),"")</f>
        <v/>
      </c>
    </row>
    <row r="588" spans="1:16" customFormat="1" x14ac:dyDescent="0.25">
      <c r="A588" s="7">
        <v>587</v>
      </c>
      <c r="B588" s="11" t="s">
        <v>603</v>
      </c>
      <c r="C588" s="7" t="s">
        <v>1039</v>
      </c>
      <c r="D588" s="7">
        <v>587</v>
      </c>
      <c r="E588" s="7">
        <v>587</v>
      </c>
      <c r="F588" s="7">
        <v>587</v>
      </c>
      <c r="G588" s="11" t="s">
        <v>1024</v>
      </c>
      <c r="H588" s="20">
        <v>826834</v>
      </c>
      <c r="I588" s="12">
        <v>45113</v>
      </c>
      <c r="J588" s="12">
        <v>45357</v>
      </c>
      <c r="K588" s="25">
        <v>129456</v>
      </c>
      <c r="L588" s="23">
        <v>697378</v>
      </c>
      <c r="M588" s="11"/>
      <c r="N588" s="7" t="str">
        <f ca="1">_xlfn.IFNA(VLOOKUP("2"&amp;B588,CountSpecific!E:F,2,0),"")</f>
        <v/>
      </c>
      <c r="O588" s="14" t="str">
        <f ca="1">_xlfn.IFNA(VLOOKUP("3"&amp;B588,CountSpecific!E:F,2,0),"")</f>
        <v/>
      </c>
      <c r="P588" s="7" t="str">
        <f ca="1">_xlfn.IFNA(VLOOKUP("4"&amp;B588,CountSpecific!E:F,2,0),"")</f>
        <v/>
      </c>
    </row>
    <row r="589" spans="1:16" customFormat="1" x14ac:dyDescent="0.25">
      <c r="A589" s="7">
        <v>588</v>
      </c>
      <c r="B589" s="11" t="s">
        <v>604</v>
      </c>
      <c r="C589" s="7" t="s">
        <v>1039</v>
      </c>
      <c r="D589" s="7">
        <v>588</v>
      </c>
      <c r="E589" s="9">
        <v>588</v>
      </c>
      <c r="F589" s="7">
        <v>588</v>
      </c>
      <c r="G589" s="11" t="s">
        <v>1023</v>
      </c>
      <c r="H589" s="20">
        <v>170</v>
      </c>
      <c r="I589" s="12">
        <v>43923</v>
      </c>
      <c r="J589" s="12">
        <v>44594</v>
      </c>
      <c r="K589" s="25">
        <v>29</v>
      </c>
      <c r="L589" s="23">
        <v>141</v>
      </c>
      <c r="M589" s="11"/>
      <c r="N589" s="7" t="str">
        <f ca="1">_xlfn.IFNA(VLOOKUP("2"&amp;B589,CountSpecific!E:F,2,0),"")</f>
        <v/>
      </c>
      <c r="O589" s="14" t="str">
        <f ca="1">_xlfn.IFNA(VLOOKUP("3"&amp;B589,CountSpecific!E:F,2,0),"")</f>
        <v/>
      </c>
      <c r="P589" s="7" t="str">
        <f ca="1">_xlfn.IFNA(VLOOKUP("4"&amp;B589,CountSpecific!E:F,2,0),"")</f>
        <v/>
      </c>
    </row>
    <row r="590" spans="1:16" customFormat="1" x14ac:dyDescent="0.25">
      <c r="A590" s="7">
        <v>589</v>
      </c>
      <c r="B590" s="11" t="s">
        <v>605</v>
      </c>
      <c r="C590" s="7" t="s">
        <v>1039</v>
      </c>
      <c r="D590" s="7">
        <v>589</v>
      </c>
      <c r="E590" s="7">
        <v>589</v>
      </c>
      <c r="F590" s="7">
        <v>589</v>
      </c>
      <c r="G590" s="11" t="s">
        <v>1024</v>
      </c>
      <c r="H590" s="20">
        <v>599551</v>
      </c>
      <c r="I590" s="12">
        <v>45313</v>
      </c>
      <c r="J590" s="12">
        <v>45373</v>
      </c>
      <c r="K590" s="25">
        <v>122312</v>
      </c>
      <c r="L590" s="23">
        <v>477239</v>
      </c>
      <c r="M590" s="11"/>
      <c r="N590" s="7" t="str">
        <f ca="1">_xlfn.IFNA(VLOOKUP("2"&amp;B590,CountSpecific!E:F,2,0),"")</f>
        <v/>
      </c>
      <c r="O590" s="14" t="str">
        <f ca="1">_xlfn.IFNA(VLOOKUP("3"&amp;B590,CountSpecific!E:F,2,0),"")</f>
        <v/>
      </c>
      <c r="P590" s="7" t="str">
        <f ca="1">_xlfn.IFNA(VLOOKUP("4"&amp;B590,CountSpecific!E:F,2,0),"")</f>
        <v/>
      </c>
    </row>
    <row r="591" spans="1:16" customFormat="1" x14ac:dyDescent="0.25">
      <c r="A591" s="7">
        <v>590</v>
      </c>
      <c r="B591" s="11" t="s">
        <v>606</v>
      </c>
      <c r="C591" s="7" t="s">
        <v>1039</v>
      </c>
      <c r="D591" s="7">
        <v>590</v>
      </c>
      <c r="E591" s="7">
        <v>590</v>
      </c>
      <c r="F591" s="7">
        <v>590</v>
      </c>
      <c r="G591" s="11" t="s">
        <v>1025</v>
      </c>
      <c r="H591" s="20">
        <v>359023</v>
      </c>
      <c r="I591" s="12">
        <v>43839</v>
      </c>
      <c r="J591" s="12">
        <v>44083</v>
      </c>
      <c r="K591" s="25">
        <v>158577</v>
      </c>
      <c r="L591" s="23">
        <v>200446</v>
      </c>
      <c r="M591" s="11"/>
      <c r="N591" s="7" t="str">
        <f ca="1">_xlfn.IFNA(VLOOKUP("2"&amp;B591,CountSpecific!E:F,2,0),"")</f>
        <v/>
      </c>
      <c r="O591" s="14" t="str">
        <f ca="1">_xlfn.IFNA(VLOOKUP("3"&amp;B591,CountSpecific!E:F,2,0),"")</f>
        <v/>
      </c>
      <c r="P591" s="7" t="str">
        <f ca="1">_xlfn.IFNA(VLOOKUP("4"&amp;B591,CountSpecific!E:F,2,0),"")</f>
        <v/>
      </c>
    </row>
    <row r="592" spans="1:16" customFormat="1" x14ac:dyDescent="0.25">
      <c r="A592" s="7">
        <v>591</v>
      </c>
      <c r="B592" s="11" t="s">
        <v>607</v>
      </c>
      <c r="C592" s="7" t="s">
        <v>1039</v>
      </c>
      <c r="D592" s="7">
        <v>591</v>
      </c>
      <c r="E592" s="9">
        <v>591</v>
      </c>
      <c r="F592" s="7">
        <v>591</v>
      </c>
      <c r="G592" s="11" t="s">
        <v>1024</v>
      </c>
      <c r="H592" s="20">
        <v>293660</v>
      </c>
      <c r="I592" s="12">
        <v>44334</v>
      </c>
      <c r="J592" s="12">
        <v>45064</v>
      </c>
      <c r="K592" s="25">
        <v>3564</v>
      </c>
      <c r="L592" s="23">
        <v>290096</v>
      </c>
      <c r="M592" s="11"/>
      <c r="N592" s="7" t="str">
        <f ca="1">_xlfn.IFNA(VLOOKUP("2"&amp;B592,CountSpecific!E:F,2,0),"")</f>
        <v/>
      </c>
      <c r="O592" s="14" t="str">
        <f ca="1">_xlfn.IFNA(VLOOKUP("3"&amp;B592,CountSpecific!E:F,2,0),"")</f>
        <v/>
      </c>
      <c r="P592" s="7" t="str">
        <f ca="1">_xlfn.IFNA(VLOOKUP("4"&amp;B592,CountSpecific!E:F,2,0),"")</f>
        <v/>
      </c>
    </row>
    <row r="593" spans="1:16" customFormat="1" x14ac:dyDescent="0.25">
      <c r="A593" s="7">
        <v>592</v>
      </c>
      <c r="B593" s="11" t="s">
        <v>608</v>
      </c>
      <c r="C593" s="7" t="s">
        <v>1039</v>
      </c>
      <c r="D593" s="7">
        <v>592</v>
      </c>
      <c r="E593" s="7">
        <v>592</v>
      </c>
      <c r="F593" s="7">
        <v>592</v>
      </c>
      <c r="G593" s="11" t="s">
        <v>1026</v>
      </c>
      <c r="H593" s="20">
        <v>4607956</v>
      </c>
      <c r="I593" s="12">
        <v>44387</v>
      </c>
      <c r="J593" s="12">
        <v>45117</v>
      </c>
      <c r="K593" s="25">
        <v>2681363</v>
      </c>
      <c r="L593" s="23">
        <v>1926593</v>
      </c>
      <c r="M593" s="11"/>
      <c r="N593" s="7" t="str">
        <f ca="1">_xlfn.IFNA(VLOOKUP("2"&amp;B593,CountSpecific!E:F,2,0),"")</f>
        <v/>
      </c>
      <c r="O593" s="14" t="str">
        <f ca="1">_xlfn.IFNA(VLOOKUP("3"&amp;B593,CountSpecific!E:F,2,0),"")</f>
        <v/>
      </c>
      <c r="P593" s="7" t="str">
        <f ca="1">_xlfn.IFNA(VLOOKUP("4"&amp;B593,CountSpecific!E:F,2,0),"")</f>
        <v/>
      </c>
    </row>
    <row r="594" spans="1:16" customFormat="1" x14ac:dyDescent="0.25">
      <c r="A594" s="7">
        <v>593</v>
      </c>
      <c r="B594" s="11" t="s">
        <v>609</v>
      </c>
      <c r="C594" s="7" t="s">
        <v>1039</v>
      </c>
      <c r="D594" s="7">
        <v>593</v>
      </c>
      <c r="E594" s="7">
        <v>593</v>
      </c>
      <c r="F594" s="7">
        <v>593</v>
      </c>
      <c r="G594" s="11" t="s">
        <v>1025</v>
      </c>
      <c r="H594" s="20">
        <v>393912</v>
      </c>
      <c r="I594" s="12">
        <v>44389</v>
      </c>
      <c r="J594" s="12">
        <v>44573</v>
      </c>
      <c r="K594" s="25">
        <v>221946</v>
      </c>
      <c r="L594" s="23">
        <v>171966</v>
      </c>
      <c r="M594" s="11"/>
      <c r="N594" s="7" t="str">
        <f ca="1">_xlfn.IFNA(VLOOKUP("2"&amp;B594,CountSpecific!E:F,2,0),"")</f>
        <v/>
      </c>
      <c r="O594" s="14" t="str">
        <f ca="1">_xlfn.IFNA(VLOOKUP("3"&amp;B594,CountSpecific!E:F,2,0),"")</f>
        <v/>
      </c>
      <c r="P594" s="7" t="str">
        <f ca="1">_xlfn.IFNA(VLOOKUP("4"&amp;B594,CountSpecific!E:F,2,0),"")</f>
        <v/>
      </c>
    </row>
    <row r="595" spans="1:16" customFormat="1" x14ac:dyDescent="0.25">
      <c r="A595" s="7">
        <v>594</v>
      </c>
      <c r="B595" s="11" t="s">
        <v>610</v>
      </c>
      <c r="C595" s="7" t="s">
        <v>1039</v>
      </c>
      <c r="D595" s="7">
        <v>594</v>
      </c>
      <c r="E595" s="9">
        <v>594</v>
      </c>
      <c r="F595" s="7">
        <v>594</v>
      </c>
      <c r="G595" s="11" t="s">
        <v>1025</v>
      </c>
      <c r="H595" s="20">
        <v>221281</v>
      </c>
      <c r="I595" s="12">
        <v>44917</v>
      </c>
      <c r="J595" s="12">
        <v>45344</v>
      </c>
      <c r="K595" s="25">
        <v>56378</v>
      </c>
      <c r="L595" s="23">
        <v>164903</v>
      </c>
      <c r="M595" s="11"/>
      <c r="N595" s="7" t="str">
        <f ca="1">_xlfn.IFNA(VLOOKUP("2"&amp;B595,CountSpecific!E:F,2,0),"")</f>
        <v/>
      </c>
      <c r="O595" s="14" t="str">
        <f ca="1">_xlfn.IFNA(VLOOKUP("3"&amp;B595,CountSpecific!E:F,2,0),"")</f>
        <v/>
      </c>
      <c r="P595" s="7" t="str">
        <f ca="1">_xlfn.IFNA(VLOOKUP("4"&amp;B595,CountSpecific!E:F,2,0),"")</f>
        <v/>
      </c>
    </row>
    <row r="596" spans="1:16" customFormat="1" x14ac:dyDescent="0.25">
      <c r="A596" s="7">
        <v>595</v>
      </c>
      <c r="B596" s="11" t="s">
        <v>611</v>
      </c>
      <c r="C596" s="7" t="s">
        <v>1039</v>
      </c>
      <c r="D596" s="7">
        <v>595</v>
      </c>
      <c r="E596" s="7">
        <v>595</v>
      </c>
      <c r="F596" s="7">
        <v>595</v>
      </c>
      <c r="G596" s="11" t="s">
        <v>1021</v>
      </c>
      <c r="H596" s="20">
        <v>97740</v>
      </c>
      <c r="I596" s="12">
        <v>44117</v>
      </c>
      <c r="J596" s="12">
        <v>44847</v>
      </c>
      <c r="K596" s="25">
        <v>24023</v>
      </c>
      <c r="L596" s="23">
        <v>73717</v>
      </c>
      <c r="M596" s="11"/>
      <c r="N596" s="7" t="str">
        <f ca="1">_xlfn.IFNA(VLOOKUP("2"&amp;B596,CountSpecific!E:F,2,0),"")</f>
        <v/>
      </c>
      <c r="O596" s="14" t="str">
        <f ca="1">_xlfn.IFNA(VLOOKUP("3"&amp;B596,CountSpecific!E:F,2,0),"")</f>
        <v/>
      </c>
      <c r="P596" s="7" t="str">
        <f ca="1">_xlfn.IFNA(VLOOKUP("4"&amp;B596,CountSpecific!E:F,2,0),"")</f>
        <v/>
      </c>
    </row>
    <row r="597" spans="1:16" customFormat="1" x14ac:dyDescent="0.25">
      <c r="A597" s="7">
        <v>596</v>
      </c>
      <c r="B597" s="11" t="s">
        <v>612</v>
      </c>
      <c r="C597" s="7" t="s">
        <v>1039</v>
      </c>
      <c r="D597" s="7">
        <v>596</v>
      </c>
      <c r="E597" s="7">
        <v>596</v>
      </c>
      <c r="F597" s="7">
        <v>596</v>
      </c>
      <c r="G597" s="11" t="s">
        <v>1016</v>
      </c>
      <c r="H597" s="20">
        <v>37264</v>
      </c>
      <c r="I597" s="12">
        <v>44878</v>
      </c>
      <c r="J597" s="12">
        <v>45090</v>
      </c>
      <c r="K597" s="25">
        <v>2977</v>
      </c>
      <c r="L597" s="23">
        <v>34287</v>
      </c>
      <c r="M597" s="11"/>
      <c r="N597" s="7" t="str">
        <f ca="1">_xlfn.IFNA(VLOOKUP("2"&amp;B597,CountSpecific!E:F,2,0),"")</f>
        <v/>
      </c>
      <c r="O597" s="14" t="str">
        <f ca="1">_xlfn.IFNA(VLOOKUP("3"&amp;B597,CountSpecific!E:F,2,0),"")</f>
        <v/>
      </c>
      <c r="P597" s="7" t="str">
        <f ca="1">_xlfn.IFNA(VLOOKUP("4"&amp;B597,CountSpecific!E:F,2,0),"")</f>
        <v/>
      </c>
    </row>
    <row r="598" spans="1:16" customFormat="1" x14ac:dyDescent="0.25">
      <c r="A598" s="7">
        <v>597</v>
      </c>
      <c r="B598" s="11" t="s">
        <v>613</v>
      </c>
      <c r="C598" s="7" t="s">
        <v>1039</v>
      </c>
      <c r="D598" s="7">
        <v>597</v>
      </c>
      <c r="E598" s="9">
        <v>597</v>
      </c>
      <c r="F598" s="7">
        <v>597</v>
      </c>
      <c r="G598" s="11" t="s">
        <v>1027</v>
      </c>
      <c r="H598" s="20">
        <v>45627</v>
      </c>
      <c r="I598" s="12">
        <v>44031</v>
      </c>
      <c r="J598" s="12">
        <v>44246</v>
      </c>
      <c r="K598" s="25">
        <v>42454</v>
      </c>
      <c r="L598" s="23">
        <v>3173</v>
      </c>
      <c r="M598" s="11"/>
      <c r="N598" s="7" t="str">
        <f ca="1">_xlfn.IFNA(VLOOKUP("2"&amp;B598,CountSpecific!E:F,2,0),"")</f>
        <v/>
      </c>
      <c r="O598" s="14" t="str">
        <f ca="1">_xlfn.IFNA(VLOOKUP("3"&amp;B598,CountSpecific!E:F,2,0),"")</f>
        <v/>
      </c>
      <c r="P598" s="7" t="str">
        <f ca="1">_xlfn.IFNA(VLOOKUP("4"&amp;B598,CountSpecific!E:F,2,0),"")</f>
        <v/>
      </c>
    </row>
    <row r="599" spans="1:16" customFormat="1" x14ac:dyDescent="0.25">
      <c r="A599" s="7">
        <v>598</v>
      </c>
      <c r="B599" s="11" t="s">
        <v>614</v>
      </c>
      <c r="C599" s="7" t="s">
        <v>1039</v>
      </c>
      <c r="D599" s="7">
        <v>598</v>
      </c>
      <c r="E599" s="7">
        <v>598</v>
      </c>
      <c r="F599" s="7">
        <v>598</v>
      </c>
      <c r="G599" s="11" t="s">
        <v>1021</v>
      </c>
      <c r="H599" s="20">
        <v>70139</v>
      </c>
      <c r="I599" s="12">
        <v>43975</v>
      </c>
      <c r="J599" s="12">
        <v>44644</v>
      </c>
      <c r="K599" s="25">
        <v>37498</v>
      </c>
      <c r="L599" s="23">
        <v>32641</v>
      </c>
      <c r="M599" s="11"/>
      <c r="N599" s="7" t="str">
        <f ca="1">_xlfn.IFNA(VLOOKUP("2"&amp;B599,CountSpecific!E:F,2,0),"")</f>
        <v/>
      </c>
      <c r="O599" s="14" t="str">
        <f ca="1">_xlfn.IFNA(VLOOKUP("3"&amp;B599,CountSpecific!E:F,2,0),"")</f>
        <v/>
      </c>
      <c r="P599" s="7" t="str">
        <f ca="1">_xlfn.IFNA(VLOOKUP("4"&amp;B599,CountSpecific!E:F,2,0),"")</f>
        <v/>
      </c>
    </row>
    <row r="600" spans="1:16" customFormat="1" x14ac:dyDescent="0.25">
      <c r="A600" s="7">
        <v>599</v>
      </c>
      <c r="B600" s="11" t="s">
        <v>615</v>
      </c>
      <c r="C600" s="7" t="s">
        <v>1039</v>
      </c>
      <c r="D600" s="7">
        <v>599</v>
      </c>
      <c r="E600" s="7">
        <v>599</v>
      </c>
      <c r="F600" s="7">
        <v>599</v>
      </c>
      <c r="G600" s="11" t="s">
        <v>1021</v>
      </c>
      <c r="H600" s="20">
        <v>20127</v>
      </c>
      <c r="I600" s="12">
        <v>45018</v>
      </c>
      <c r="J600" s="12">
        <v>45628</v>
      </c>
      <c r="K600" s="25">
        <v>3169</v>
      </c>
      <c r="L600" s="23">
        <v>16958</v>
      </c>
      <c r="M600" s="11"/>
      <c r="N600" s="7" t="str">
        <f ca="1">_xlfn.IFNA(VLOOKUP("2"&amp;B600,CountSpecific!E:F,2,0),"")</f>
        <v/>
      </c>
      <c r="O600" s="14" t="str">
        <f ca="1">_xlfn.IFNA(VLOOKUP("3"&amp;B600,CountSpecific!E:F,2,0),"")</f>
        <v/>
      </c>
      <c r="P600" s="7" t="str">
        <f ca="1">_xlfn.IFNA(VLOOKUP("4"&amp;B600,CountSpecific!E:F,2,0),"")</f>
        <v/>
      </c>
    </row>
    <row r="601" spans="1:16" customFormat="1" x14ac:dyDescent="0.25">
      <c r="A601" s="7">
        <v>600</v>
      </c>
      <c r="B601" s="11" t="s">
        <v>616</v>
      </c>
      <c r="C601" s="7" t="s">
        <v>1039</v>
      </c>
      <c r="D601" s="7">
        <v>600</v>
      </c>
      <c r="E601" s="9">
        <v>600</v>
      </c>
      <c r="F601" s="7">
        <v>600</v>
      </c>
      <c r="G601" s="11" t="s">
        <v>1026</v>
      </c>
      <c r="H601" s="20">
        <v>1970019</v>
      </c>
      <c r="I601" s="12">
        <v>43949</v>
      </c>
      <c r="J601" s="12">
        <v>44679</v>
      </c>
      <c r="K601" s="25">
        <v>98312</v>
      </c>
      <c r="L601" s="23">
        <v>1871707</v>
      </c>
      <c r="M601" s="11"/>
      <c r="N601" s="7" t="str">
        <f ca="1">_xlfn.IFNA(VLOOKUP("2"&amp;B601,CountSpecific!E:F,2,0),"")</f>
        <v/>
      </c>
      <c r="O601" s="14" t="str">
        <f ca="1">_xlfn.IFNA(VLOOKUP("3"&amp;B601,CountSpecific!E:F,2,0),"")</f>
        <v/>
      </c>
      <c r="P601" s="7" t="str">
        <f ca="1">_xlfn.IFNA(VLOOKUP("4"&amp;B601,CountSpecific!E:F,2,0),"")</f>
        <v/>
      </c>
    </row>
    <row r="602" spans="1:16" customFormat="1" x14ac:dyDescent="0.25">
      <c r="A602" s="7">
        <v>601</v>
      </c>
      <c r="B602" s="11" t="s">
        <v>617</v>
      </c>
      <c r="C602" s="7" t="s">
        <v>1039</v>
      </c>
      <c r="D602" s="7">
        <v>601</v>
      </c>
      <c r="E602" s="7">
        <v>601</v>
      </c>
      <c r="F602" s="7">
        <v>601</v>
      </c>
      <c r="G602" s="11" t="s">
        <v>1024</v>
      </c>
      <c r="H602" s="20">
        <v>313403</v>
      </c>
      <c r="I602" s="12">
        <v>44585</v>
      </c>
      <c r="J602" s="12">
        <v>45040</v>
      </c>
      <c r="K602" s="25">
        <v>230653</v>
      </c>
      <c r="L602" s="23">
        <v>82750</v>
      </c>
      <c r="M602" s="11"/>
      <c r="N602" s="7" t="str">
        <f ca="1">_xlfn.IFNA(VLOOKUP("2"&amp;B602,CountSpecific!E:F,2,0),"")</f>
        <v/>
      </c>
      <c r="O602" s="14" t="str">
        <f ca="1">_xlfn.IFNA(VLOOKUP("3"&amp;B602,CountSpecific!E:F,2,0),"")</f>
        <v/>
      </c>
      <c r="P602" s="7" t="str">
        <f ca="1">_xlfn.IFNA(VLOOKUP("4"&amp;B602,CountSpecific!E:F,2,0),"")</f>
        <v/>
      </c>
    </row>
    <row r="603" spans="1:16" customFormat="1" x14ac:dyDescent="0.25">
      <c r="A603" s="7">
        <v>602</v>
      </c>
      <c r="B603" s="11" t="s">
        <v>618</v>
      </c>
      <c r="C603" s="7" t="s">
        <v>1039</v>
      </c>
      <c r="D603" s="7">
        <v>602</v>
      </c>
      <c r="E603" s="7">
        <v>602</v>
      </c>
      <c r="F603" s="7">
        <v>602</v>
      </c>
      <c r="G603" s="11" t="s">
        <v>1022</v>
      </c>
      <c r="H603" s="20">
        <v>28833</v>
      </c>
      <c r="I603" s="12">
        <v>44778</v>
      </c>
      <c r="J603" s="12">
        <v>45478</v>
      </c>
      <c r="K603" s="25">
        <v>12833</v>
      </c>
      <c r="L603" s="23">
        <v>16000</v>
      </c>
      <c r="M603" s="11"/>
      <c r="N603" s="7" t="str">
        <f ca="1">_xlfn.IFNA(VLOOKUP("2"&amp;B603,CountSpecific!E:F,2,0),"")</f>
        <v/>
      </c>
      <c r="O603" s="14" t="str">
        <f ca="1">_xlfn.IFNA(VLOOKUP("3"&amp;B603,CountSpecific!E:F,2,0),"")</f>
        <v/>
      </c>
      <c r="P603" s="7" t="str">
        <f ca="1">_xlfn.IFNA(VLOOKUP("4"&amp;B603,CountSpecific!E:F,2,0),"")</f>
        <v/>
      </c>
    </row>
    <row r="604" spans="1:16" customFormat="1" x14ac:dyDescent="0.25">
      <c r="A604" s="7">
        <v>603</v>
      </c>
      <c r="B604" s="11" t="s">
        <v>619</v>
      </c>
      <c r="C604" s="7" t="s">
        <v>1039</v>
      </c>
      <c r="D604" s="7">
        <v>603</v>
      </c>
      <c r="E604" s="9">
        <v>603</v>
      </c>
      <c r="F604" s="7">
        <v>603</v>
      </c>
      <c r="G604" s="11" t="s">
        <v>1020</v>
      </c>
      <c r="H604" s="20">
        <v>437637</v>
      </c>
      <c r="I604" s="12">
        <v>45443</v>
      </c>
      <c r="J604" s="12">
        <v>46142</v>
      </c>
      <c r="K604" s="25">
        <v>174621</v>
      </c>
      <c r="L604" s="23">
        <v>263016</v>
      </c>
      <c r="M604" s="11"/>
      <c r="N604" s="7" t="str">
        <f ca="1">_xlfn.IFNA(VLOOKUP("2"&amp;B604,CountSpecific!E:F,2,0),"")</f>
        <v/>
      </c>
      <c r="O604" s="14" t="str">
        <f ca="1">_xlfn.IFNA(VLOOKUP("3"&amp;B604,CountSpecific!E:F,2,0),"")</f>
        <v/>
      </c>
      <c r="P604" s="7" t="str">
        <f ca="1">_xlfn.IFNA(VLOOKUP("4"&amp;B604,CountSpecific!E:F,2,0),"")</f>
        <v/>
      </c>
    </row>
    <row r="605" spans="1:16" customFormat="1" x14ac:dyDescent="0.25">
      <c r="A605" s="7">
        <v>604</v>
      </c>
      <c r="B605" s="11" t="s">
        <v>620</v>
      </c>
      <c r="C605" s="7" t="s">
        <v>1039</v>
      </c>
      <c r="D605" s="7">
        <v>604</v>
      </c>
      <c r="E605" s="7">
        <v>604</v>
      </c>
      <c r="F605" s="7">
        <v>604</v>
      </c>
      <c r="G605" s="11" t="s">
        <v>1027</v>
      </c>
      <c r="H605" s="20">
        <v>22312</v>
      </c>
      <c r="I605" s="12">
        <v>45651</v>
      </c>
      <c r="J605" s="12">
        <v>46228</v>
      </c>
      <c r="K605" s="25">
        <v>8103</v>
      </c>
      <c r="L605" s="23">
        <v>14209</v>
      </c>
      <c r="M605" s="11"/>
      <c r="N605" s="7" t="str">
        <f ca="1">_xlfn.IFNA(VLOOKUP("2"&amp;B605,CountSpecific!E:F,2,0),"")</f>
        <v/>
      </c>
      <c r="O605" s="14" t="str">
        <f ca="1">_xlfn.IFNA(VLOOKUP("3"&amp;B605,CountSpecific!E:F,2,0),"")</f>
        <v/>
      </c>
      <c r="P605" s="7" t="str">
        <f ca="1">_xlfn.IFNA(VLOOKUP("4"&amp;B605,CountSpecific!E:F,2,0),"")</f>
        <v/>
      </c>
    </row>
    <row r="606" spans="1:16" customFormat="1" x14ac:dyDescent="0.25">
      <c r="A606" s="7">
        <v>605</v>
      </c>
      <c r="B606" s="11" t="s">
        <v>621</v>
      </c>
      <c r="C606" s="7" t="s">
        <v>1039</v>
      </c>
      <c r="D606" s="7">
        <v>605</v>
      </c>
      <c r="E606" s="7">
        <v>605</v>
      </c>
      <c r="F606" s="7">
        <v>605</v>
      </c>
      <c r="G606" s="11" t="s">
        <v>1025</v>
      </c>
      <c r="H606" s="20">
        <v>202533</v>
      </c>
      <c r="I606" s="12">
        <v>44353</v>
      </c>
      <c r="J606" s="12">
        <v>44718</v>
      </c>
      <c r="K606" s="25">
        <v>5768</v>
      </c>
      <c r="L606" s="23">
        <v>196765</v>
      </c>
      <c r="M606" s="11"/>
      <c r="N606" s="7" t="str">
        <f ca="1">_xlfn.IFNA(VLOOKUP("2"&amp;B606,CountSpecific!E:F,2,0),"")</f>
        <v/>
      </c>
      <c r="O606" s="14" t="str">
        <f ca="1">_xlfn.IFNA(VLOOKUP("3"&amp;B606,CountSpecific!E:F,2,0),"")</f>
        <v/>
      </c>
      <c r="P606" s="7" t="str">
        <f ca="1">_xlfn.IFNA(VLOOKUP("4"&amp;B606,CountSpecific!E:F,2,0),"")</f>
        <v/>
      </c>
    </row>
    <row r="607" spans="1:16" customFormat="1" x14ac:dyDescent="0.25">
      <c r="A607" s="7">
        <v>606</v>
      </c>
      <c r="B607" s="11" t="s">
        <v>622</v>
      </c>
      <c r="C607" s="7" t="s">
        <v>1039</v>
      </c>
      <c r="D607" s="7">
        <v>606</v>
      </c>
      <c r="E607" s="9">
        <v>606</v>
      </c>
      <c r="F607" s="7">
        <v>606</v>
      </c>
      <c r="G607" s="11" t="s">
        <v>1022</v>
      </c>
      <c r="H607" s="20">
        <v>36377</v>
      </c>
      <c r="I607" s="12">
        <v>44024</v>
      </c>
      <c r="J607" s="12">
        <v>44604</v>
      </c>
      <c r="K607" s="25">
        <v>3382</v>
      </c>
      <c r="L607" s="23">
        <v>32995</v>
      </c>
      <c r="M607" s="11"/>
      <c r="N607" s="7" t="str">
        <f ca="1">_xlfn.IFNA(VLOOKUP("2"&amp;B607,CountSpecific!E:F,2,0),"")</f>
        <v/>
      </c>
      <c r="O607" s="14" t="str">
        <f ca="1">_xlfn.IFNA(VLOOKUP("3"&amp;B607,CountSpecific!E:F,2,0),"")</f>
        <v/>
      </c>
      <c r="P607" s="7" t="str">
        <f ca="1">_xlfn.IFNA(VLOOKUP("4"&amp;B607,CountSpecific!E:F,2,0),"")</f>
        <v/>
      </c>
    </row>
    <row r="608" spans="1:16" customFormat="1" x14ac:dyDescent="0.25">
      <c r="A608" s="7">
        <v>607</v>
      </c>
      <c r="B608" s="11" t="s">
        <v>623</v>
      </c>
      <c r="C608" s="7" t="s">
        <v>1039</v>
      </c>
      <c r="D608" s="7">
        <v>607</v>
      </c>
      <c r="E608" s="7">
        <v>607</v>
      </c>
      <c r="F608" s="7">
        <v>607</v>
      </c>
      <c r="G608" s="11" t="s">
        <v>1027</v>
      </c>
      <c r="H608" s="20">
        <v>32905</v>
      </c>
      <c r="I608" s="12">
        <v>44942</v>
      </c>
      <c r="J608" s="12">
        <v>45428</v>
      </c>
      <c r="K608" s="25">
        <v>7455</v>
      </c>
      <c r="L608" s="23">
        <v>25450</v>
      </c>
      <c r="M608" s="11"/>
      <c r="N608" s="7" t="str">
        <f ca="1">_xlfn.IFNA(VLOOKUP("2"&amp;B608,CountSpecific!E:F,2,0),"")</f>
        <v/>
      </c>
      <c r="O608" s="14" t="str">
        <f ca="1">_xlfn.IFNA(VLOOKUP("3"&amp;B608,CountSpecific!E:F,2,0),"")</f>
        <v/>
      </c>
      <c r="P608" s="7" t="str">
        <f ca="1">_xlfn.IFNA(VLOOKUP("4"&amp;B608,CountSpecific!E:F,2,0),"")</f>
        <v/>
      </c>
    </row>
    <row r="609" spans="1:16" customFormat="1" x14ac:dyDescent="0.25">
      <c r="A609" s="7">
        <v>608</v>
      </c>
      <c r="B609" s="11" t="s">
        <v>624</v>
      </c>
      <c r="C609" s="7" t="s">
        <v>1039</v>
      </c>
      <c r="D609" s="7">
        <v>608</v>
      </c>
      <c r="E609" s="7">
        <v>608</v>
      </c>
      <c r="F609" s="7">
        <v>608</v>
      </c>
      <c r="G609" s="11" t="s">
        <v>1016</v>
      </c>
      <c r="H609" s="20">
        <v>22238</v>
      </c>
      <c r="I609" s="12">
        <v>45587</v>
      </c>
      <c r="J609" s="12">
        <v>46317</v>
      </c>
      <c r="K609" s="25">
        <v>19875</v>
      </c>
      <c r="L609" s="23">
        <v>2363</v>
      </c>
      <c r="M609" s="11"/>
      <c r="N609" s="7" t="str">
        <f ca="1">_xlfn.IFNA(VLOOKUP("2"&amp;B609,CountSpecific!E:F,2,0),"")</f>
        <v/>
      </c>
      <c r="O609" s="14" t="str">
        <f ca="1">_xlfn.IFNA(VLOOKUP("3"&amp;B609,CountSpecific!E:F,2,0),"")</f>
        <v/>
      </c>
      <c r="P609" s="7" t="str">
        <f ca="1">_xlfn.IFNA(VLOOKUP("4"&amp;B609,CountSpecific!E:F,2,0),"")</f>
        <v/>
      </c>
    </row>
    <row r="610" spans="1:16" customFormat="1" x14ac:dyDescent="0.25">
      <c r="A610" s="7">
        <v>609</v>
      </c>
      <c r="B610" s="11" t="s">
        <v>625</v>
      </c>
      <c r="C610" s="7" t="s">
        <v>1039</v>
      </c>
      <c r="D610" s="7">
        <v>609</v>
      </c>
      <c r="E610" s="9">
        <v>609</v>
      </c>
      <c r="F610" s="7">
        <v>609</v>
      </c>
      <c r="G610" s="11" t="s">
        <v>1020</v>
      </c>
      <c r="H610" s="20">
        <v>213298</v>
      </c>
      <c r="I610" s="12">
        <v>44064</v>
      </c>
      <c r="J610" s="12">
        <v>44248</v>
      </c>
      <c r="K610" s="25">
        <v>182687</v>
      </c>
      <c r="L610" s="23">
        <v>30611</v>
      </c>
      <c r="M610" s="11"/>
      <c r="N610" s="7" t="str">
        <f ca="1">_xlfn.IFNA(VLOOKUP("2"&amp;B610,CountSpecific!E:F,2,0),"")</f>
        <v/>
      </c>
      <c r="O610" s="14" t="str">
        <f ca="1">_xlfn.IFNA(VLOOKUP("3"&amp;B610,CountSpecific!E:F,2,0),"")</f>
        <v/>
      </c>
      <c r="P610" s="7" t="str">
        <f ca="1">_xlfn.IFNA(VLOOKUP("4"&amp;B610,CountSpecific!E:F,2,0),"")</f>
        <v/>
      </c>
    </row>
    <row r="611" spans="1:16" customFormat="1" x14ac:dyDescent="0.25">
      <c r="A611" s="7">
        <v>610</v>
      </c>
      <c r="B611" s="11" t="s">
        <v>626</v>
      </c>
      <c r="C611" s="7" t="s">
        <v>1039</v>
      </c>
      <c r="D611" s="7">
        <v>610</v>
      </c>
      <c r="E611" s="7">
        <v>610</v>
      </c>
      <c r="F611" s="7">
        <v>610</v>
      </c>
      <c r="G611" s="11" t="s">
        <v>1021</v>
      </c>
      <c r="H611" s="20">
        <v>75918</v>
      </c>
      <c r="I611" s="12">
        <v>44441</v>
      </c>
      <c r="J611" s="12">
        <v>44867</v>
      </c>
      <c r="K611" s="25">
        <v>3269</v>
      </c>
      <c r="L611" s="23">
        <v>72649</v>
      </c>
      <c r="M611" s="11"/>
      <c r="N611" s="7" t="str">
        <f ca="1">_xlfn.IFNA(VLOOKUP("2"&amp;B611,CountSpecific!E:F,2,0),"")</f>
        <v/>
      </c>
      <c r="O611" s="14" t="str">
        <f ca="1">_xlfn.IFNA(VLOOKUP("3"&amp;B611,CountSpecific!E:F,2,0),"")</f>
        <v/>
      </c>
      <c r="P611" s="7" t="str">
        <f ca="1">_xlfn.IFNA(VLOOKUP("4"&amp;B611,CountSpecific!E:F,2,0),"")</f>
        <v/>
      </c>
    </row>
    <row r="612" spans="1:16" customFormat="1" x14ac:dyDescent="0.25">
      <c r="A612" s="7">
        <v>611</v>
      </c>
      <c r="B612" s="11" t="s">
        <v>627</v>
      </c>
      <c r="C612" s="7" t="s">
        <v>1039</v>
      </c>
      <c r="D612" s="7">
        <v>611</v>
      </c>
      <c r="E612" s="7">
        <v>611</v>
      </c>
      <c r="F612" s="7">
        <v>611</v>
      </c>
      <c r="G612" s="11" t="s">
        <v>1027</v>
      </c>
      <c r="H612" s="20">
        <v>53886</v>
      </c>
      <c r="I612" s="12">
        <v>44264</v>
      </c>
      <c r="J612" s="12">
        <v>44813</v>
      </c>
      <c r="K612" s="25">
        <v>27746</v>
      </c>
      <c r="L612" s="23">
        <v>26140</v>
      </c>
      <c r="M612" s="11"/>
      <c r="N612" s="7" t="str">
        <f ca="1">_xlfn.IFNA(VLOOKUP("2"&amp;B612,CountSpecific!E:F,2,0),"")</f>
        <v/>
      </c>
      <c r="O612" s="14" t="str">
        <f ca="1">_xlfn.IFNA(VLOOKUP("3"&amp;B612,CountSpecific!E:F,2,0),"")</f>
        <v/>
      </c>
      <c r="P612" s="7" t="str">
        <f ca="1">_xlfn.IFNA(VLOOKUP("4"&amp;B612,CountSpecific!E:F,2,0),"")</f>
        <v/>
      </c>
    </row>
    <row r="613" spans="1:16" customFormat="1" x14ac:dyDescent="0.25">
      <c r="A613" s="7">
        <v>612</v>
      </c>
      <c r="B613" s="11" t="s">
        <v>628</v>
      </c>
      <c r="C613" s="7" t="s">
        <v>1039</v>
      </c>
      <c r="D613" s="7">
        <v>612</v>
      </c>
      <c r="E613" s="9">
        <v>612</v>
      </c>
      <c r="F613" s="7">
        <v>612</v>
      </c>
      <c r="G613" s="11" t="s">
        <v>1025</v>
      </c>
      <c r="H613" s="20">
        <v>483567</v>
      </c>
      <c r="I613" s="12">
        <v>44632</v>
      </c>
      <c r="J613" s="12">
        <v>45272</v>
      </c>
      <c r="K613" s="25">
        <v>158401</v>
      </c>
      <c r="L613" s="23">
        <v>325166</v>
      </c>
      <c r="M613" s="11"/>
      <c r="N613" s="7" t="str">
        <f ca="1">_xlfn.IFNA(VLOOKUP("2"&amp;B613,CountSpecific!E:F,2,0),"")</f>
        <v/>
      </c>
      <c r="O613" s="14" t="str">
        <f ca="1">_xlfn.IFNA(VLOOKUP("3"&amp;B613,CountSpecific!E:F,2,0),"")</f>
        <v/>
      </c>
      <c r="P613" s="7" t="str">
        <f ca="1">_xlfn.IFNA(VLOOKUP("4"&amp;B613,CountSpecific!E:F,2,0),"")</f>
        <v/>
      </c>
    </row>
    <row r="614" spans="1:16" customFormat="1" x14ac:dyDescent="0.25">
      <c r="A614" s="7">
        <v>613</v>
      </c>
      <c r="B614" s="11" t="s">
        <v>629</v>
      </c>
      <c r="C614" s="7" t="s">
        <v>1039</v>
      </c>
      <c r="D614" s="7">
        <v>613</v>
      </c>
      <c r="E614" s="7">
        <v>613</v>
      </c>
      <c r="F614" s="7">
        <v>613</v>
      </c>
      <c r="G614" s="11" t="s">
        <v>1020</v>
      </c>
      <c r="H614" s="20">
        <v>198027</v>
      </c>
      <c r="I614" s="12">
        <v>45004</v>
      </c>
      <c r="J614" s="12">
        <v>45249</v>
      </c>
      <c r="K614" s="25">
        <v>190694</v>
      </c>
      <c r="L614" s="23">
        <v>7333</v>
      </c>
      <c r="M614" s="11"/>
      <c r="N614" s="7" t="str">
        <f ca="1">_xlfn.IFNA(VLOOKUP("2"&amp;B614,CountSpecific!E:F,2,0),"")</f>
        <v/>
      </c>
      <c r="O614" s="14" t="str">
        <f ca="1">_xlfn.IFNA(VLOOKUP("3"&amp;B614,CountSpecific!E:F,2,0),"")</f>
        <v/>
      </c>
      <c r="P614" s="7" t="str">
        <f ca="1">_xlfn.IFNA(VLOOKUP("4"&amp;B614,CountSpecific!E:F,2,0),"")</f>
        <v/>
      </c>
    </row>
    <row r="615" spans="1:16" customFormat="1" x14ac:dyDescent="0.25">
      <c r="A615" s="7">
        <v>614</v>
      </c>
      <c r="B615" s="11" t="s">
        <v>630</v>
      </c>
      <c r="C615" s="7" t="s">
        <v>1039</v>
      </c>
      <c r="D615" s="7">
        <v>614</v>
      </c>
      <c r="E615" s="7">
        <v>614</v>
      </c>
      <c r="F615" s="7">
        <v>614</v>
      </c>
      <c r="G615" s="11" t="s">
        <v>1023</v>
      </c>
      <c r="H615" s="20">
        <v>1247</v>
      </c>
      <c r="I615" s="12">
        <v>44695</v>
      </c>
      <c r="J615" s="12">
        <v>44787</v>
      </c>
      <c r="K615" s="25">
        <v>763</v>
      </c>
      <c r="L615" s="23">
        <v>484</v>
      </c>
      <c r="M615" s="11"/>
      <c r="N615" s="7" t="str">
        <f ca="1">_xlfn.IFNA(VLOOKUP("2"&amp;B615,CountSpecific!E:F,2,0),"")</f>
        <v/>
      </c>
      <c r="O615" s="14" t="str">
        <f ca="1">_xlfn.IFNA(VLOOKUP("3"&amp;B615,CountSpecific!E:F,2,0),"")</f>
        <v/>
      </c>
      <c r="P615" s="7" t="str">
        <f ca="1">_xlfn.IFNA(VLOOKUP("4"&amp;B615,CountSpecific!E:F,2,0),"")</f>
        <v/>
      </c>
    </row>
    <row r="616" spans="1:16" customFormat="1" x14ac:dyDescent="0.25">
      <c r="A616" s="7">
        <v>615</v>
      </c>
      <c r="B616" s="11" t="s">
        <v>631</v>
      </c>
      <c r="C616" s="7" t="s">
        <v>1039</v>
      </c>
      <c r="D616" s="7">
        <v>615</v>
      </c>
      <c r="E616" s="9">
        <v>615</v>
      </c>
      <c r="F616" s="7">
        <v>615</v>
      </c>
      <c r="G616" s="11" t="s">
        <v>1022</v>
      </c>
      <c r="H616" s="20">
        <v>21717</v>
      </c>
      <c r="I616" s="12">
        <v>45290</v>
      </c>
      <c r="J616" s="12">
        <v>45656</v>
      </c>
      <c r="K616" s="25">
        <v>13626</v>
      </c>
      <c r="L616" s="23">
        <v>8091</v>
      </c>
      <c r="M616" s="11"/>
      <c r="N616" s="7" t="str">
        <f ca="1">_xlfn.IFNA(VLOOKUP("2"&amp;B616,CountSpecific!E:F,2,0),"")</f>
        <v/>
      </c>
      <c r="O616" s="14" t="str">
        <f ca="1">_xlfn.IFNA(VLOOKUP("3"&amp;B616,CountSpecific!E:F,2,0),"")</f>
        <v/>
      </c>
      <c r="P616" s="7" t="str">
        <f ca="1">_xlfn.IFNA(VLOOKUP("4"&amp;B616,CountSpecific!E:F,2,0),"")</f>
        <v/>
      </c>
    </row>
    <row r="617" spans="1:16" customFormat="1" x14ac:dyDescent="0.25">
      <c r="A617" s="7">
        <v>616</v>
      </c>
      <c r="B617" s="11" t="s">
        <v>632</v>
      </c>
      <c r="C617" s="7" t="s">
        <v>1039</v>
      </c>
      <c r="D617" s="7">
        <v>616</v>
      </c>
      <c r="E617" s="7">
        <v>616</v>
      </c>
      <c r="F617" s="7">
        <v>616</v>
      </c>
      <c r="G617" s="11" t="s">
        <v>1025</v>
      </c>
      <c r="H617" s="20">
        <v>418669</v>
      </c>
      <c r="I617" s="12">
        <v>44426</v>
      </c>
      <c r="J617" s="12">
        <v>45003</v>
      </c>
      <c r="K617" s="25">
        <v>263301</v>
      </c>
      <c r="L617" s="23">
        <v>155368</v>
      </c>
      <c r="M617" s="11"/>
      <c r="N617" s="7" t="str">
        <f ca="1">_xlfn.IFNA(VLOOKUP("2"&amp;B617,CountSpecific!E:F,2,0),"")</f>
        <v/>
      </c>
      <c r="O617" s="14" t="str">
        <f ca="1">_xlfn.IFNA(VLOOKUP("3"&amp;B617,CountSpecific!E:F,2,0),"")</f>
        <v/>
      </c>
      <c r="P617" s="7" t="str">
        <f ca="1">_xlfn.IFNA(VLOOKUP("4"&amp;B617,CountSpecific!E:F,2,0),"")</f>
        <v/>
      </c>
    </row>
    <row r="618" spans="1:16" customFormat="1" x14ac:dyDescent="0.25">
      <c r="A618" s="7">
        <v>617</v>
      </c>
      <c r="B618" s="11" t="s">
        <v>633</v>
      </c>
      <c r="C618" s="7" t="s">
        <v>1039</v>
      </c>
      <c r="D618" s="7">
        <v>617</v>
      </c>
      <c r="E618" s="7">
        <v>617</v>
      </c>
      <c r="F618" s="7">
        <v>617</v>
      </c>
      <c r="G618" s="11" t="s">
        <v>1016</v>
      </c>
      <c r="H618" s="20">
        <v>44840</v>
      </c>
      <c r="I618" s="12">
        <v>43994</v>
      </c>
      <c r="J618" s="12">
        <v>44389</v>
      </c>
      <c r="K618" s="25">
        <v>29124</v>
      </c>
      <c r="L618" s="23">
        <v>15716</v>
      </c>
      <c r="M618" s="11"/>
      <c r="N618" s="7" t="str">
        <f ca="1">_xlfn.IFNA(VLOOKUP("2"&amp;B618,CountSpecific!E:F,2,0),"")</f>
        <v/>
      </c>
      <c r="O618" s="14" t="str">
        <f ca="1">_xlfn.IFNA(VLOOKUP("3"&amp;B618,CountSpecific!E:F,2,0),"")</f>
        <v/>
      </c>
      <c r="P618" s="7" t="str">
        <f ca="1">_xlfn.IFNA(VLOOKUP("4"&amp;B618,CountSpecific!E:F,2,0),"")</f>
        <v/>
      </c>
    </row>
    <row r="619" spans="1:16" customFormat="1" x14ac:dyDescent="0.25">
      <c r="A619" s="7">
        <v>618</v>
      </c>
      <c r="B619" s="11" t="s">
        <v>634</v>
      </c>
      <c r="C619" s="7" t="s">
        <v>1039</v>
      </c>
      <c r="D619" s="7">
        <v>618</v>
      </c>
      <c r="E619" s="9">
        <v>618</v>
      </c>
      <c r="F619" s="7">
        <v>618</v>
      </c>
      <c r="G619" s="11" t="s">
        <v>1021</v>
      </c>
      <c r="H619" s="20">
        <v>36875</v>
      </c>
      <c r="I619" s="12">
        <v>45494</v>
      </c>
      <c r="J619" s="12">
        <v>45678</v>
      </c>
      <c r="K619" s="25">
        <v>36264</v>
      </c>
      <c r="L619" s="23">
        <v>611</v>
      </c>
      <c r="M619" s="11"/>
      <c r="N619" s="7" t="str">
        <f ca="1">_xlfn.IFNA(VLOOKUP("2"&amp;B619,CountSpecific!E:F,2,0),"")</f>
        <v/>
      </c>
      <c r="O619" s="14" t="str">
        <f ca="1">_xlfn.IFNA(VLOOKUP("3"&amp;B619,CountSpecific!E:F,2,0),"")</f>
        <v/>
      </c>
      <c r="P619" s="7" t="str">
        <f ca="1">_xlfn.IFNA(VLOOKUP("4"&amp;B619,CountSpecific!E:F,2,0),"")</f>
        <v/>
      </c>
    </row>
    <row r="620" spans="1:16" customFormat="1" x14ac:dyDescent="0.25">
      <c r="A620" s="7">
        <v>619</v>
      </c>
      <c r="B620" s="11" t="s">
        <v>635</v>
      </c>
      <c r="C620" s="7" t="s">
        <v>1039</v>
      </c>
      <c r="D620" s="7">
        <v>619</v>
      </c>
      <c r="E620" s="7">
        <v>619</v>
      </c>
      <c r="F620" s="7">
        <v>619</v>
      </c>
      <c r="G620" s="11" t="s">
        <v>1022</v>
      </c>
      <c r="H620" s="20">
        <v>21023</v>
      </c>
      <c r="I620" s="12">
        <v>44178</v>
      </c>
      <c r="J620" s="12">
        <v>44847</v>
      </c>
      <c r="K620" s="25">
        <v>1958</v>
      </c>
      <c r="L620" s="23">
        <v>19065</v>
      </c>
      <c r="M620" s="11"/>
      <c r="N620" s="7" t="str">
        <f ca="1">_xlfn.IFNA(VLOOKUP("2"&amp;B620,CountSpecific!E:F,2,0),"")</f>
        <v/>
      </c>
      <c r="O620" s="14" t="str">
        <f ca="1">_xlfn.IFNA(VLOOKUP("3"&amp;B620,CountSpecific!E:F,2,0),"")</f>
        <v/>
      </c>
      <c r="P620" s="7" t="str">
        <f ca="1">_xlfn.IFNA(VLOOKUP("4"&amp;B620,CountSpecific!E:F,2,0),"")</f>
        <v/>
      </c>
    </row>
    <row r="621" spans="1:16" customFormat="1" x14ac:dyDescent="0.25">
      <c r="A621" s="7">
        <v>620</v>
      </c>
      <c r="B621" s="11" t="s">
        <v>636</v>
      </c>
      <c r="C621" s="7" t="s">
        <v>1039</v>
      </c>
      <c r="D621" s="7">
        <v>620</v>
      </c>
      <c r="E621" s="7">
        <v>620</v>
      </c>
      <c r="F621" s="7">
        <v>620</v>
      </c>
      <c r="G621" s="11" t="s">
        <v>1027</v>
      </c>
      <c r="H621" s="20">
        <v>52356</v>
      </c>
      <c r="I621" s="12">
        <v>44123</v>
      </c>
      <c r="J621" s="12">
        <v>44670</v>
      </c>
      <c r="K621" s="25">
        <v>9980</v>
      </c>
      <c r="L621" s="23">
        <v>42376</v>
      </c>
      <c r="M621" s="11"/>
      <c r="N621" s="7" t="str">
        <f ca="1">_xlfn.IFNA(VLOOKUP("2"&amp;B621,CountSpecific!E:F,2,0),"")</f>
        <v/>
      </c>
      <c r="O621" s="14" t="str">
        <f ca="1">_xlfn.IFNA(VLOOKUP("3"&amp;B621,CountSpecific!E:F,2,0),"")</f>
        <v/>
      </c>
      <c r="P621" s="7" t="str">
        <f ca="1">_xlfn.IFNA(VLOOKUP("4"&amp;B621,CountSpecific!E:F,2,0),"")</f>
        <v/>
      </c>
    </row>
    <row r="622" spans="1:16" customFormat="1" x14ac:dyDescent="0.25">
      <c r="A622" s="7">
        <v>621</v>
      </c>
      <c r="B622" s="11" t="s">
        <v>637</v>
      </c>
      <c r="C622" s="7" t="s">
        <v>1039</v>
      </c>
      <c r="D622" s="7">
        <v>621</v>
      </c>
      <c r="E622" s="9">
        <v>621</v>
      </c>
      <c r="F622" s="7">
        <v>621</v>
      </c>
      <c r="G622" s="11" t="s">
        <v>1021</v>
      </c>
      <c r="H622" s="20">
        <v>23169</v>
      </c>
      <c r="I622" s="12">
        <v>44860</v>
      </c>
      <c r="J622" s="12">
        <v>45438</v>
      </c>
      <c r="K622" s="25">
        <v>3260</v>
      </c>
      <c r="L622" s="23">
        <v>19909</v>
      </c>
      <c r="M622" s="11"/>
      <c r="N622" s="7" t="str">
        <f ca="1">_xlfn.IFNA(VLOOKUP("2"&amp;B622,CountSpecific!E:F,2,0),"")</f>
        <v/>
      </c>
      <c r="O622" s="14" t="str">
        <f ca="1">_xlfn.IFNA(VLOOKUP("3"&amp;B622,CountSpecific!E:F,2,0),"")</f>
        <v/>
      </c>
      <c r="P622" s="7" t="str">
        <f ca="1">_xlfn.IFNA(VLOOKUP("4"&amp;B622,CountSpecific!E:F,2,0),"")</f>
        <v/>
      </c>
    </row>
    <row r="623" spans="1:16" customFormat="1" x14ac:dyDescent="0.25">
      <c r="A623" s="7">
        <v>622</v>
      </c>
      <c r="B623" s="11" t="s">
        <v>638</v>
      </c>
      <c r="C623" s="7" t="s">
        <v>1039</v>
      </c>
      <c r="D623" s="7">
        <v>622</v>
      </c>
      <c r="E623" s="7">
        <v>622</v>
      </c>
      <c r="F623" s="7">
        <v>622</v>
      </c>
      <c r="G623" s="11" t="s">
        <v>1025</v>
      </c>
      <c r="H623" s="20">
        <v>452407</v>
      </c>
      <c r="I623" s="12">
        <v>44621</v>
      </c>
      <c r="J623" s="12">
        <v>45200</v>
      </c>
      <c r="K623" s="25">
        <v>210517</v>
      </c>
      <c r="L623" s="23">
        <v>241890</v>
      </c>
      <c r="M623" s="11"/>
      <c r="N623" s="7" t="str">
        <f ca="1">_xlfn.IFNA(VLOOKUP("2"&amp;B623,CountSpecific!E:F,2,0),"")</f>
        <v/>
      </c>
      <c r="O623" s="14" t="str">
        <f ca="1">_xlfn.IFNA(VLOOKUP("3"&amp;B623,CountSpecific!E:F,2,0),"")</f>
        <v/>
      </c>
      <c r="P623" s="7" t="str">
        <f ca="1">_xlfn.IFNA(VLOOKUP("4"&amp;B623,CountSpecific!E:F,2,0),"")</f>
        <v/>
      </c>
    </row>
    <row r="624" spans="1:16" customFormat="1" x14ac:dyDescent="0.25">
      <c r="A624" s="7">
        <v>623</v>
      </c>
      <c r="B624" s="11" t="s">
        <v>639</v>
      </c>
      <c r="C624" s="7" t="s">
        <v>1039</v>
      </c>
      <c r="D624" s="7">
        <v>623</v>
      </c>
      <c r="E624" s="7">
        <v>623</v>
      </c>
      <c r="F624" s="7">
        <v>623</v>
      </c>
      <c r="G624" s="11" t="s">
        <v>1026</v>
      </c>
      <c r="H624" s="20">
        <v>4835464</v>
      </c>
      <c r="I624" s="12">
        <v>44172</v>
      </c>
      <c r="J624" s="12">
        <v>44384</v>
      </c>
      <c r="K624" s="25">
        <v>4394958</v>
      </c>
      <c r="L624" s="23">
        <v>440506</v>
      </c>
      <c r="M624" s="11"/>
      <c r="N624" s="7" t="str">
        <f ca="1">_xlfn.IFNA(VLOOKUP("2"&amp;B624,CountSpecific!E:F,2,0),"")</f>
        <v/>
      </c>
      <c r="O624" s="14" t="str">
        <f ca="1">_xlfn.IFNA(VLOOKUP("3"&amp;B624,CountSpecific!E:F,2,0),"")</f>
        <v/>
      </c>
      <c r="P624" s="7" t="str">
        <f ca="1">_xlfn.IFNA(VLOOKUP("4"&amp;B624,CountSpecific!E:F,2,0),"")</f>
        <v/>
      </c>
    </row>
    <row r="625" spans="1:16" customFormat="1" x14ac:dyDescent="0.25">
      <c r="A625" s="7">
        <v>624</v>
      </c>
      <c r="B625" s="11" t="s">
        <v>640</v>
      </c>
      <c r="C625" s="7" t="s">
        <v>1039</v>
      </c>
      <c r="D625" s="7">
        <v>624</v>
      </c>
      <c r="E625" s="9">
        <v>624</v>
      </c>
      <c r="F625" s="7">
        <v>624</v>
      </c>
      <c r="G625" s="11" t="s">
        <v>1027</v>
      </c>
      <c r="H625" s="20">
        <v>41458</v>
      </c>
      <c r="I625" s="12">
        <v>44922</v>
      </c>
      <c r="J625" s="12">
        <v>45165</v>
      </c>
      <c r="K625" s="25">
        <v>14506</v>
      </c>
      <c r="L625" s="23">
        <v>26952</v>
      </c>
      <c r="M625" s="11"/>
      <c r="N625" s="7" t="str">
        <f ca="1">_xlfn.IFNA(VLOOKUP("2"&amp;B625,CountSpecific!E:F,2,0),"")</f>
        <v/>
      </c>
      <c r="O625" s="14" t="str">
        <f ca="1">_xlfn.IFNA(VLOOKUP("3"&amp;B625,CountSpecific!E:F,2,0),"")</f>
        <v/>
      </c>
      <c r="P625" s="7" t="str">
        <f ca="1">_xlfn.IFNA(VLOOKUP("4"&amp;B625,CountSpecific!E:F,2,0),"")</f>
        <v/>
      </c>
    </row>
    <row r="626" spans="1:16" customFormat="1" x14ac:dyDescent="0.25">
      <c r="A626" s="7">
        <v>625</v>
      </c>
      <c r="B626" s="11" t="s">
        <v>641</v>
      </c>
      <c r="C626" s="7" t="s">
        <v>1039</v>
      </c>
      <c r="D626" s="7">
        <v>625</v>
      </c>
      <c r="E626" s="7">
        <v>625</v>
      </c>
      <c r="F626" s="7">
        <v>625</v>
      </c>
      <c r="G626" s="11" t="s">
        <v>1016</v>
      </c>
      <c r="H626" s="20">
        <v>20736</v>
      </c>
      <c r="I626" s="12">
        <v>43948</v>
      </c>
      <c r="J626" s="12">
        <v>44527</v>
      </c>
      <c r="K626" s="25">
        <v>6746</v>
      </c>
      <c r="L626" s="23">
        <v>13990</v>
      </c>
      <c r="M626" s="11"/>
      <c r="N626" s="7" t="str">
        <f ca="1">_xlfn.IFNA(VLOOKUP("2"&amp;B626,CountSpecific!E:F,2,0),"")</f>
        <v/>
      </c>
      <c r="O626" s="14" t="str">
        <f ca="1">_xlfn.IFNA(VLOOKUP("3"&amp;B626,CountSpecific!E:F,2,0),"")</f>
        <v/>
      </c>
      <c r="P626" s="7" t="str">
        <f ca="1">_xlfn.IFNA(VLOOKUP("4"&amp;B626,CountSpecific!E:F,2,0),"")</f>
        <v/>
      </c>
    </row>
    <row r="627" spans="1:16" customFormat="1" x14ac:dyDescent="0.25">
      <c r="A627" s="7">
        <v>626</v>
      </c>
      <c r="B627" s="11" t="s">
        <v>642</v>
      </c>
      <c r="C627" s="7" t="s">
        <v>1039</v>
      </c>
      <c r="D627" s="7">
        <v>626</v>
      </c>
      <c r="E627" s="7">
        <v>626</v>
      </c>
      <c r="F627" s="7">
        <v>626</v>
      </c>
      <c r="G627" s="11" t="s">
        <v>1026</v>
      </c>
      <c r="H627" s="20">
        <v>425217</v>
      </c>
      <c r="I627" s="12">
        <v>44838</v>
      </c>
      <c r="J627" s="12">
        <v>45386</v>
      </c>
      <c r="K627" s="25">
        <v>192988</v>
      </c>
      <c r="L627" s="23">
        <v>232229</v>
      </c>
      <c r="M627" s="11"/>
      <c r="N627" s="7" t="str">
        <f ca="1">_xlfn.IFNA(VLOOKUP("2"&amp;B627,CountSpecific!E:F,2,0),"")</f>
        <v/>
      </c>
      <c r="O627" s="14" t="str">
        <f ca="1">_xlfn.IFNA(VLOOKUP("3"&amp;B627,CountSpecific!E:F,2,0),"")</f>
        <v/>
      </c>
      <c r="P627" s="7" t="str">
        <f ca="1">_xlfn.IFNA(VLOOKUP("4"&amp;B627,CountSpecific!E:F,2,0),"")</f>
        <v/>
      </c>
    </row>
    <row r="628" spans="1:16" customFormat="1" x14ac:dyDescent="0.25">
      <c r="A628" s="7">
        <v>627</v>
      </c>
      <c r="B628" s="11" t="s">
        <v>643</v>
      </c>
      <c r="C628" s="7" t="s">
        <v>1039</v>
      </c>
      <c r="D628" s="7">
        <v>627</v>
      </c>
      <c r="E628" s="9">
        <v>627</v>
      </c>
      <c r="F628" s="7">
        <v>627</v>
      </c>
      <c r="G628" s="11" t="s">
        <v>1026</v>
      </c>
      <c r="H628" s="20">
        <v>30678</v>
      </c>
      <c r="I628" s="12">
        <v>44663</v>
      </c>
      <c r="J628" s="12">
        <v>45058</v>
      </c>
      <c r="K628" s="25">
        <v>18694</v>
      </c>
      <c r="L628" s="23">
        <v>11984</v>
      </c>
      <c r="M628" s="11"/>
      <c r="N628" s="7" t="str">
        <f ca="1">_xlfn.IFNA(VLOOKUP("2"&amp;B628,CountSpecific!E:F,2,0),"")</f>
        <v/>
      </c>
      <c r="O628" s="14" t="str">
        <f ca="1">_xlfn.IFNA(VLOOKUP("3"&amp;B628,CountSpecific!E:F,2,0),"")</f>
        <v/>
      </c>
      <c r="P628" s="7" t="str">
        <f ca="1">_xlfn.IFNA(VLOOKUP("4"&amp;B628,CountSpecific!E:F,2,0),"")</f>
        <v/>
      </c>
    </row>
    <row r="629" spans="1:16" customFormat="1" x14ac:dyDescent="0.25">
      <c r="A629" s="7">
        <v>628</v>
      </c>
      <c r="B629" s="11" t="s">
        <v>644</v>
      </c>
      <c r="C629" s="7" t="s">
        <v>1039</v>
      </c>
      <c r="D629" s="7">
        <v>628</v>
      </c>
      <c r="E629" s="7">
        <v>628</v>
      </c>
      <c r="F629" s="7">
        <v>628</v>
      </c>
      <c r="G629" s="11" t="s">
        <v>1026</v>
      </c>
      <c r="H629" s="20">
        <v>2599752</v>
      </c>
      <c r="I629" s="12">
        <v>45653</v>
      </c>
      <c r="J629" s="12">
        <v>45774</v>
      </c>
      <c r="K629" s="25">
        <v>1835721</v>
      </c>
      <c r="L629" s="23">
        <v>764031</v>
      </c>
      <c r="M629" s="11"/>
      <c r="N629" s="7" t="str">
        <f ca="1">_xlfn.IFNA(VLOOKUP("2"&amp;B629,CountSpecific!E:F,2,0),"")</f>
        <v/>
      </c>
      <c r="O629" s="14" t="str">
        <f ca="1">_xlfn.IFNA(VLOOKUP("3"&amp;B629,CountSpecific!E:F,2,0),"")</f>
        <v/>
      </c>
      <c r="P629" s="7" t="str">
        <f ca="1">_xlfn.IFNA(VLOOKUP("4"&amp;B629,CountSpecific!E:F,2,0),"")</f>
        <v/>
      </c>
    </row>
    <row r="630" spans="1:16" customFormat="1" x14ac:dyDescent="0.25">
      <c r="A630" s="7">
        <v>629</v>
      </c>
      <c r="B630" s="11" t="s">
        <v>645</v>
      </c>
      <c r="C630" s="7" t="s">
        <v>1039</v>
      </c>
      <c r="D630" s="7">
        <v>629</v>
      </c>
      <c r="E630" s="7">
        <v>629</v>
      </c>
      <c r="F630" s="7">
        <v>629</v>
      </c>
      <c r="G630" s="11" t="s">
        <v>1026</v>
      </c>
      <c r="H630" s="20">
        <v>4464264</v>
      </c>
      <c r="I630" s="12">
        <v>45177</v>
      </c>
      <c r="J630" s="12">
        <v>45207</v>
      </c>
      <c r="K630" s="25">
        <v>617990</v>
      </c>
      <c r="L630" s="23">
        <v>3846274</v>
      </c>
      <c r="M630" s="11"/>
      <c r="N630" s="7" t="str">
        <f ca="1">_xlfn.IFNA(VLOOKUP("2"&amp;B630,CountSpecific!E:F,2,0),"")</f>
        <v/>
      </c>
      <c r="O630" s="14" t="str">
        <f ca="1">_xlfn.IFNA(VLOOKUP("3"&amp;B630,CountSpecific!E:F,2,0),"")</f>
        <v/>
      </c>
      <c r="P630" s="7" t="str">
        <f ca="1">_xlfn.IFNA(VLOOKUP("4"&amp;B630,CountSpecific!E:F,2,0),"")</f>
        <v/>
      </c>
    </row>
    <row r="631" spans="1:16" customFormat="1" x14ac:dyDescent="0.25">
      <c r="A631" s="7">
        <v>630</v>
      </c>
      <c r="B631" s="11" t="s">
        <v>646</v>
      </c>
      <c r="C631" s="7" t="s">
        <v>1039</v>
      </c>
      <c r="D631" s="7">
        <v>630</v>
      </c>
      <c r="E631" s="9">
        <v>630</v>
      </c>
      <c r="F631" s="7">
        <v>630</v>
      </c>
      <c r="G631" s="11" t="s">
        <v>1021</v>
      </c>
      <c r="H631" s="20">
        <v>86335</v>
      </c>
      <c r="I631" s="12">
        <v>44708</v>
      </c>
      <c r="J631" s="12">
        <v>45318</v>
      </c>
      <c r="K631" s="25">
        <v>78110</v>
      </c>
      <c r="L631" s="23">
        <v>8225</v>
      </c>
      <c r="M631" s="11"/>
      <c r="N631" s="7" t="str">
        <f ca="1">_xlfn.IFNA(VLOOKUP("2"&amp;B631,CountSpecific!E:F,2,0),"")</f>
        <v/>
      </c>
      <c r="O631" s="14" t="str">
        <f ca="1">_xlfn.IFNA(VLOOKUP("3"&amp;B631,CountSpecific!E:F,2,0),"")</f>
        <v/>
      </c>
      <c r="P631" s="7" t="str">
        <f ca="1">_xlfn.IFNA(VLOOKUP("4"&amp;B631,CountSpecific!E:F,2,0),"")</f>
        <v/>
      </c>
    </row>
    <row r="632" spans="1:16" customFormat="1" x14ac:dyDescent="0.25">
      <c r="A632" s="7">
        <v>631</v>
      </c>
      <c r="B632" s="11" t="s">
        <v>647</v>
      </c>
      <c r="C632" s="7" t="s">
        <v>1039</v>
      </c>
      <c r="D632" s="7">
        <v>631</v>
      </c>
      <c r="E632" s="7">
        <v>631</v>
      </c>
      <c r="F632" s="7">
        <v>631</v>
      </c>
      <c r="G632" s="11" t="s">
        <v>1016</v>
      </c>
      <c r="H632" s="20">
        <v>39799</v>
      </c>
      <c r="I632" s="12">
        <v>44158</v>
      </c>
      <c r="J632" s="12">
        <v>44674</v>
      </c>
      <c r="K632" s="25">
        <v>35938</v>
      </c>
      <c r="L632" s="23">
        <v>3861</v>
      </c>
      <c r="M632" s="11"/>
      <c r="N632" s="7" t="str">
        <f ca="1">_xlfn.IFNA(VLOOKUP("2"&amp;B632,CountSpecific!E:F,2,0),"")</f>
        <v/>
      </c>
      <c r="O632" s="14" t="str">
        <f ca="1">_xlfn.IFNA(VLOOKUP("3"&amp;B632,CountSpecific!E:F,2,0),"")</f>
        <v/>
      </c>
      <c r="P632" s="7" t="str">
        <f ca="1">_xlfn.IFNA(VLOOKUP("4"&amp;B632,CountSpecific!E:F,2,0),"")</f>
        <v/>
      </c>
    </row>
    <row r="633" spans="1:16" customFormat="1" x14ac:dyDescent="0.25">
      <c r="A633" s="7">
        <v>632</v>
      </c>
      <c r="B633" s="11" t="s">
        <v>648</v>
      </c>
      <c r="C633" s="7" t="s">
        <v>1039</v>
      </c>
      <c r="D633" s="7">
        <v>632</v>
      </c>
      <c r="E633" s="7">
        <v>632</v>
      </c>
      <c r="F633" s="7">
        <v>632</v>
      </c>
      <c r="G633" s="11" t="s">
        <v>1026</v>
      </c>
      <c r="H633" s="20">
        <v>142842</v>
      </c>
      <c r="I633" s="12">
        <v>45548</v>
      </c>
      <c r="J633" s="12">
        <v>45790</v>
      </c>
      <c r="K633" s="25">
        <v>26057</v>
      </c>
      <c r="L633" s="23">
        <v>116785</v>
      </c>
      <c r="M633" s="11"/>
      <c r="N633" s="7" t="str">
        <f ca="1">_xlfn.IFNA(VLOOKUP("2"&amp;B633,CountSpecific!E:F,2,0),"")</f>
        <v/>
      </c>
      <c r="O633" s="14" t="str">
        <f ca="1">_xlfn.IFNA(VLOOKUP("3"&amp;B633,CountSpecific!E:F,2,0),"")</f>
        <v/>
      </c>
      <c r="P633" s="7" t="str">
        <f ca="1">_xlfn.IFNA(VLOOKUP("4"&amp;B633,CountSpecific!E:F,2,0),"")</f>
        <v/>
      </c>
    </row>
    <row r="634" spans="1:16" customFormat="1" x14ac:dyDescent="0.25">
      <c r="A634" s="7">
        <v>633</v>
      </c>
      <c r="B634" s="11" t="s">
        <v>649</v>
      </c>
      <c r="C634" s="7" t="s">
        <v>1039</v>
      </c>
      <c r="D634" s="7">
        <v>633</v>
      </c>
      <c r="E634" s="9">
        <v>633</v>
      </c>
      <c r="F634" s="7">
        <v>633</v>
      </c>
      <c r="G634" s="11" t="s">
        <v>1020</v>
      </c>
      <c r="H634" s="20">
        <v>62277</v>
      </c>
      <c r="I634" s="12">
        <v>43832</v>
      </c>
      <c r="J634" s="12">
        <v>43892</v>
      </c>
      <c r="K634" s="25">
        <v>42901</v>
      </c>
      <c r="L634" s="23">
        <v>19376</v>
      </c>
      <c r="M634" s="11"/>
      <c r="N634" s="7" t="str">
        <f ca="1">_xlfn.IFNA(VLOOKUP("2"&amp;B634,CountSpecific!E:F,2,0),"")</f>
        <v/>
      </c>
      <c r="O634" s="14" t="str">
        <f ca="1">_xlfn.IFNA(VLOOKUP("3"&amp;B634,CountSpecific!E:F,2,0),"")</f>
        <v/>
      </c>
      <c r="P634" s="7" t="str">
        <f ca="1">_xlfn.IFNA(VLOOKUP("4"&amp;B634,CountSpecific!E:F,2,0),"")</f>
        <v/>
      </c>
    </row>
    <row r="635" spans="1:16" customFormat="1" x14ac:dyDescent="0.25">
      <c r="A635" s="7">
        <v>634</v>
      </c>
      <c r="B635" s="11" t="s">
        <v>650</v>
      </c>
      <c r="C635" s="7" t="s">
        <v>1039</v>
      </c>
      <c r="D635" s="7">
        <v>634</v>
      </c>
      <c r="E635" s="7">
        <v>634</v>
      </c>
      <c r="F635" s="7">
        <v>634</v>
      </c>
      <c r="G635" s="11" t="s">
        <v>1020</v>
      </c>
      <c r="H635" s="20">
        <v>51794</v>
      </c>
      <c r="I635" s="12">
        <v>44966</v>
      </c>
      <c r="J635" s="12">
        <v>45635</v>
      </c>
      <c r="K635" s="25">
        <v>9095</v>
      </c>
      <c r="L635" s="23">
        <v>42699</v>
      </c>
      <c r="M635" s="11"/>
      <c r="N635" s="7" t="str">
        <f ca="1">_xlfn.IFNA(VLOOKUP("2"&amp;B635,CountSpecific!E:F,2,0),"")</f>
        <v/>
      </c>
      <c r="O635" s="14" t="str">
        <f ca="1">_xlfn.IFNA(VLOOKUP("3"&amp;B635,CountSpecific!E:F,2,0),"")</f>
        <v/>
      </c>
      <c r="P635" s="7" t="str">
        <f ca="1">_xlfn.IFNA(VLOOKUP("4"&amp;B635,CountSpecific!E:F,2,0),"")</f>
        <v/>
      </c>
    </row>
    <row r="636" spans="1:16" customFormat="1" x14ac:dyDescent="0.25">
      <c r="A636" s="7">
        <v>635</v>
      </c>
      <c r="B636" s="11" t="s">
        <v>651</v>
      </c>
      <c r="C636" s="7" t="s">
        <v>1039</v>
      </c>
      <c r="D636" s="7">
        <v>635</v>
      </c>
      <c r="E636" s="7">
        <v>635</v>
      </c>
      <c r="F636" s="7">
        <v>635</v>
      </c>
      <c r="G636" s="11" t="s">
        <v>1026</v>
      </c>
      <c r="H636" s="20">
        <v>3316493</v>
      </c>
      <c r="I636" s="12">
        <v>45711</v>
      </c>
      <c r="J636" s="12">
        <v>46379</v>
      </c>
      <c r="K636" s="25">
        <v>459052</v>
      </c>
      <c r="L636" s="23">
        <v>2857441</v>
      </c>
      <c r="M636" s="11"/>
      <c r="N636" s="7" t="str">
        <f ca="1">_xlfn.IFNA(VLOOKUP("2"&amp;B636,CountSpecific!E:F,2,0),"")</f>
        <v/>
      </c>
      <c r="O636" s="14" t="str">
        <f ca="1">_xlfn.IFNA(VLOOKUP("3"&amp;B636,CountSpecific!E:F,2,0),"")</f>
        <v/>
      </c>
      <c r="P636" s="7" t="str">
        <f ca="1">_xlfn.IFNA(VLOOKUP("4"&amp;B636,CountSpecific!E:F,2,0),"")</f>
        <v/>
      </c>
    </row>
    <row r="637" spans="1:16" customFormat="1" x14ac:dyDescent="0.25">
      <c r="A637" s="7">
        <v>636</v>
      </c>
      <c r="B637" s="11" t="s">
        <v>652</v>
      </c>
      <c r="C637" s="7" t="s">
        <v>1039</v>
      </c>
      <c r="D637" s="7">
        <v>636</v>
      </c>
      <c r="E637" s="9">
        <v>636</v>
      </c>
      <c r="F637" s="7">
        <v>636</v>
      </c>
      <c r="G637" s="11" t="s">
        <v>1026</v>
      </c>
      <c r="H637" s="20">
        <v>4271655</v>
      </c>
      <c r="I637" s="12">
        <v>44646</v>
      </c>
      <c r="J637" s="12">
        <v>44921</v>
      </c>
      <c r="K637" s="25">
        <v>1913023</v>
      </c>
      <c r="L637" s="23">
        <v>2358632</v>
      </c>
      <c r="M637" s="11"/>
      <c r="N637" s="7" t="str">
        <f ca="1">_xlfn.IFNA(VLOOKUP("2"&amp;B637,CountSpecific!E:F,2,0),"")</f>
        <v/>
      </c>
      <c r="O637" s="14" t="str">
        <f ca="1">_xlfn.IFNA(VLOOKUP("3"&amp;B637,CountSpecific!E:F,2,0),"")</f>
        <v/>
      </c>
      <c r="P637" s="7" t="str">
        <f ca="1">_xlfn.IFNA(VLOOKUP("4"&amp;B637,CountSpecific!E:F,2,0),"")</f>
        <v/>
      </c>
    </row>
    <row r="638" spans="1:16" customFormat="1" x14ac:dyDescent="0.25">
      <c r="A638" s="7">
        <v>637</v>
      </c>
      <c r="B638" s="11" t="s">
        <v>653</v>
      </c>
      <c r="C638" s="7" t="s">
        <v>1039</v>
      </c>
      <c r="D638" s="7">
        <v>637</v>
      </c>
      <c r="E638" s="7">
        <v>637</v>
      </c>
      <c r="F638" s="7">
        <v>637</v>
      </c>
      <c r="G638" s="11" t="s">
        <v>1024</v>
      </c>
      <c r="H638" s="20">
        <v>328007</v>
      </c>
      <c r="I638" s="12">
        <v>44371</v>
      </c>
      <c r="J638" s="12">
        <v>44889</v>
      </c>
      <c r="K638" s="25">
        <v>143213</v>
      </c>
      <c r="L638" s="23">
        <v>184794</v>
      </c>
      <c r="M638" s="11"/>
      <c r="N638" s="7" t="str">
        <f ca="1">_xlfn.IFNA(VLOOKUP("2"&amp;B638,CountSpecific!E:F,2,0),"")</f>
        <v/>
      </c>
      <c r="O638" s="14" t="str">
        <f ca="1">_xlfn.IFNA(VLOOKUP("3"&amp;B638,CountSpecific!E:F,2,0),"")</f>
        <v/>
      </c>
      <c r="P638" s="7" t="str">
        <f ca="1">_xlfn.IFNA(VLOOKUP("4"&amp;B638,CountSpecific!E:F,2,0),"")</f>
        <v/>
      </c>
    </row>
    <row r="639" spans="1:16" customFormat="1" x14ac:dyDescent="0.25">
      <c r="A639" s="7">
        <v>638</v>
      </c>
      <c r="B639" s="11" t="s">
        <v>654</v>
      </c>
      <c r="C639" s="7" t="s">
        <v>1039</v>
      </c>
      <c r="D639" s="7">
        <v>638</v>
      </c>
      <c r="E639" s="7">
        <v>638</v>
      </c>
      <c r="F639" s="7">
        <v>638</v>
      </c>
      <c r="G639" s="11" t="s">
        <v>1023</v>
      </c>
      <c r="H639" s="20">
        <v>155</v>
      </c>
      <c r="I639" s="12">
        <v>44669</v>
      </c>
      <c r="J639" s="12">
        <v>45278</v>
      </c>
      <c r="K639" s="25">
        <v>122</v>
      </c>
      <c r="L639" s="23">
        <v>33</v>
      </c>
      <c r="M639" s="11"/>
      <c r="N639" s="7" t="str">
        <f ca="1">_xlfn.IFNA(VLOOKUP("2"&amp;B639,CountSpecific!E:F,2,0),"")</f>
        <v/>
      </c>
      <c r="O639" s="14" t="str">
        <f ca="1">_xlfn.IFNA(VLOOKUP("3"&amp;B639,CountSpecific!E:F,2,0),"")</f>
        <v/>
      </c>
      <c r="P639" s="7" t="str">
        <f ca="1">_xlfn.IFNA(VLOOKUP("4"&amp;B639,CountSpecific!E:F,2,0),"")</f>
        <v/>
      </c>
    </row>
    <row r="640" spans="1:16" customFormat="1" x14ac:dyDescent="0.25">
      <c r="A640" s="7">
        <v>639</v>
      </c>
      <c r="B640" s="11" t="s">
        <v>655</v>
      </c>
      <c r="C640" s="7" t="s">
        <v>1039</v>
      </c>
      <c r="D640" s="7">
        <v>639</v>
      </c>
      <c r="E640" s="9">
        <v>639</v>
      </c>
      <c r="F640" s="7">
        <v>639</v>
      </c>
      <c r="G640" s="11" t="s">
        <v>1016</v>
      </c>
      <c r="H640" s="20">
        <v>15506</v>
      </c>
      <c r="I640" s="12">
        <v>44584</v>
      </c>
      <c r="J640" s="12">
        <v>44949</v>
      </c>
      <c r="K640" s="25">
        <v>6574</v>
      </c>
      <c r="L640" s="23">
        <v>8932</v>
      </c>
      <c r="M640" s="11"/>
      <c r="N640" s="7" t="str">
        <f ca="1">_xlfn.IFNA(VLOOKUP("2"&amp;B640,CountSpecific!E:F,2,0),"")</f>
        <v/>
      </c>
      <c r="O640" s="14" t="str">
        <f ca="1">_xlfn.IFNA(VLOOKUP("3"&amp;B640,CountSpecific!E:F,2,0),"")</f>
        <v/>
      </c>
      <c r="P640" s="7" t="str">
        <f ca="1">_xlfn.IFNA(VLOOKUP("4"&amp;B640,CountSpecific!E:F,2,0),"")</f>
        <v/>
      </c>
    </row>
    <row r="641" spans="1:16" customFormat="1" x14ac:dyDescent="0.25">
      <c r="A641" s="7">
        <v>640</v>
      </c>
      <c r="B641" s="11" t="s">
        <v>656</v>
      </c>
      <c r="C641" s="7" t="s">
        <v>1039</v>
      </c>
      <c r="D641" s="7">
        <v>640</v>
      </c>
      <c r="E641" s="7">
        <v>640</v>
      </c>
      <c r="F641" s="7">
        <v>640</v>
      </c>
      <c r="G641" s="11" t="s">
        <v>1022</v>
      </c>
      <c r="H641" s="20">
        <v>34608</v>
      </c>
      <c r="I641" s="12">
        <v>44810</v>
      </c>
      <c r="J641" s="12">
        <v>45022</v>
      </c>
      <c r="K641" s="25">
        <v>20421</v>
      </c>
      <c r="L641" s="23">
        <v>14187</v>
      </c>
      <c r="M641" s="11"/>
      <c r="N641" s="7" t="str">
        <f ca="1">_xlfn.IFNA(VLOOKUP("2"&amp;B641,CountSpecific!E:F,2,0),"")</f>
        <v/>
      </c>
      <c r="O641" s="14" t="str">
        <f ca="1">_xlfn.IFNA(VLOOKUP("3"&amp;B641,CountSpecific!E:F,2,0),"")</f>
        <v/>
      </c>
      <c r="P641" s="7" t="str">
        <f ca="1">_xlfn.IFNA(VLOOKUP("4"&amp;B641,CountSpecific!E:F,2,0),"")</f>
        <v/>
      </c>
    </row>
    <row r="642" spans="1:16" customFormat="1" x14ac:dyDescent="0.25">
      <c r="A642" s="7">
        <v>641</v>
      </c>
      <c r="B642" s="11" t="s">
        <v>657</v>
      </c>
      <c r="C642" s="7" t="s">
        <v>1039</v>
      </c>
      <c r="D642" s="7">
        <v>641</v>
      </c>
      <c r="E642" s="7">
        <v>641</v>
      </c>
      <c r="F642" s="7">
        <v>641</v>
      </c>
      <c r="G642" s="11" t="s">
        <v>1021</v>
      </c>
      <c r="H642" s="20">
        <v>5048</v>
      </c>
      <c r="I642" s="12">
        <v>44515</v>
      </c>
      <c r="J642" s="12">
        <v>45153</v>
      </c>
      <c r="K642" s="25">
        <v>545</v>
      </c>
      <c r="L642" s="23">
        <v>4503</v>
      </c>
      <c r="M642" s="11"/>
      <c r="N642" s="7" t="str">
        <f ca="1">_xlfn.IFNA(VLOOKUP("2"&amp;B642,CountSpecific!E:F,2,0),"")</f>
        <v/>
      </c>
      <c r="O642" s="14" t="str">
        <f ca="1">_xlfn.IFNA(VLOOKUP("3"&amp;B642,CountSpecific!E:F,2,0),"")</f>
        <v/>
      </c>
      <c r="P642" s="7" t="str">
        <f ca="1">_xlfn.IFNA(VLOOKUP("4"&amp;B642,CountSpecific!E:F,2,0),"")</f>
        <v/>
      </c>
    </row>
    <row r="643" spans="1:16" customFormat="1" x14ac:dyDescent="0.25">
      <c r="A643" s="7">
        <v>642</v>
      </c>
      <c r="B643" s="11" t="s">
        <v>658</v>
      </c>
      <c r="C643" s="7" t="s">
        <v>1039</v>
      </c>
      <c r="D643" s="7">
        <v>642</v>
      </c>
      <c r="E643" s="9">
        <v>642</v>
      </c>
      <c r="F643" s="7">
        <v>642</v>
      </c>
      <c r="G643" s="11" t="s">
        <v>1016</v>
      </c>
      <c r="H643" s="20">
        <v>17759</v>
      </c>
      <c r="I643" s="12">
        <v>44249</v>
      </c>
      <c r="J643" s="12">
        <v>44338</v>
      </c>
      <c r="K643" s="25">
        <v>7757</v>
      </c>
      <c r="L643" s="23">
        <v>10002</v>
      </c>
      <c r="M643" s="11"/>
      <c r="N643" s="7" t="str">
        <f ca="1">_xlfn.IFNA(VLOOKUP("2"&amp;B643,CountSpecific!E:F,2,0),"")</f>
        <v/>
      </c>
      <c r="O643" s="14" t="str">
        <f ca="1">_xlfn.IFNA(VLOOKUP("3"&amp;B643,CountSpecific!E:F,2,0),"")</f>
        <v/>
      </c>
      <c r="P643" s="7" t="str">
        <f ca="1">_xlfn.IFNA(VLOOKUP("4"&amp;B643,CountSpecific!E:F,2,0),"")</f>
        <v/>
      </c>
    </row>
    <row r="644" spans="1:16" customFormat="1" x14ac:dyDescent="0.25">
      <c r="A644" s="7">
        <v>643</v>
      </c>
      <c r="B644" s="11" t="s">
        <v>659</v>
      </c>
      <c r="C644" s="7" t="s">
        <v>1039</v>
      </c>
      <c r="D644" s="7">
        <v>643</v>
      </c>
      <c r="E644" s="7">
        <v>643</v>
      </c>
      <c r="F644" s="7">
        <v>643</v>
      </c>
      <c r="G644" s="11" t="s">
        <v>1022</v>
      </c>
      <c r="H644" s="20">
        <v>25939</v>
      </c>
      <c r="I644" s="12">
        <v>44149</v>
      </c>
      <c r="J644" s="12">
        <v>44544</v>
      </c>
      <c r="K644" s="25">
        <v>3227</v>
      </c>
      <c r="L644" s="23">
        <v>22712</v>
      </c>
      <c r="M644" s="11"/>
      <c r="N644" s="7" t="str">
        <f ca="1">_xlfn.IFNA(VLOOKUP("2"&amp;B644,CountSpecific!E:F,2,0),"")</f>
        <v/>
      </c>
      <c r="O644" s="14" t="str">
        <f ca="1">_xlfn.IFNA(VLOOKUP("3"&amp;B644,CountSpecific!E:F,2,0),"")</f>
        <v/>
      </c>
      <c r="P644" s="7" t="str">
        <f ca="1">_xlfn.IFNA(VLOOKUP("4"&amp;B644,CountSpecific!E:F,2,0),"")</f>
        <v/>
      </c>
    </row>
    <row r="645" spans="1:16" customFormat="1" x14ac:dyDescent="0.25">
      <c r="A645" s="7">
        <v>644</v>
      </c>
      <c r="B645" s="11" t="s">
        <v>660</v>
      </c>
      <c r="C645" s="7" t="s">
        <v>1039</v>
      </c>
      <c r="D645" s="7">
        <v>644</v>
      </c>
      <c r="E645" s="7">
        <v>644</v>
      </c>
      <c r="F645" s="7">
        <v>644</v>
      </c>
      <c r="G645" s="11" t="s">
        <v>1023</v>
      </c>
      <c r="H645" s="20">
        <v>1383</v>
      </c>
      <c r="I645" s="12">
        <v>44725</v>
      </c>
      <c r="J645" s="12">
        <v>45364</v>
      </c>
      <c r="K645" s="25">
        <v>901</v>
      </c>
      <c r="L645" s="23">
        <v>482</v>
      </c>
      <c r="M645" s="11"/>
      <c r="N645" s="7" t="str">
        <f ca="1">_xlfn.IFNA(VLOOKUP("2"&amp;B645,CountSpecific!E:F,2,0),"")</f>
        <v/>
      </c>
      <c r="O645" s="14" t="str">
        <f ca="1">_xlfn.IFNA(VLOOKUP("3"&amp;B645,CountSpecific!E:F,2,0),"")</f>
        <v/>
      </c>
      <c r="P645" s="7" t="str">
        <f ca="1">_xlfn.IFNA(VLOOKUP("4"&amp;B645,CountSpecific!E:F,2,0),"")</f>
        <v/>
      </c>
    </row>
    <row r="646" spans="1:16" customFormat="1" x14ac:dyDescent="0.25">
      <c r="A646" s="7">
        <v>645</v>
      </c>
      <c r="B646" s="11" t="s">
        <v>661</v>
      </c>
      <c r="C646" s="7" t="s">
        <v>1039</v>
      </c>
      <c r="D646" s="7">
        <v>645</v>
      </c>
      <c r="E646" s="9">
        <v>645</v>
      </c>
      <c r="F646" s="7">
        <v>645</v>
      </c>
      <c r="G646" s="11" t="s">
        <v>1023</v>
      </c>
      <c r="H646" s="20">
        <v>381</v>
      </c>
      <c r="I646" s="12">
        <v>44467</v>
      </c>
      <c r="J646" s="12">
        <v>44801</v>
      </c>
      <c r="K646" s="25">
        <v>54</v>
      </c>
      <c r="L646" s="23">
        <v>327</v>
      </c>
      <c r="M646" s="11"/>
      <c r="N646" s="7" t="str">
        <f ca="1">_xlfn.IFNA(VLOOKUP("2"&amp;B646,CountSpecific!E:F,2,0),"")</f>
        <v/>
      </c>
      <c r="O646" s="14" t="str">
        <f ca="1">_xlfn.IFNA(VLOOKUP("3"&amp;B646,CountSpecific!E:F,2,0),"")</f>
        <v/>
      </c>
      <c r="P646" s="7" t="str">
        <f ca="1">_xlfn.IFNA(VLOOKUP("4"&amp;B646,CountSpecific!E:F,2,0),"")</f>
        <v/>
      </c>
    </row>
    <row r="647" spans="1:16" customFormat="1" x14ac:dyDescent="0.25">
      <c r="A647" s="7">
        <v>646</v>
      </c>
      <c r="B647" s="11" t="s">
        <v>662</v>
      </c>
      <c r="C647" s="7" t="s">
        <v>1039</v>
      </c>
      <c r="D647" s="7">
        <v>646</v>
      </c>
      <c r="E647" s="7">
        <v>646</v>
      </c>
      <c r="F647" s="7">
        <v>646</v>
      </c>
      <c r="G647" s="11" t="s">
        <v>1016</v>
      </c>
      <c r="H647" s="20">
        <v>15615</v>
      </c>
      <c r="I647" s="12">
        <v>44060</v>
      </c>
      <c r="J647" s="12">
        <v>44729</v>
      </c>
      <c r="K647" s="25">
        <v>14556</v>
      </c>
      <c r="L647" s="23">
        <v>1059</v>
      </c>
      <c r="M647" s="11"/>
      <c r="N647" s="7" t="str">
        <f ca="1">_xlfn.IFNA(VLOOKUP("2"&amp;B647,CountSpecific!E:F,2,0),"")</f>
        <v/>
      </c>
      <c r="O647" s="14" t="str">
        <f ca="1">_xlfn.IFNA(VLOOKUP("3"&amp;B647,CountSpecific!E:F,2,0),"")</f>
        <v/>
      </c>
      <c r="P647" s="7" t="str">
        <f ca="1">_xlfn.IFNA(VLOOKUP("4"&amp;B647,CountSpecific!E:F,2,0),"")</f>
        <v/>
      </c>
    </row>
    <row r="648" spans="1:16" customFormat="1" x14ac:dyDescent="0.25">
      <c r="A648" s="7">
        <v>647</v>
      </c>
      <c r="B648" s="11" t="s">
        <v>663</v>
      </c>
      <c r="C648" s="7" t="s">
        <v>1039</v>
      </c>
      <c r="D648" s="7">
        <v>647</v>
      </c>
      <c r="E648" s="7">
        <v>647</v>
      </c>
      <c r="F648" s="7">
        <v>647</v>
      </c>
      <c r="G648" s="11" t="s">
        <v>1022</v>
      </c>
      <c r="H648" s="20">
        <v>20716</v>
      </c>
      <c r="I648" s="12">
        <v>44387</v>
      </c>
      <c r="J648" s="12">
        <v>45026</v>
      </c>
      <c r="K648" s="25">
        <v>9841</v>
      </c>
      <c r="L648" s="23">
        <v>10875</v>
      </c>
      <c r="M648" s="11"/>
      <c r="N648" s="7" t="str">
        <f ca="1">_xlfn.IFNA(VLOOKUP("2"&amp;B648,CountSpecific!E:F,2,0),"")</f>
        <v/>
      </c>
      <c r="O648" s="14" t="str">
        <f ca="1">_xlfn.IFNA(VLOOKUP("3"&amp;B648,CountSpecific!E:F,2,0),"")</f>
        <v/>
      </c>
      <c r="P648" s="7" t="str">
        <f ca="1">_xlfn.IFNA(VLOOKUP("4"&amp;B648,CountSpecific!E:F,2,0),"")</f>
        <v/>
      </c>
    </row>
    <row r="649" spans="1:16" customFormat="1" x14ac:dyDescent="0.25">
      <c r="A649" s="7">
        <v>648</v>
      </c>
      <c r="B649" s="11" t="s">
        <v>664</v>
      </c>
      <c r="C649" s="7" t="s">
        <v>1039</v>
      </c>
      <c r="D649" s="7">
        <v>648</v>
      </c>
      <c r="E649" s="9">
        <v>648</v>
      </c>
      <c r="F649" s="7">
        <v>648</v>
      </c>
      <c r="G649" s="11" t="s">
        <v>1016</v>
      </c>
      <c r="H649" s="20">
        <v>29683</v>
      </c>
      <c r="I649" s="12">
        <v>45231</v>
      </c>
      <c r="J649" s="12">
        <v>45566</v>
      </c>
      <c r="K649" s="25">
        <v>3507</v>
      </c>
      <c r="L649" s="23">
        <v>26176</v>
      </c>
      <c r="M649" s="11"/>
      <c r="N649" s="7" t="str">
        <f ca="1">_xlfn.IFNA(VLOOKUP("2"&amp;B649,CountSpecific!E:F,2,0),"")</f>
        <v/>
      </c>
      <c r="O649" s="14" t="str">
        <f ca="1">_xlfn.IFNA(VLOOKUP("3"&amp;B649,CountSpecific!E:F,2,0),"")</f>
        <v/>
      </c>
      <c r="P649" s="7" t="str">
        <f ca="1">_xlfn.IFNA(VLOOKUP("4"&amp;B649,CountSpecific!E:F,2,0),"")</f>
        <v/>
      </c>
    </row>
    <row r="650" spans="1:16" customFormat="1" x14ac:dyDescent="0.25">
      <c r="A650" s="7">
        <v>649</v>
      </c>
      <c r="B650" s="11" t="s">
        <v>665</v>
      </c>
      <c r="C650" s="7" t="s">
        <v>1039</v>
      </c>
      <c r="D650" s="7">
        <v>649</v>
      </c>
      <c r="E650" s="7">
        <v>649</v>
      </c>
      <c r="F650" s="7">
        <v>649</v>
      </c>
      <c r="G650" s="11" t="s">
        <v>1026</v>
      </c>
      <c r="H650" s="20">
        <v>3100702</v>
      </c>
      <c r="I650" s="12">
        <v>44185</v>
      </c>
      <c r="J650" s="12">
        <v>44762</v>
      </c>
      <c r="K650" s="25">
        <v>259551</v>
      </c>
      <c r="L650" s="23">
        <v>2841151</v>
      </c>
      <c r="M650" s="11"/>
      <c r="N650" s="7" t="str">
        <f ca="1">_xlfn.IFNA(VLOOKUP("2"&amp;B650,CountSpecific!E:F,2,0),"")</f>
        <v/>
      </c>
      <c r="O650" s="14" t="str">
        <f ca="1">_xlfn.IFNA(VLOOKUP("3"&amp;B650,CountSpecific!E:F,2,0),"")</f>
        <v/>
      </c>
      <c r="P650" s="7" t="str">
        <f ca="1">_xlfn.IFNA(VLOOKUP("4"&amp;B650,CountSpecific!E:F,2,0),"")</f>
        <v/>
      </c>
    </row>
    <row r="651" spans="1:16" customFormat="1" x14ac:dyDescent="0.25">
      <c r="A651" s="7">
        <v>650</v>
      </c>
      <c r="B651" s="11" t="s">
        <v>666</v>
      </c>
      <c r="C651" s="7" t="s">
        <v>1039</v>
      </c>
      <c r="D651" s="7">
        <v>650</v>
      </c>
      <c r="E651" s="7">
        <v>650</v>
      </c>
      <c r="F651" s="7">
        <v>650</v>
      </c>
      <c r="G651" s="11" t="s">
        <v>1020</v>
      </c>
      <c r="H651" s="20">
        <v>208876</v>
      </c>
      <c r="I651" s="12">
        <v>43848</v>
      </c>
      <c r="J651" s="12">
        <v>43908</v>
      </c>
      <c r="K651" s="25">
        <v>29311</v>
      </c>
      <c r="L651" s="23">
        <v>179565</v>
      </c>
      <c r="M651" s="11"/>
      <c r="N651" s="7" t="str">
        <f ca="1">_xlfn.IFNA(VLOOKUP("2"&amp;B651,CountSpecific!E:F,2,0),"")</f>
        <v/>
      </c>
      <c r="O651" s="14" t="str">
        <f ca="1">_xlfn.IFNA(VLOOKUP("3"&amp;B651,CountSpecific!E:F,2,0),"")</f>
        <v/>
      </c>
      <c r="P651" s="7" t="str">
        <f ca="1">_xlfn.IFNA(VLOOKUP("4"&amp;B651,CountSpecific!E:F,2,0),"")</f>
        <v/>
      </c>
    </row>
    <row r="652" spans="1:16" customFormat="1" x14ac:dyDescent="0.25">
      <c r="A652" s="7">
        <v>651</v>
      </c>
      <c r="B652" s="11" t="s">
        <v>667</v>
      </c>
      <c r="C652" s="7" t="s">
        <v>1039</v>
      </c>
      <c r="D652" s="7">
        <v>651</v>
      </c>
      <c r="E652" s="9">
        <v>651</v>
      </c>
      <c r="F652" s="7">
        <v>651</v>
      </c>
      <c r="G652" s="11" t="s">
        <v>1020</v>
      </c>
      <c r="H652" s="20">
        <v>155708</v>
      </c>
      <c r="I652" s="12">
        <v>44719</v>
      </c>
      <c r="J652" s="12">
        <v>45419</v>
      </c>
      <c r="K652" s="25">
        <v>11819</v>
      </c>
      <c r="L652" s="23">
        <v>143889</v>
      </c>
      <c r="M652" s="11"/>
      <c r="N652" s="7" t="str">
        <f ca="1">_xlfn.IFNA(VLOOKUP("2"&amp;B652,CountSpecific!E:F,2,0),"")</f>
        <v/>
      </c>
      <c r="O652" s="14" t="str">
        <f ca="1">_xlfn.IFNA(VLOOKUP("3"&amp;B652,CountSpecific!E:F,2,0),"")</f>
        <v/>
      </c>
      <c r="P652" s="7" t="str">
        <f ca="1">_xlfn.IFNA(VLOOKUP("4"&amp;B652,CountSpecific!E:F,2,0),"")</f>
        <v/>
      </c>
    </row>
    <row r="653" spans="1:16" customFormat="1" x14ac:dyDescent="0.25">
      <c r="A653" s="7">
        <v>652</v>
      </c>
      <c r="B653" s="11" t="s">
        <v>668</v>
      </c>
      <c r="C653" s="7" t="s">
        <v>1039</v>
      </c>
      <c r="D653" s="7">
        <v>652</v>
      </c>
      <c r="E653" s="7">
        <v>652</v>
      </c>
      <c r="F653" s="7">
        <v>652</v>
      </c>
      <c r="G653" s="11" t="s">
        <v>1025</v>
      </c>
      <c r="H653" s="20">
        <v>386000</v>
      </c>
      <c r="I653" s="12">
        <v>44571</v>
      </c>
      <c r="J653" s="12">
        <v>45087</v>
      </c>
      <c r="K653" s="25">
        <v>204437</v>
      </c>
      <c r="L653" s="23">
        <v>181563</v>
      </c>
      <c r="M653" s="11"/>
      <c r="N653" s="7" t="str">
        <f ca="1">_xlfn.IFNA(VLOOKUP("2"&amp;B653,CountSpecific!E:F,2,0),"")</f>
        <v/>
      </c>
      <c r="O653" s="14" t="str">
        <f ca="1">_xlfn.IFNA(VLOOKUP("3"&amp;B653,CountSpecific!E:F,2,0),"")</f>
        <v/>
      </c>
      <c r="P653" s="7" t="str">
        <f ca="1">_xlfn.IFNA(VLOOKUP("4"&amp;B653,CountSpecific!E:F,2,0),"")</f>
        <v/>
      </c>
    </row>
    <row r="654" spans="1:16" customFormat="1" x14ac:dyDescent="0.25">
      <c r="A654" s="7">
        <v>653</v>
      </c>
      <c r="B654" s="11" t="s">
        <v>669</v>
      </c>
      <c r="C654" s="7" t="s">
        <v>1039</v>
      </c>
      <c r="D654" s="7">
        <v>653</v>
      </c>
      <c r="E654" s="7">
        <v>653</v>
      </c>
      <c r="F654" s="7">
        <v>653</v>
      </c>
      <c r="G654" s="11" t="s">
        <v>1020</v>
      </c>
      <c r="H654" s="20">
        <v>460094</v>
      </c>
      <c r="I654" s="12">
        <v>45677</v>
      </c>
      <c r="J654" s="12">
        <v>45981</v>
      </c>
      <c r="K654" s="25">
        <v>328031</v>
      </c>
      <c r="L654" s="23">
        <v>132063</v>
      </c>
      <c r="M654" s="11"/>
      <c r="N654" s="7" t="str">
        <f ca="1">_xlfn.IFNA(VLOOKUP("2"&amp;B654,CountSpecific!E:F,2,0),"")</f>
        <v/>
      </c>
      <c r="O654" s="14" t="str">
        <f ca="1">_xlfn.IFNA(VLOOKUP("3"&amp;B654,CountSpecific!E:F,2,0),"")</f>
        <v/>
      </c>
      <c r="P654" s="7" t="str">
        <f ca="1">_xlfn.IFNA(VLOOKUP("4"&amp;B654,CountSpecific!E:F,2,0),"")</f>
        <v/>
      </c>
    </row>
    <row r="655" spans="1:16" customFormat="1" x14ac:dyDescent="0.25">
      <c r="A655" s="7">
        <v>654</v>
      </c>
      <c r="B655" s="11" t="s">
        <v>670</v>
      </c>
      <c r="C655" s="7" t="s">
        <v>1039</v>
      </c>
      <c r="D655" s="7">
        <v>654</v>
      </c>
      <c r="E655" s="9">
        <v>654</v>
      </c>
      <c r="F655" s="7">
        <v>654</v>
      </c>
      <c r="G655" s="11" t="s">
        <v>1020</v>
      </c>
      <c r="H655" s="20">
        <v>307053</v>
      </c>
      <c r="I655" s="12">
        <v>43989</v>
      </c>
      <c r="J655" s="12">
        <v>44537</v>
      </c>
      <c r="K655" s="25">
        <v>57110</v>
      </c>
      <c r="L655" s="23">
        <v>249943</v>
      </c>
      <c r="M655" s="11"/>
      <c r="N655" s="7" t="str">
        <f ca="1">_xlfn.IFNA(VLOOKUP("2"&amp;B655,CountSpecific!E:F,2,0),"")</f>
        <v/>
      </c>
      <c r="O655" s="14" t="str">
        <f ca="1">_xlfn.IFNA(VLOOKUP("3"&amp;B655,CountSpecific!E:F,2,0),"")</f>
        <v/>
      </c>
      <c r="P655" s="7" t="str">
        <f ca="1">_xlfn.IFNA(VLOOKUP("4"&amp;B655,CountSpecific!E:F,2,0),"")</f>
        <v/>
      </c>
    </row>
    <row r="656" spans="1:16" customFormat="1" x14ac:dyDescent="0.25">
      <c r="A656" s="7">
        <v>655</v>
      </c>
      <c r="B656" s="11" t="s">
        <v>671</v>
      </c>
      <c r="C656" s="7" t="s">
        <v>1039</v>
      </c>
      <c r="D656" s="7">
        <v>655</v>
      </c>
      <c r="E656" s="7">
        <v>655</v>
      </c>
      <c r="F656" s="7">
        <v>655</v>
      </c>
      <c r="G656" s="11" t="s">
        <v>1016</v>
      </c>
      <c r="H656" s="20">
        <v>12424</v>
      </c>
      <c r="I656" s="12">
        <v>45280</v>
      </c>
      <c r="J656" s="12">
        <v>45616</v>
      </c>
      <c r="K656" s="25">
        <v>3508</v>
      </c>
      <c r="L656" s="23">
        <v>8916</v>
      </c>
      <c r="M656" s="11"/>
      <c r="N656" s="7" t="str">
        <f ca="1">_xlfn.IFNA(VLOOKUP("2"&amp;B656,CountSpecific!E:F,2,0),"")</f>
        <v/>
      </c>
      <c r="O656" s="14" t="str">
        <f ca="1">_xlfn.IFNA(VLOOKUP("3"&amp;B656,CountSpecific!E:F,2,0),"")</f>
        <v/>
      </c>
      <c r="P656" s="7" t="str">
        <f ca="1">_xlfn.IFNA(VLOOKUP("4"&amp;B656,CountSpecific!E:F,2,0),"")</f>
        <v/>
      </c>
    </row>
    <row r="657" spans="1:16" customFormat="1" x14ac:dyDescent="0.25">
      <c r="A657" s="7">
        <v>656</v>
      </c>
      <c r="B657" s="11" t="s">
        <v>672</v>
      </c>
      <c r="C657" s="7" t="s">
        <v>1039</v>
      </c>
      <c r="D657" s="7">
        <v>656</v>
      </c>
      <c r="E657" s="7">
        <v>656</v>
      </c>
      <c r="F657" s="7">
        <v>656</v>
      </c>
      <c r="G657" s="11" t="s">
        <v>1021</v>
      </c>
      <c r="H657" s="20">
        <v>52822</v>
      </c>
      <c r="I657" s="12">
        <v>45420</v>
      </c>
      <c r="J657" s="12">
        <v>45908</v>
      </c>
      <c r="K657" s="25">
        <v>30414</v>
      </c>
      <c r="L657" s="23">
        <v>22408</v>
      </c>
      <c r="M657" s="11"/>
      <c r="N657" s="7" t="str">
        <f ca="1">_xlfn.IFNA(VLOOKUP("2"&amp;B657,CountSpecific!E:F,2,0),"")</f>
        <v/>
      </c>
      <c r="O657" s="14" t="str">
        <f ca="1">_xlfn.IFNA(VLOOKUP("3"&amp;B657,CountSpecific!E:F,2,0),"")</f>
        <v/>
      </c>
      <c r="P657" s="7" t="str">
        <f ca="1">_xlfn.IFNA(VLOOKUP("4"&amp;B657,CountSpecific!E:F,2,0),"")</f>
        <v/>
      </c>
    </row>
    <row r="658" spans="1:16" customFormat="1" x14ac:dyDescent="0.25">
      <c r="A658" s="7">
        <v>657</v>
      </c>
      <c r="B658" s="11" t="s">
        <v>673</v>
      </c>
      <c r="C658" s="7" t="s">
        <v>1039</v>
      </c>
      <c r="D658" s="7">
        <v>657</v>
      </c>
      <c r="E658" s="9">
        <v>657</v>
      </c>
      <c r="F658" s="7">
        <v>657</v>
      </c>
      <c r="G658" s="11" t="s">
        <v>1026</v>
      </c>
      <c r="H658" s="20">
        <v>2402785</v>
      </c>
      <c r="I658" s="12">
        <v>44370</v>
      </c>
      <c r="J658" s="12">
        <v>44980</v>
      </c>
      <c r="K658" s="25">
        <v>296871</v>
      </c>
      <c r="L658" s="23">
        <v>2105914</v>
      </c>
      <c r="M658" s="11"/>
      <c r="N658" s="7" t="str">
        <f ca="1">_xlfn.IFNA(VLOOKUP("2"&amp;B658,CountSpecific!E:F,2,0),"")</f>
        <v/>
      </c>
      <c r="O658" s="14" t="str">
        <f ca="1">_xlfn.IFNA(VLOOKUP("3"&amp;B658,CountSpecific!E:F,2,0),"")</f>
        <v/>
      </c>
      <c r="P658" s="7" t="str">
        <f ca="1">_xlfn.IFNA(VLOOKUP("4"&amp;B658,CountSpecific!E:F,2,0),"")</f>
        <v/>
      </c>
    </row>
    <row r="659" spans="1:16" customFormat="1" x14ac:dyDescent="0.25">
      <c r="A659" s="7">
        <v>658</v>
      </c>
      <c r="B659" s="11" t="s">
        <v>674</v>
      </c>
      <c r="C659" s="7" t="s">
        <v>1039</v>
      </c>
      <c r="D659" s="7">
        <v>658</v>
      </c>
      <c r="E659" s="7">
        <v>658</v>
      </c>
      <c r="F659" s="7">
        <v>658</v>
      </c>
      <c r="G659" s="11" t="s">
        <v>1025</v>
      </c>
      <c r="H659" s="20">
        <v>98267</v>
      </c>
      <c r="I659" s="12">
        <v>44022</v>
      </c>
      <c r="J659" s="12">
        <v>44540</v>
      </c>
      <c r="K659" s="25">
        <v>30045</v>
      </c>
      <c r="L659" s="23">
        <v>68222</v>
      </c>
      <c r="M659" s="11"/>
      <c r="N659" s="7" t="str">
        <f ca="1">_xlfn.IFNA(VLOOKUP("2"&amp;B659,CountSpecific!E:F,2,0),"")</f>
        <v/>
      </c>
      <c r="O659" s="14" t="str">
        <f ca="1">_xlfn.IFNA(VLOOKUP("3"&amp;B659,CountSpecific!E:F,2,0),"")</f>
        <v/>
      </c>
      <c r="P659" s="7" t="str">
        <f ca="1">_xlfn.IFNA(VLOOKUP("4"&amp;B659,CountSpecific!E:F,2,0),"")</f>
        <v/>
      </c>
    </row>
    <row r="660" spans="1:16" customFormat="1" x14ac:dyDescent="0.25">
      <c r="A660" s="7">
        <v>659</v>
      </c>
      <c r="B660" s="11" t="s">
        <v>675</v>
      </c>
      <c r="C660" s="7" t="s">
        <v>1039</v>
      </c>
      <c r="D660" s="7">
        <v>659</v>
      </c>
      <c r="E660" s="7">
        <v>659</v>
      </c>
      <c r="F660" s="7">
        <v>659</v>
      </c>
      <c r="G660" s="11" t="s">
        <v>1020</v>
      </c>
      <c r="H660" s="20">
        <v>294774</v>
      </c>
      <c r="I660" s="12">
        <v>45054</v>
      </c>
      <c r="J660" s="12">
        <v>45207</v>
      </c>
      <c r="K660" s="25">
        <v>283533</v>
      </c>
      <c r="L660" s="23">
        <v>11241</v>
      </c>
      <c r="M660" s="11"/>
      <c r="N660" s="7" t="str">
        <f ca="1">_xlfn.IFNA(VLOOKUP("2"&amp;B660,CountSpecific!E:F,2,0),"")</f>
        <v/>
      </c>
      <c r="O660" s="14" t="str">
        <f ca="1">_xlfn.IFNA(VLOOKUP("3"&amp;B660,CountSpecific!E:F,2,0),"")</f>
        <v/>
      </c>
      <c r="P660" s="7" t="str">
        <f ca="1">_xlfn.IFNA(VLOOKUP("4"&amp;B660,CountSpecific!E:F,2,0),"")</f>
        <v/>
      </c>
    </row>
    <row r="661" spans="1:16" customFormat="1" x14ac:dyDescent="0.25">
      <c r="A661" s="7">
        <v>660</v>
      </c>
      <c r="B661" s="11" t="s">
        <v>676</v>
      </c>
      <c r="C661" s="7" t="s">
        <v>1039</v>
      </c>
      <c r="D661" s="7">
        <v>660</v>
      </c>
      <c r="E661" s="9">
        <v>660</v>
      </c>
      <c r="F661" s="7">
        <v>660</v>
      </c>
      <c r="G661" s="11" t="s">
        <v>1024</v>
      </c>
      <c r="H661" s="20">
        <v>579468</v>
      </c>
      <c r="I661" s="12">
        <v>45016</v>
      </c>
      <c r="J661" s="12">
        <v>45747</v>
      </c>
      <c r="K661" s="25">
        <v>221309</v>
      </c>
      <c r="L661" s="23">
        <v>358159</v>
      </c>
      <c r="M661" s="11"/>
      <c r="N661" s="7" t="str">
        <f ca="1">_xlfn.IFNA(VLOOKUP("2"&amp;B661,CountSpecific!E:F,2,0),"")</f>
        <v/>
      </c>
      <c r="O661" s="14" t="str">
        <f ca="1">_xlfn.IFNA(VLOOKUP("3"&amp;B661,CountSpecific!E:F,2,0),"")</f>
        <v/>
      </c>
      <c r="P661" s="7" t="str">
        <f ca="1">_xlfn.IFNA(VLOOKUP("4"&amp;B661,CountSpecific!E:F,2,0),"")</f>
        <v/>
      </c>
    </row>
    <row r="662" spans="1:16" customFormat="1" x14ac:dyDescent="0.25">
      <c r="A662" s="7">
        <v>661</v>
      </c>
      <c r="B662" s="11" t="s">
        <v>677</v>
      </c>
      <c r="C662" s="7" t="s">
        <v>1039</v>
      </c>
      <c r="D662" s="7">
        <v>661</v>
      </c>
      <c r="E662" s="7">
        <v>661</v>
      </c>
      <c r="F662" s="7">
        <v>661</v>
      </c>
      <c r="G662" s="11" t="s">
        <v>1027</v>
      </c>
      <c r="H662" s="20">
        <v>39087</v>
      </c>
      <c r="I662" s="12">
        <v>43875</v>
      </c>
      <c r="J662" s="12">
        <v>44057</v>
      </c>
      <c r="K662" s="25">
        <v>13594</v>
      </c>
      <c r="L662" s="23">
        <v>25493</v>
      </c>
      <c r="M662" s="11"/>
      <c r="N662" s="7" t="str">
        <f ca="1">_xlfn.IFNA(VLOOKUP("2"&amp;B662,CountSpecific!E:F,2,0),"")</f>
        <v/>
      </c>
      <c r="O662" s="14" t="str">
        <f ca="1">_xlfn.IFNA(VLOOKUP("3"&amp;B662,CountSpecific!E:F,2,0),"")</f>
        <v/>
      </c>
      <c r="P662" s="7" t="str">
        <f ca="1">_xlfn.IFNA(VLOOKUP("4"&amp;B662,CountSpecific!E:F,2,0),"")</f>
        <v/>
      </c>
    </row>
    <row r="663" spans="1:16" customFormat="1" x14ac:dyDescent="0.25">
      <c r="A663" s="7">
        <v>662</v>
      </c>
      <c r="B663" s="11" t="s">
        <v>678</v>
      </c>
      <c r="C663" s="7" t="s">
        <v>1039</v>
      </c>
      <c r="D663" s="7">
        <v>662</v>
      </c>
      <c r="E663" s="7">
        <v>662</v>
      </c>
      <c r="F663" s="7">
        <v>662</v>
      </c>
      <c r="G663" s="11" t="s">
        <v>1016</v>
      </c>
      <c r="H663" s="20">
        <v>38433</v>
      </c>
      <c r="I663" s="12">
        <v>44389</v>
      </c>
      <c r="J663" s="12">
        <v>44997</v>
      </c>
      <c r="K663" s="25">
        <v>16211</v>
      </c>
      <c r="L663" s="23">
        <v>22222</v>
      </c>
      <c r="M663" s="11"/>
      <c r="N663" s="7" t="str">
        <f ca="1">_xlfn.IFNA(VLOOKUP("2"&amp;B663,CountSpecific!E:F,2,0),"")</f>
        <v/>
      </c>
      <c r="O663" s="14" t="str">
        <f ca="1">_xlfn.IFNA(VLOOKUP("3"&amp;B663,CountSpecific!E:F,2,0),"")</f>
        <v/>
      </c>
      <c r="P663" s="7" t="str">
        <f ca="1">_xlfn.IFNA(VLOOKUP("4"&amp;B663,CountSpecific!E:F,2,0),"")</f>
        <v/>
      </c>
    </row>
    <row r="664" spans="1:16" customFormat="1" x14ac:dyDescent="0.25">
      <c r="A664" s="7">
        <v>663</v>
      </c>
      <c r="B664" s="11" t="s">
        <v>679</v>
      </c>
      <c r="C664" s="7" t="s">
        <v>1039</v>
      </c>
      <c r="D664" s="7">
        <v>663</v>
      </c>
      <c r="E664" s="9">
        <v>663</v>
      </c>
      <c r="F664" s="7">
        <v>663</v>
      </c>
      <c r="G664" s="11" t="s">
        <v>1022</v>
      </c>
      <c r="H664" s="20">
        <v>29286</v>
      </c>
      <c r="I664" s="12">
        <v>44159</v>
      </c>
      <c r="J664" s="12">
        <v>44220</v>
      </c>
      <c r="K664" s="25">
        <v>4344</v>
      </c>
      <c r="L664" s="23">
        <v>24942</v>
      </c>
      <c r="M664" s="11"/>
      <c r="N664" s="7" t="str">
        <f ca="1">_xlfn.IFNA(VLOOKUP("2"&amp;B664,CountSpecific!E:F,2,0),"")</f>
        <v/>
      </c>
      <c r="O664" s="14" t="str">
        <f ca="1">_xlfn.IFNA(VLOOKUP("3"&amp;B664,CountSpecific!E:F,2,0),"")</f>
        <v/>
      </c>
      <c r="P664" s="7" t="str">
        <f ca="1">_xlfn.IFNA(VLOOKUP("4"&amp;B664,CountSpecific!E:F,2,0),"")</f>
        <v/>
      </c>
    </row>
    <row r="665" spans="1:16" customFormat="1" x14ac:dyDescent="0.25">
      <c r="A665" s="7">
        <v>664</v>
      </c>
      <c r="B665" s="11" t="s">
        <v>680</v>
      </c>
      <c r="C665" s="7" t="s">
        <v>1039</v>
      </c>
      <c r="D665" s="7">
        <v>664</v>
      </c>
      <c r="E665" s="7">
        <v>664</v>
      </c>
      <c r="F665" s="7">
        <v>664</v>
      </c>
      <c r="G665" s="11" t="s">
        <v>1023</v>
      </c>
      <c r="H665" s="20">
        <v>1307</v>
      </c>
      <c r="I665" s="12">
        <v>44881</v>
      </c>
      <c r="J665" s="12">
        <v>45032</v>
      </c>
      <c r="K665" s="25">
        <v>1303</v>
      </c>
      <c r="L665" s="23">
        <v>4</v>
      </c>
      <c r="M665" s="11"/>
      <c r="N665" s="7" t="str">
        <f ca="1">_xlfn.IFNA(VLOOKUP("2"&amp;B665,CountSpecific!E:F,2,0),"")</f>
        <v/>
      </c>
      <c r="O665" s="14" t="str">
        <f ca="1">_xlfn.IFNA(VLOOKUP("3"&amp;B665,CountSpecific!E:F,2,0),"")</f>
        <v/>
      </c>
      <c r="P665" s="7" t="str">
        <f ca="1">_xlfn.IFNA(VLOOKUP("4"&amp;B665,CountSpecific!E:F,2,0),"")</f>
        <v/>
      </c>
    </row>
    <row r="666" spans="1:16" customFormat="1" x14ac:dyDescent="0.25">
      <c r="A666" s="7">
        <v>665</v>
      </c>
      <c r="B666" s="11" t="s">
        <v>681</v>
      </c>
      <c r="C666" s="7" t="s">
        <v>1039</v>
      </c>
      <c r="D666" s="7">
        <v>665</v>
      </c>
      <c r="E666" s="7">
        <v>665</v>
      </c>
      <c r="F666" s="7">
        <v>665</v>
      </c>
      <c r="G666" s="11" t="s">
        <v>1021</v>
      </c>
      <c r="H666" s="20">
        <v>58539</v>
      </c>
      <c r="I666" s="12">
        <v>44276</v>
      </c>
      <c r="J666" s="12">
        <v>44368</v>
      </c>
      <c r="K666" s="25">
        <v>32769</v>
      </c>
      <c r="L666" s="23">
        <v>25770</v>
      </c>
      <c r="M666" s="11"/>
      <c r="N666" s="7" t="str">
        <f ca="1">_xlfn.IFNA(VLOOKUP("2"&amp;B666,CountSpecific!E:F,2,0),"")</f>
        <v/>
      </c>
      <c r="O666" s="14" t="str">
        <f ca="1">_xlfn.IFNA(VLOOKUP("3"&amp;B666,CountSpecific!E:F,2,0),"")</f>
        <v/>
      </c>
      <c r="P666" s="7" t="str">
        <f ca="1">_xlfn.IFNA(VLOOKUP("4"&amp;B666,CountSpecific!E:F,2,0),"")</f>
        <v/>
      </c>
    </row>
    <row r="667" spans="1:16" customFormat="1" x14ac:dyDescent="0.25">
      <c r="A667" s="7">
        <v>666</v>
      </c>
      <c r="B667" s="11" t="s">
        <v>682</v>
      </c>
      <c r="C667" s="7" t="s">
        <v>1039</v>
      </c>
      <c r="D667" s="7">
        <v>666</v>
      </c>
      <c r="E667" s="9">
        <v>666</v>
      </c>
      <c r="F667" s="7">
        <v>666</v>
      </c>
      <c r="G667" s="11" t="s">
        <v>1025</v>
      </c>
      <c r="H667" s="20">
        <v>168632</v>
      </c>
      <c r="I667" s="12">
        <v>45387</v>
      </c>
      <c r="J667" s="12">
        <v>45752</v>
      </c>
      <c r="K667" s="25">
        <v>151225</v>
      </c>
      <c r="L667" s="23">
        <v>17407</v>
      </c>
      <c r="M667" s="11"/>
      <c r="N667" s="7" t="str">
        <f ca="1">_xlfn.IFNA(VLOOKUP("2"&amp;B667,CountSpecific!E:F,2,0),"")</f>
        <v/>
      </c>
      <c r="O667" s="14" t="str">
        <f ca="1">_xlfn.IFNA(VLOOKUP("3"&amp;B667,CountSpecific!E:F,2,0),"")</f>
        <v/>
      </c>
      <c r="P667" s="7" t="str">
        <f ca="1">_xlfn.IFNA(VLOOKUP("4"&amp;B667,CountSpecific!E:F,2,0),"")</f>
        <v/>
      </c>
    </row>
    <row r="668" spans="1:16" customFormat="1" x14ac:dyDescent="0.25">
      <c r="A668" s="7">
        <v>667</v>
      </c>
      <c r="B668" s="11" t="s">
        <v>683</v>
      </c>
      <c r="C668" s="7" t="s">
        <v>1039</v>
      </c>
      <c r="D668" s="7">
        <v>667</v>
      </c>
      <c r="E668" s="7">
        <v>667</v>
      </c>
      <c r="F668" s="7">
        <v>667</v>
      </c>
      <c r="G668" s="11" t="s">
        <v>1021</v>
      </c>
      <c r="H668" s="20">
        <v>58338</v>
      </c>
      <c r="I668" s="12">
        <v>44663</v>
      </c>
      <c r="J668" s="12">
        <v>45028</v>
      </c>
      <c r="K668" s="25">
        <v>45199</v>
      </c>
      <c r="L668" s="23">
        <v>13139</v>
      </c>
      <c r="M668" s="11"/>
      <c r="N668" s="7" t="str">
        <f ca="1">_xlfn.IFNA(VLOOKUP("2"&amp;B668,CountSpecific!E:F,2,0),"")</f>
        <v/>
      </c>
      <c r="O668" s="14" t="str">
        <f ca="1">_xlfn.IFNA(VLOOKUP("3"&amp;B668,CountSpecific!E:F,2,0),"")</f>
        <v/>
      </c>
      <c r="P668" s="7" t="str">
        <f ca="1">_xlfn.IFNA(VLOOKUP("4"&amp;B668,CountSpecific!E:F,2,0),"")</f>
        <v/>
      </c>
    </row>
    <row r="669" spans="1:16" customFormat="1" x14ac:dyDescent="0.25">
      <c r="A669" s="7">
        <v>668</v>
      </c>
      <c r="B669" s="11" t="s">
        <v>684</v>
      </c>
      <c r="C669" s="7" t="s">
        <v>1039</v>
      </c>
      <c r="D669" s="7">
        <v>668</v>
      </c>
      <c r="E669" s="7">
        <v>668</v>
      </c>
      <c r="F669" s="7">
        <v>668</v>
      </c>
      <c r="G669" s="11" t="s">
        <v>1022</v>
      </c>
      <c r="H669" s="20">
        <v>28558</v>
      </c>
      <c r="I669" s="12">
        <v>44069</v>
      </c>
      <c r="J669" s="12">
        <v>44768</v>
      </c>
      <c r="K669" s="25">
        <v>7382</v>
      </c>
      <c r="L669" s="23">
        <v>21176</v>
      </c>
      <c r="M669" s="11"/>
      <c r="N669" s="7" t="str">
        <f ca="1">_xlfn.IFNA(VLOOKUP("2"&amp;B669,CountSpecific!E:F,2,0),"")</f>
        <v/>
      </c>
      <c r="O669" s="14" t="str">
        <f ca="1">_xlfn.IFNA(VLOOKUP("3"&amp;B669,CountSpecific!E:F,2,0),"")</f>
        <v/>
      </c>
      <c r="P669" s="7" t="str">
        <f ca="1">_xlfn.IFNA(VLOOKUP("4"&amp;B669,CountSpecific!E:F,2,0),"")</f>
        <v/>
      </c>
    </row>
    <row r="670" spans="1:16" customFormat="1" x14ac:dyDescent="0.25">
      <c r="A670" s="7">
        <v>669</v>
      </c>
      <c r="B670" s="11" t="s">
        <v>685</v>
      </c>
      <c r="C670" s="7" t="s">
        <v>1039</v>
      </c>
      <c r="D670" s="7">
        <v>669</v>
      </c>
      <c r="E670" s="9">
        <v>669</v>
      </c>
      <c r="F670" s="7">
        <v>669</v>
      </c>
      <c r="G670" s="11" t="s">
        <v>1023</v>
      </c>
      <c r="H670" s="20">
        <v>1194</v>
      </c>
      <c r="I670" s="12">
        <v>44303</v>
      </c>
      <c r="J670" s="12">
        <v>44456</v>
      </c>
      <c r="K670" s="25">
        <v>764</v>
      </c>
      <c r="L670" s="23">
        <v>430</v>
      </c>
      <c r="M670" s="11"/>
      <c r="N670" s="7" t="str">
        <f ca="1">_xlfn.IFNA(VLOOKUP("2"&amp;B670,CountSpecific!E:F,2,0),"")</f>
        <v/>
      </c>
      <c r="O670" s="14" t="str">
        <f ca="1">_xlfn.IFNA(VLOOKUP("3"&amp;B670,CountSpecific!E:F,2,0),"")</f>
        <v/>
      </c>
      <c r="P670" s="7" t="str">
        <f ca="1">_xlfn.IFNA(VLOOKUP("4"&amp;B670,CountSpecific!E:F,2,0),"")</f>
        <v/>
      </c>
    </row>
    <row r="671" spans="1:16" customFormat="1" x14ac:dyDescent="0.25">
      <c r="A671" s="7">
        <v>670</v>
      </c>
      <c r="B671" s="11" t="s">
        <v>686</v>
      </c>
      <c r="C671" s="7" t="s">
        <v>1039</v>
      </c>
      <c r="D671" s="7">
        <v>670</v>
      </c>
      <c r="E671" s="7">
        <v>670</v>
      </c>
      <c r="F671" s="7">
        <v>670</v>
      </c>
      <c r="G671" s="11" t="s">
        <v>1026</v>
      </c>
      <c r="H671" s="20">
        <v>2128928</v>
      </c>
      <c r="I671" s="12">
        <v>45165</v>
      </c>
      <c r="J671" s="12">
        <v>45409</v>
      </c>
      <c r="K671" s="25">
        <v>1145150</v>
      </c>
      <c r="L671" s="23">
        <v>983778</v>
      </c>
      <c r="M671" s="11"/>
      <c r="N671" s="7" t="str">
        <f ca="1">_xlfn.IFNA(VLOOKUP("2"&amp;B671,CountSpecific!E:F,2,0),"")</f>
        <v/>
      </c>
      <c r="O671" s="14" t="str">
        <f ca="1">_xlfn.IFNA(VLOOKUP("3"&amp;B671,CountSpecific!E:F,2,0),"")</f>
        <v/>
      </c>
      <c r="P671" s="7" t="str">
        <f ca="1">_xlfn.IFNA(VLOOKUP("4"&amp;B671,CountSpecific!E:F,2,0),"")</f>
        <v/>
      </c>
    </row>
    <row r="672" spans="1:16" customFormat="1" x14ac:dyDescent="0.25">
      <c r="A672" s="7">
        <v>671</v>
      </c>
      <c r="B672" s="11" t="s">
        <v>687</v>
      </c>
      <c r="C672" s="7" t="s">
        <v>1039</v>
      </c>
      <c r="D672" s="7">
        <v>671</v>
      </c>
      <c r="E672" s="7">
        <v>671</v>
      </c>
      <c r="F672" s="7">
        <v>671</v>
      </c>
      <c r="G672" s="11" t="s">
        <v>1020</v>
      </c>
      <c r="H672" s="20">
        <v>313648</v>
      </c>
      <c r="I672" s="12">
        <v>45154</v>
      </c>
      <c r="J672" s="12">
        <v>45246</v>
      </c>
      <c r="K672" s="25">
        <v>311125</v>
      </c>
      <c r="L672" s="23">
        <v>2523</v>
      </c>
      <c r="M672" s="11"/>
      <c r="N672" s="7" t="str">
        <f ca="1">_xlfn.IFNA(VLOOKUP("2"&amp;B672,CountSpecific!E:F,2,0),"")</f>
        <v/>
      </c>
      <c r="O672" s="14" t="str">
        <f ca="1">_xlfn.IFNA(VLOOKUP("3"&amp;B672,CountSpecific!E:F,2,0),"")</f>
        <v/>
      </c>
      <c r="P672" s="7" t="str">
        <f ca="1">_xlfn.IFNA(VLOOKUP("4"&amp;B672,CountSpecific!E:F,2,0),"")</f>
        <v/>
      </c>
    </row>
    <row r="673" spans="1:16" customFormat="1" x14ac:dyDescent="0.25">
      <c r="A673" s="7">
        <v>672</v>
      </c>
      <c r="B673" s="11" t="s">
        <v>688</v>
      </c>
      <c r="C673" s="7" t="s">
        <v>1039</v>
      </c>
      <c r="D673" s="7">
        <v>672</v>
      </c>
      <c r="E673" s="9">
        <v>672</v>
      </c>
      <c r="F673" s="7">
        <v>672</v>
      </c>
      <c r="G673" s="11" t="s">
        <v>1020</v>
      </c>
      <c r="H673" s="20">
        <v>55794</v>
      </c>
      <c r="I673" s="12">
        <v>45713</v>
      </c>
      <c r="J673" s="12">
        <v>46198</v>
      </c>
      <c r="K673" s="25">
        <v>48483</v>
      </c>
      <c r="L673" s="23">
        <v>7311</v>
      </c>
      <c r="M673" s="11"/>
      <c r="N673" s="7" t="str">
        <f ca="1">_xlfn.IFNA(VLOOKUP("2"&amp;B673,CountSpecific!E:F,2,0),"")</f>
        <v/>
      </c>
      <c r="O673" s="14" t="str">
        <f ca="1">_xlfn.IFNA(VLOOKUP("3"&amp;B673,CountSpecific!E:F,2,0),"")</f>
        <v/>
      </c>
      <c r="P673" s="7" t="str">
        <f ca="1">_xlfn.IFNA(VLOOKUP("4"&amp;B673,CountSpecific!E:F,2,0),"")</f>
        <v/>
      </c>
    </row>
    <row r="674" spans="1:16" customFormat="1" x14ac:dyDescent="0.25">
      <c r="A674" s="7">
        <v>673</v>
      </c>
      <c r="B674" s="11" t="s">
        <v>689</v>
      </c>
      <c r="C674" s="7" t="s">
        <v>1039</v>
      </c>
      <c r="D674" s="7">
        <v>673</v>
      </c>
      <c r="E674" s="7">
        <v>673</v>
      </c>
      <c r="F674" s="7">
        <v>673</v>
      </c>
      <c r="G674" s="11" t="s">
        <v>1020</v>
      </c>
      <c r="H674" s="20">
        <v>386480</v>
      </c>
      <c r="I674" s="12">
        <v>43983</v>
      </c>
      <c r="J674" s="12">
        <v>44013</v>
      </c>
      <c r="K674" s="25">
        <v>257372</v>
      </c>
      <c r="L674" s="23">
        <v>129108</v>
      </c>
      <c r="M674" s="11"/>
      <c r="N674" s="7" t="str">
        <f ca="1">_xlfn.IFNA(VLOOKUP("2"&amp;B674,CountSpecific!E:F,2,0),"")</f>
        <v/>
      </c>
      <c r="O674" s="14" t="str">
        <f ca="1">_xlfn.IFNA(VLOOKUP("3"&amp;B674,CountSpecific!E:F,2,0),"")</f>
        <v/>
      </c>
      <c r="P674" s="7" t="str">
        <f ca="1">_xlfn.IFNA(VLOOKUP("4"&amp;B674,CountSpecific!E:F,2,0),"")</f>
        <v/>
      </c>
    </row>
    <row r="675" spans="1:16" customFormat="1" x14ac:dyDescent="0.25">
      <c r="A675" s="7">
        <v>674</v>
      </c>
      <c r="B675" s="11" t="s">
        <v>690</v>
      </c>
      <c r="C675" s="7" t="s">
        <v>1039</v>
      </c>
      <c r="D675" s="7">
        <v>674</v>
      </c>
      <c r="E675" s="7">
        <v>674</v>
      </c>
      <c r="F675" s="7">
        <v>674</v>
      </c>
      <c r="G675" s="11" t="s">
        <v>1026</v>
      </c>
      <c r="H675" s="20">
        <v>583290</v>
      </c>
      <c r="I675" s="12">
        <v>44466</v>
      </c>
      <c r="J675" s="12">
        <v>44588</v>
      </c>
      <c r="K675" s="25">
        <v>283662</v>
      </c>
      <c r="L675" s="23">
        <v>299628</v>
      </c>
      <c r="M675" s="11"/>
      <c r="N675" s="7" t="str">
        <f ca="1">_xlfn.IFNA(VLOOKUP("2"&amp;B675,CountSpecific!E:F,2,0),"")</f>
        <v/>
      </c>
      <c r="O675" s="14" t="str">
        <f ca="1">_xlfn.IFNA(VLOOKUP("3"&amp;B675,CountSpecific!E:F,2,0),"")</f>
        <v/>
      </c>
      <c r="P675" s="7" t="str">
        <f ca="1">_xlfn.IFNA(VLOOKUP("4"&amp;B675,CountSpecific!E:F,2,0),"")</f>
        <v/>
      </c>
    </row>
    <row r="676" spans="1:16" customFormat="1" x14ac:dyDescent="0.25">
      <c r="A676" s="7">
        <v>675</v>
      </c>
      <c r="B676" s="11" t="s">
        <v>691</v>
      </c>
      <c r="C676" s="7" t="s">
        <v>1039</v>
      </c>
      <c r="D676" s="7">
        <v>675</v>
      </c>
      <c r="E676" s="9">
        <v>675</v>
      </c>
      <c r="F676" s="7">
        <v>675</v>
      </c>
      <c r="G676" s="11" t="s">
        <v>1020</v>
      </c>
      <c r="H676" s="20">
        <v>230810</v>
      </c>
      <c r="I676" s="12">
        <v>45048</v>
      </c>
      <c r="J676" s="12">
        <v>45506</v>
      </c>
      <c r="K676" s="25">
        <v>117154</v>
      </c>
      <c r="L676" s="23">
        <v>113656</v>
      </c>
      <c r="M676" s="11"/>
      <c r="N676" s="7" t="str">
        <f ca="1">_xlfn.IFNA(VLOOKUP("2"&amp;B676,CountSpecific!E:F,2,0),"")</f>
        <v/>
      </c>
      <c r="O676" s="14" t="str">
        <f ca="1">_xlfn.IFNA(VLOOKUP("3"&amp;B676,CountSpecific!E:F,2,0),"")</f>
        <v/>
      </c>
      <c r="P676" s="7" t="str">
        <f ca="1">_xlfn.IFNA(VLOOKUP("4"&amp;B676,CountSpecific!E:F,2,0),"")</f>
        <v/>
      </c>
    </row>
    <row r="677" spans="1:16" customFormat="1" x14ac:dyDescent="0.25">
      <c r="A677" s="7">
        <v>676</v>
      </c>
      <c r="B677" s="11" t="s">
        <v>692</v>
      </c>
      <c r="C677" s="7" t="s">
        <v>1039</v>
      </c>
      <c r="D677" s="7">
        <v>676</v>
      </c>
      <c r="E677" s="7">
        <v>676</v>
      </c>
      <c r="F677" s="7">
        <v>676</v>
      </c>
      <c r="G677" s="11" t="s">
        <v>1026</v>
      </c>
      <c r="H677" s="20">
        <v>1382977</v>
      </c>
      <c r="I677" s="12">
        <v>45322</v>
      </c>
      <c r="J677" s="12">
        <v>45504</v>
      </c>
      <c r="K677" s="25">
        <v>389527</v>
      </c>
      <c r="L677" s="23">
        <v>993450</v>
      </c>
      <c r="M677" s="11"/>
      <c r="N677" s="7" t="str">
        <f ca="1">_xlfn.IFNA(VLOOKUP("2"&amp;B677,CountSpecific!E:F,2,0),"")</f>
        <v/>
      </c>
      <c r="O677" s="14" t="str">
        <f ca="1">_xlfn.IFNA(VLOOKUP("3"&amp;B677,CountSpecific!E:F,2,0),"")</f>
        <v/>
      </c>
      <c r="P677" s="7" t="str">
        <f ca="1">_xlfn.IFNA(VLOOKUP("4"&amp;B677,CountSpecific!E:F,2,0),"")</f>
        <v/>
      </c>
    </row>
    <row r="678" spans="1:16" customFormat="1" x14ac:dyDescent="0.25">
      <c r="A678" s="7">
        <v>677</v>
      </c>
      <c r="B678" s="11" t="s">
        <v>693</v>
      </c>
      <c r="C678" s="7" t="s">
        <v>1039</v>
      </c>
      <c r="D678" s="7">
        <v>677</v>
      </c>
      <c r="E678" s="7">
        <v>677</v>
      </c>
      <c r="F678" s="7">
        <v>677</v>
      </c>
      <c r="G678" s="11" t="s">
        <v>1027</v>
      </c>
      <c r="H678" s="20">
        <v>30539</v>
      </c>
      <c r="I678" s="12">
        <v>44239</v>
      </c>
      <c r="J678" s="12">
        <v>44632</v>
      </c>
      <c r="K678" s="25">
        <v>11903</v>
      </c>
      <c r="L678" s="23">
        <v>18636</v>
      </c>
      <c r="M678" s="11"/>
      <c r="N678" s="7" t="str">
        <f ca="1">_xlfn.IFNA(VLOOKUP("2"&amp;B678,CountSpecific!E:F,2,0),"")</f>
        <v/>
      </c>
      <c r="O678" s="14" t="str">
        <f ca="1">_xlfn.IFNA(VLOOKUP("3"&amp;B678,CountSpecific!E:F,2,0),"")</f>
        <v/>
      </c>
      <c r="P678" s="7" t="str">
        <f ca="1">_xlfn.IFNA(VLOOKUP("4"&amp;B678,CountSpecific!E:F,2,0),"")</f>
        <v/>
      </c>
    </row>
    <row r="679" spans="1:16" customFormat="1" x14ac:dyDescent="0.25">
      <c r="A679" s="7">
        <v>678</v>
      </c>
      <c r="B679" s="11" t="s">
        <v>694</v>
      </c>
      <c r="C679" s="7" t="s">
        <v>1039</v>
      </c>
      <c r="D679" s="7">
        <v>678</v>
      </c>
      <c r="E679" s="9">
        <v>678</v>
      </c>
      <c r="F679" s="7">
        <v>678</v>
      </c>
      <c r="G679" s="11" t="s">
        <v>1027</v>
      </c>
      <c r="H679" s="20">
        <v>45989</v>
      </c>
      <c r="I679" s="12">
        <v>44290</v>
      </c>
      <c r="J679" s="12">
        <v>44534</v>
      </c>
      <c r="K679" s="25">
        <v>24741</v>
      </c>
      <c r="L679" s="23">
        <v>21248</v>
      </c>
      <c r="M679" s="11"/>
      <c r="N679" s="7" t="str">
        <f ca="1">_xlfn.IFNA(VLOOKUP("2"&amp;B679,CountSpecific!E:F,2,0),"")</f>
        <v/>
      </c>
      <c r="O679" s="14" t="str">
        <f ca="1">_xlfn.IFNA(VLOOKUP("3"&amp;B679,CountSpecific!E:F,2,0),"")</f>
        <v/>
      </c>
      <c r="P679" s="7" t="str">
        <f ca="1">_xlfn.IFNA(VLOOKUP("4"&amp;B679,CountSpecific!E:F,2,0),"")</f>
        <v/>
      </c>
    </row>
    <row r="680" spans="1:16" customFormat="1" x14ac:dyDescent="0.25">
      <c r="A680" s="7">
        <v>679</v>
      </c>
      <c r="B680" s="11" t="s">
        <v>695</v>
      </c>
      <c r="C680" s="7" t="s">
        <v>1039</v>
      </c>
      <c r="D680" s="7">
        <v>679</v>
      </c>
      <c r="E680" s="7">
        <v>679</v>
      </c>
      <c r="F680" s="7">
        <v>679</v>
      </c>
      <c r="G680" s="11" t="s">
        <v>1024</v>
      </c>
      <c r="H680" s="20">
        <v>507708</v>
      </c>
      <c r="I680" s="12">
        <v>43880</v>
      </c>
      <c r="J680" s="12">
        <v>44427</v>
      </c>
      <c r="K680" s="25">
        <v>407664</v>
      </c>
      <c r="L680" s="23">
        <v>100044</v>
      </c>
      <c r="M680" s="11"/>
      <c r="N680" s="7" t="str">
        <f ca="1">_xlfn.IFNA(VLOOKUP("2"&amp;B680,CountSpecific!E:F,2,0),"")</f>
        <v/>
      </c>
      <c r="O680" s="14" t="str">
        <f ca="1">_xlfn.IFNA(VLOOKUP("3"&amp;B680,CountSpecific!E:F,2,0),"")</f>
        <v/>
      </c>
      <c r="P680" s="7" t="str">
        <f ca="1">_xlfn.IFNA(VLOOKUP("4"&amp;B680,CountSpecific!E:F,2,0),"")</f>
        <v/>
      </c>
    </row>
    <row r="681" spans="1:16" customFormat="1" x14ac:dyDescent="0.25">
      <c r="A681" s="7">
        <v>680</v>
      </c>
      <c r="B681" s="11" t="s">
        <v>696</v>
      </c>
      <c r="C681" s="7" t="s">
        <v>1039</v>
      </c>
      <c r="D681" s="7">
        <v>680</v>
      </c>
      <c r="E681" s="7">
        <v>680</v>
      </c>
      <c r="F681" s="7">
        <v>680</v>
      </c>
      <c r="G681" s="11" t="s">
        <v>1023</v>
      </c>
      <c r="H681" s="20">
        <v>217</v>
      </c>
      <c r="I681" s="12">
        <v>44825</v>
      </c>
      <c r="J681" s="12">
        <v>44916</v>
      </c>
      <c r="K681" s="25">
        <v>8</v>
      </c>
      <c r="L681" s="23">
        <v>209</v>
      </c>
      <c r="M681" s="11"/>
      <c r="N681" s="7" t="str">
        <f ca="1">_xlfn.IFNA(VLOOKUP("2"&amp;B681,CountSpecific!E:F,2,0),"")</f>
        <v/>
      </c>
      <c r="O681" s="14" t="str">
        <f ca="1">_xlfn.IFNA(VLOOKUP("3"&amp;B681,CountSpecific!E:F,2,0),"")</f>
        <v/>
      </c>
      <c r="P681" s="7" t="str">
        <f ca="1">_xlfn.IFNA(VLOOKUP("4"&amp;B681,CountSpecific!E:F,2,0),"")</f>
        <v/>
      </c>
    </row>
    <row r="682" spans="1:16" customFormat="1" x14ac:dyDescent="0.25">
      <c r="A682" s="7">
        <v>681</v>
      </c>
      <c r="B682" s="11" t="s">
        <v>697</v>
      </c>
      <c r="C682" s="7" t="s">
        <v>1039</v>
      </c>
      <c r="D682" s="7">
        <v>681</v>
      </c>
      <c r="E682" s="9">
        <v>681</v>
      </c>
      <c r="F682" s="7">
        <v>681</v>
      </c>
      <c r="G682" s="11" t="s">
        <v>1020</v>
      </c>
      <c r="H682" s="20">
        <v>468551</v>
      </c>
      <c r="I682" s="12">
        <v>43859</v>
      </c>
      <c r="J682" s="12">
        <v>44164</v>
      </c>
      <c r="K682" s="25">
        <v>309287</v>
      </c>
      <c r="L682" s="23">
        <v>159264</v>
      </c>
      <c r="M682" s="11"/>
      <c r="N682" s="7" t="str">
        <f ca="1">_xlfn.IFNA(VLOOKUP("2"&amp;B682,CountSpecific!E:F,2,0),"")</f>
        <v/>
      </c>
      <c r="O682" s="14" t="str">
        <f ca="1">_xlfn.IFNA(VLOOKUP("3"&amp;B682,CountSpecific!E:F,2,0),"")</f>
        <v/>
      </c>
      <c r="P682" s="7" t="str">
        <f ca="1">_xlfn.IFNA(VLOOKUP("4"&amp;B682,CountSpecific!E:F,2,0),"")</f>
        <v/>
      </c>
    </row>
    <row r="683" spans="1:16" customFormat="1" x14ac:dyDescent="0.25">
      <c r="A683" s="7">
        <v>682</v>
      </c>
      <c r="B683" s="11" t="s">
        <v>698</v>
      </c>
      <c r="C683" s="7" t="s">
        <v>1039</v>
      </c>
      <c r="D683" s="7">
        <v>682</v>
      </c>
      <c r="E683" s="7">
        <v>682</v>
      </c>
      <c r="F683" s="7">
        <v>682</v>
      </c>
      <c r="G683" s="11" t="s">
        <v>1025</v>
      </c>
      <c r="H683" s="20">
        <v>167038</v>
      </c>
      <c r="I683" s="12">
        <v>44395</v>
      </c>
      <c r="J683" s="12">
        <v>44457</v>
      </c>
      <c r="K683" s="25">
        <v>68818</v>
      </c>
      <c r="L683" s="23">
        <v>98220</v>
      </c>
      <c r="M683" s="11"/>
      <c r="N683" s="7" t="str">
        <f ca="1">_xlfn.IFNA(VLOOKUP("2"&amp;B683,CountSpecific!E:F,2,0),"")</f>
        <v/>
      </c>
      <c r="O683" s="14" t="str">
        <f ca="1">_xlfn.IFNA(VLOOKUP("3"&amp;B683,CountSpecific!E:F,2,0),"")</f>
        <v/>
      </c>
      <c r="P683" s="7" t="str">
        <f ca="1">_xlfn.IFNA(VLOOKUP("4"&amp;B683,CountSpecific!E:F,2,0),"")</f>
        <v/>
      </c>
    </row>
    <row r="684" spans="1:16" customFormat="1" x14ac:dyDescent="0.25">
      <c r="A684" s="7">
        <v>683</v>
      </c>
      <c r="B684" s="11" t="s">
        <v>699</v>
      </c>
      <c r="C684" s="7" t="s">
        <v>1039</v>
      </c>
      <c r="D684" s="7">
        <v>683</v>
      </c>
      <c r="E684" s="7">
        <v>683</v>
      </c>
      <c r="F684" s="7">
        <v>683</v>
      </c>
      <c r="G684" s="11" t="s">
        <v>1024</v>
      </c>
      <c r="H684" s="20">
        <v>743329</v>
      </c>
      <c r="I684" s="12">
        <v>44402</v>
      </c>
      <c r="J684" s="12">
        <v>45102</v>
      </c>
      <c r="K684" s="25">
        <v>2436</v>
      </c>
      <c r="L684" s="23">
        <v>740893</v>
      </c>
      <c r="M684" s="11"/>
      <c r="N684" s="7" t="str">
        <f ca="1">_xlfn.IFNA(VLOOKUP("2"&amp;B684,CountSpecific!E:F,2,0),"")</f>
        <v/>
      </c>
      <c r="O684" s="14" t="str">
        <f ca="1">_xlfn.IFNA(VLOOKUP("3"&amp;B684,CountSpecific!E:F,2,0),"")</f>
        <v/>
      </c>
      <c r="P684" s="7" t="str">
        <f ca="1">_xlfn.IFNA(VLOOKUP("4"&amp;B684,CountSpecific!E:F,2,0),"")</f>
        <v/>
      </c>
    </row>
    <row r="685" spans="1:16" customFormat="1" x14ac:dyDescent="0.25">
      <c r="A685" s="7">
        <v>684</v>
      </c>
      <c r="B685" s="11" t="s">
        <v>700</v>
      </c>
      <c r="C685" s="7" t="s">
        <v>1039</v>
      </c>
      <c r="D685" s="7">
        <v>684</v>
      </c>
      <c r="E685" s="9">
        <v>684</v>
      </c>
      <c r="F685" s="7">
        <v>684</v>
      </c>
      <c r="G685" s="11" t="s">
        <v>1025</v>
      </c>
      <c r="H685" s="20">
        <v>435189</v>
      </c>
      <c r="I685" s="12">
        <v>44669</v>
      </c>
      <c r="J685" s="12">
        <v>44760</v>
      </c>
      <c r="K685" s="25">
        <v>86875</v>
      </c>
      <c r="L685" s="23">
        <v>348314</v>
      </c>
      <c r="M685" s="11"/>
      <c r="N685" s="7" t="str">
        <f ca="1">_xlfn.IFNA(VLOOKUP("2"&amp;B685,CountSpecific!E:F,2,0),"")</f>
        <v/>
      </c>
      <c r="O685" s="14" t="str">
        <f ca="1">_xlfn.IFNA(VLOOKUP("3"&amp;B685,CountSpecific!E:F,2,0),"")</f>
        <v/>
      </c>
      <c r="P685" s="7" t="str">
        <f ca="1">_xlfn.IFNA(VLOOKUP("4"&amp;B685,CountSpecific!E:F,2,0),"")</f>
        <v/>
      </c>
    </row>
    <row r="686" spans="1:16" customFormat="1" x14ac:dyDescent="0.25">
      <c r="A686" s="7">
        <v>685</v>
      </c>
      <c r="B686" s="11" t="s">
        <v>701</v>
      </c>
      <c r="C686" s="7" t="s">
        <v>1039</v>
      </c>
      <c r="D686" s="7">
        <v>685</v>
      </c>
      <c r="E686" s="7">
        <v>685</v>
      </c>
      <c r="F686" s="7">
        <v>685</v>
      </c>
      <c r="G686" s="11" t="s">
        <v>1022</v>
      </c>
      <c r="H686" s="20">
        <v>11120</v>
      </c>
      <c r="I686" s="12">
        <v>45182</v>
      </c>
      <c r="J686" s="12">
        <v>45517</v>
      </c>
      <c r="K686" s="25">
        <v>7842</v>
      </c>
      <c r="L686" s="23">
        <v>3278</v>
      </c>
      <c r="M686" s="11"/>
      <c r="N686" s="7" t="str">
        <f ca="1">_xlfn.IFNA(VLOOKUP("2"&amp;B686,CountSpecific!E:F,2,0),"")</f>
        <v/>
      </c>
      <c r="O686" s="14" t="str">
        <f ca="1">_xlfn.IFNA(VLOOKUP("3"&amp;B686,CountSpecific!E:F,2,0),"")</f>
        <v/>
      </c>
      <c r="P686" s="7" t="str">
        <f ca="1">_xlfn.IFNA(VLOOKUP("4"&amp;B686,CountSpecific!E:F,2,0),"")</f>
        <v/>
      </c>
    </row>
    <row r="687" spans="1:16" customFormat="1" x14ac:dyDescent="0.25">
      <c r="A687" s="7">
        <v>686</v>
      </c>
      <c r="B687" s="11" t="s">
        <v>702</v>
      </c>
      <c r="C687" s="7" t="s">
        <v>1039</v>
      </c>
      <c r="D687" s="7">
        <v>686</v>
      </c>
      <c r="E687" s="7">
        <v>686</v>
      </c>
      <c r="F687" s="7">
        <v>686</v>
      </c>
      <c r="G687" s="11" t="s">
        <v>1022</v>
      </c>
      <c r="H687" s="20">
        <v>14654</v>
      </c>
      <c r="I687" s="12">
        <v>45226</v>
      </c>
      <c r="J687" s="12">
        <v>45378</v>
      </c>
      <c r="K687" s="25">
        <v>10302</v>
      </c>
      <c r="L687" s="23">
        <v>4352</v>
      </c>
      <c r="M687" s="11"/>
      <c r="N687" s="7" t="str">
        <f ca="1">_xlfn.IFNA(VLOOKUP("2"&amp;B687,CountSpecific!E:F,2,0),"")</f>
        <v/>
      </c>
      <c r="O687" s="14" t="str">
        <f ca="1">_xlfn.IFNA(VLOOKUP("3"&amp;B687,CountSpecific!E:F,2,0),"")</f>
        <v/>
      </c>
      <c r="P687" s="7" t="str">
        <f ca="1">_xlfn.IFNA(VLOOKUP("4"&amp;B687,CountSpecific!E:F,2,0),"")</f>
        <v/>
      </c>
    </row>
    <row r="688" spans="1:16" customFormat="1" x14ac:dyDescent="0.25">
      <c r="A688" s="7">
        <v>687</v>
      </c>
      <c r="B688" s="11" t="s">
        <v>703</v>
      </c>
      <c r="C688" s="7" t="s">
        <v>1039</v>
      </c>
      <c r="D688" s="7">
        <v>687</v>
      </c>
      <c r="E688" s="9">
        <v>687</v>
      </c>
      <c r="F688" s="7">
        <v>687</v>
      </c>
      <c r="G688" s="11" t="s">
        <v>1016</v>
      </c>
      <c r="H688" s="20">
        <v>25989</v>
      </c>
      <c r="I688" s="12">
        <v>45542</v>
      </c>
      <c r="J688" s="12">
        <v>46060</v>
      </c>
      <c r="K688" s="25">
        <v>10048</v>
      </c>
      <c r="L688" s="23">
        <v>15941</v>
      </c>
      <c r="M688" s="11"/>
      <c r="N688" s="7" t="str">
        <f ca="1">_xlfn.IFNA(VLOOKUP("2"&amp;B688,CountSpecific!E:F,2,0),"")</f>
        <v/>
      </c>
      <c r="O688" s="14" t="str">
        <f ca="1">_xlfn.IFNA(VLOOKUP("3"&amp;B688,CountSpecific!E:F,2,0),"")</f>
        <v/>
      </c>
      <c r="P688" s="7" t="str">
        <f ca="1">_xlfn.IFNA(VLOOKUP("4"&amp;B688,CountSpecific!E:F,2,0),"")</f>
        <v/>
      </c>
    </row>
    <row r="689" spans="1:16" customFormat="1" x14ac:dyDescent="0.25">
      <c r="A689" s="7">
        <v>688</v>
      </c>
      <c r="B689" s="11" t="s">
        <v>704</v>
      </c>
      <c r="C689" s="7" t="s">
        <v>1039</v>
      </c>
      <c r="D689" s="7">
        <v>688</v>
      </c>
      <c r="E689" s="7">
        <v>688</v>
      </c>
      <c r="F689" s="7">
        <v>688</v>
      </c>
      <c r="G689" s="11" t="s">
        <v>1021</v>
      </c>
      <c r="H689" s="20">
        <v>91855</v>
      </c>
      <c r="I689" s="12">
        <v>44271</v>
      </c>
      <c r="J689" s="12">
        <v>44850</v>
      </c>
      <c r="K689" s="25">
        <v>7410</v>
      </c>
      <c r="L689" s="23">
        <v>84445</v>
      </c>
      <c r="M689" s="11"/>
      <c r="N689" s="7" t="str">
        <f ca="1">_xlfn.IFNA(VLOOKUP("2"&amp;B689,CountSpecific!E:F,2,0),"")</f>
        <v/>
      </c>
      <c r="O689" s="14" t="str">
        <f ca="1">_xlfn.IFNA(VLOOKUP("3"&amp;B689,CountSpecific!E:F,2,0),"")</f>
        <v/>
      </c>
      <c r="P689" s="7" t="str">
        <f ca="1">_xlfn.IFNA(VLOOKUP("4"&amp;B689,CountSpecific!E:F,2,0),"")</f>
        <v/>
      </c>
    </row>
    <row r="690" spans="1:16" customFormat="1" x14ac:dyDescent="0.25">
      <c r="A690" s="7">
        <v>689</v>
      </c>
      <c r="B690" s="11" t="s">
        <v>705</v>
      </c>
      <c r="C690" s="7" t="s">
        <v>1039</v>
      </c>
      <c r="D690" s="7">
        <v>689</v>
      </c>
      <c r="E690" s="7">
        <v>689</v>
      </c>
      <c r="F690" s="7">
        <v>689</v>
      </c>
      <c r="G690" s="11" t="s">
        <v>1025</v>
      </c>
      <c r="H690" s="20">
        <v>238644</v>
      </c>
      <c r="I690" s="12">
        <v>44696</v>
      </c>
      <c r="J690" s="12">
        <v>45031</v>
      </c>
      <c r="K690" s="25">
        <v>148368</v>
      </c>
      <c r="L690" s="23">
        <v>90276</v>
      </c>
      <c r="M690" s="11"/>
      <c r="N690" s="7" t="str">
        <f ca="1">_xlfn.IFNA(VLOOKUP("2"&amp;B690,CountSpecific!E:F,2,0),"")</f>
        <v/>
      </c>
      <c r="O690" s="14" t="str">
        <f ca="1">_xlfn.IFNA(VLOOKUP("3"&amp;B690,CountSpecific!E:F,2,0),"")</f>
        <v/>
      </c>
      <c r="P690" s="7" t="str">
        <f ca="1">_xlfn.IFNA(VLOOKUP("4"&amp;B690,CountSpecific!E:F,2,0),"")</f>
        <v/>
      </c>
    </row>
    <row r="691" spans="1:16" customFormat="1" x14ac:dyDescent="0.25">
      <c r="A691" s="7">
        <v>690</v>
      </c>
      <c r="B691" s="11" t="s">
        <v>706</v>
      </c>
      <c r="C691" s="7" t="s">
        <v>1039</v>
      </c>
      <c r="D691" s="7">
        <v>690</v>
      </c>
      <c r="E691" s="9">
        <v>690</v>
      </c>
      <c r="F691" s="7">
        <v>690</v>
      </c>
      <c r="G691" s="11" t="s">
        <v>1027</v>
      </c>
      <c r="H691" s="20">
        <v>19901</v>
      </c>
      <c r="I691" s="12">
        <v>45285</v>
      </c>
      <c r="J691" s="12">
        <v>45560</v>
      </c>
      <c r="K691" s="25">
        <v>13807</v>
      </c>
      <c r="L691" s="23">
        <v>6094</v>
      </c>
      <c r="M691" s="11"/>
      <c r="N691" s="7" t="str">
        <f ca="1">_xlfn.IFNA(VLOOKUP("2"&amp;B691,CountSpecific!E:F,2,0),"")</f>
        <v/>
      </c>
      <c r="O691" s="14" t="str">
        <f ca="1">_xlfn.IFNA(VLOOKUP("3"&amp;B691,CountSpecific!E:F,2,0),"")</f>
        <v/>
      </c>
      <c r="P691" s="7" t="str">
        <f ca="1">_xlfn.IFNA(VLOOKUP("4"&amp;B691,CountSpecific!E:F,2,0),"")</f>
        <v/>
      </c>
    </row>
    <row r="692" spans="1:16" customFormat="1" x14ac:dyDescent="0.25">
      <c r="A692" s="7">
        <v>691</v>
      </c>
      <c r="B692" s="11" t="s">
        <v>707</v>
      </c>
      <c r="C692" s="7" t="s">
        <v>1039</v>
      </c>
      <c r="D692" s="7">
        <v>691</v>
      </c>
      <c r="E692" s="7">
        <v>691</v>
      </c>
      <c r="F692" s="7">
        <v>691</v>
      </c>
      <c r="G692" s="11" t="s">
        <v>1016</v>
      </c>
      <c r="H692" s="20">
        <v>19096</v>
      </c>
      <c r="I692" s="12">
        <v>44959</v>
      </c>
      <c r="J692" s="12">
        <v>45445</v>
      </c>
      <c r="K692" s="25">
        <v>9668</v>
      </c>
      <c r="L692" s="23">
        <v>9428</v>
      </c>
      <c r="M692" s="11"/>
      <c r="N692" s="7" t="str">
        <f ca="1">_xlfn.IFNA(VLOOKUP("2"&amp;B692,CountSpecific!E:F,2,0),"")</f>
        <v/>
      </c>
      <c r="O692" s="14" t="str">
        <f ca="1">_xlfn.IFNA(VLOOKUP("3"&amp;B692,CountSpecific!E:F,2,0),"")</f>
        <v/>
      </c>
      <c r="P692" s="7" t="str">
        <f ca="1">_xlfn.IFNA(VLOOKUP("4"&amp;B692,CountSpecific!E:F,2,0),"")</f>
        <v/>
      </c>
    </row>
    <row r="693" spans="1:16" customFormat="1" x14ac:dyDescent="0.25">
      <c r="A693" s="7">
        <v>692</v>
      </c>
      <c r="B693" s="11" t="s">
        <v>708</v>
      </c>
      <c r="C693" s="7" t="s">
        <v>1039</v>
      </c>
      <c r="D693" s="7">
        <v>692</v>
      </c>
      <c r="E693" s="7">
        <v>692</v>
      </c>
      <c r="F693" s="7">
        <v>692</v>
      </c>
      <c r="G693" s="11" t="s">
        <v>1022</v>
      </c>
      <c r="H693" s="20">
        <v>11504</v>
      </c>
      <c r="I693" s="12">
        <v>45011</v>
      </c>
      <c r="J693" s="12">
        <v>45256</v>
      </c>
      <c r="K693" s="25">
        <v>11002</v>
      </c>
      <c r="L693" s="23">
        <v>502</v>
      </c>
      <c r="M693" s="11"/>
      <c r="N693" s="7" t="str">
        <f ca="1">_xlfn.IFNA(VLOOKUP("2"&amp;B693,CountSpecific!E:F,2,0),"")</f>
        <v/>
      </c>
      <c r="O693" s="14" t="str">
        <f ca="1">_xlfn.IFNA(VLOOKUP("3"&amp;B693,CountSpecific!E:F,2,0),"")</f>
        <v/>
      </c>
      <c r="P693" s="7" t="str">
        <f ca="1">_xlfn.IFNA(VLOOKUP("4"&amp;B693,CountSpecific!E:F,2,0),"")</f>
        <v/>
      </c>
    </row>
    <row r="694" spans="1:16" customFormat="1" x14ac:dyDescent="0.25">
      <c r="A694" s="7">
        <v>693</v>
      </c>
      <c r="B694" s="11" t="s">
        <v>709</v>
      </c>
      <c r="C694" s="7" t="s">
        <v>1039</v>
      </c>
      <c r="D694" s="7">
        <v>693</v>
      </c>
      <c r="E694" s="9">
        <v>693</v>
      </c>
      <c r="F694" s="7">
        <v>693</v>
      </c>
      <c r="G694" s="11" t="s">
        <v>1020</v>
      </c>
      <c r="H694" s="20">
        <v>358285</v>
      </c>
      <c r="I694" s="12">
        <v>44195</v>
      </c>
      <c r="J694" s="12">
        <v>44772</v>
      </c>
      <c r="K694" s="25">
        <v>126706</v>
      </c>
      <c r="L694" s="23">
        <v>231579</v>
      </c>
      <c r="M694" s="11"/>
      <c r="N694" s="7" t="str">
        <f ca="1">_xlfn.IFNA(VLOOKUP("2"&amp;B694,CountSpecific!E:F,2,0),"")</f>
        <v/>
      </c>
      <c r="O694" s="14" t="str">
        <f ca="1">_xlfn.IFNA(VLOOKUP("3"&amp;B694,CountSpecific!E:F,2,0),"")</f>
        <v/>
      </c>
      <c r="P694" s="7" t="str">
        <f ca="1">_xlfn.IFNA(VLOOKUP("4"&amp;B694,CountSpecific!E:F,2,0),"")</f>
        <v/>
      </c>
    </row>
    <row r="695" spans="1:16" customFormat="1" x14ac:dyDescent="0.25">
      <c r="A695" s="7">
        <v>694</v>
      </c>
      <c r="B695" s="11" t="s">
        <v>710</v>
      </c>
      <c r="C695" s="7" t="s">
        <v>1039</v>
      </c>
      <c r="D695" s="7">
        <v>694</v>
      </c>
      <c r="E695" s="7">
        <v>694</v>
      </c>
      <c r="F695" s="7">
        <v>694</v>
      </c>
      <c r="G695" s="11" t="s">
        <v>1016</v>
      </c>
      <c r="H695" s="20">
        <v>15779</v>
      </c>
      <c r="I695" s="12">
        <v>44197</v>
      </c>
      <c r="J695" s="12">
        <v>44835</v>
      </c>
      <c r="K695" s="25">
        <v>5481</v>
      </c>
      <c r="L695" s="23">
        <v>10298</v>
      </c>
      <c r="M695" s="11"/>
      <c r="N695" s="7" t="str">
        <f ca="1">_xlfn.IFNA(VLOOKUP("2"&amp;B695,CountSpecific!E:F,2,0),"")</f>
        <v/>
      </c>
      <c r="O695" s="14" t="str">
        <f ca="1">_xlfn.IFNA(VLOOKUP("3"&amp;B695,CountSpecific!E:F,2,0),"")</f>
        <v/>
      </c>
      <c r="P695" s="7" t="str">
        <f ca="1">_xlfn.IFNA(VLOOKUP("4"&amp;B695,CountSpecific!E:F,2,0),"")</f>
        <v/>
      </c>
    </row>
    <row r="696" spans="1:16" customFormat="1" x14ac:dyDescent="0.25">
      <c r="A696" s="7">
        <v>695</v>
      </c>
      <c r="B696" s="11" t="s">
        <v>711</v>
      </c>
      <c r="C696" s="7" t="s">
        <v>1039</v>
      </c>
      <c r="D696" s="7">
        <v>695</v>
      </c>
      <c r="E696" s="7">
        <v>695</v>
      </c>
      <c r="F696" s="7">
        <v>695</v>
      </c>
      <c r="G696" s="11" t="s">
        <v>1026</v>
      </c>
      <c r="H696" s="20">
        <v>3562193</v>
      </c>
      <c r="I696" s="12">
        <v>43984</v>
      </c>
      <c r="J696" s="12">
        <v>44229</v>
      </c>
      <c r="K696" s="25">
        <v>2867805</v>
      </c>
      <c r="L696" s="23">
        <v>694388</v>
      </c>
      <c r="M696" s="11"/>
      <c r="N696" s="7" t="str">
        <f ca="1">_xlfn.IFNA(VLOOKUP("2"&amp;B696,CountSpecific!E:F,2,0),"")</f>
        <v/>
      </c>
      <c r="O696" s="14" t="str">
        <f ca="1">_xlfn.IFNA(VLOOKUP("3"&amp;B696,CountSpecific!E:F,2,0),"")</f>
        <v/>
      </c>
      <c r="P696" s="7" t="str">
        <f ca="1">_xlfn.IFNA(VLOOKUP("4"&amp;B696,CountSpecific!E:F,2,0),"")</f>
        <v/>
      </c>
    </row>
    <row r="697" spans="1:16" customFormat="1" x14ac:dyDescent="0.25">
      <c r="A697" s="7">
        <v>696</v>
      </c>
      <c r="B697" s="11" t="s">
        <v>712</v>
      </c>
      <c r="C697" s="7" t="s">
        <v>1039</v>
      </c>
      <c r="D697" s="7">
        <v>696</v>
      </c>
      <c r="E697" s="9">
        <v>696</v>
      </c>
      <c r="F697" s="7">
        <v>696</v>
      </c>
      <c r="G697" s="11" t="s">
        <v>1025</v>
      </c>
      <c r="H697" s="20">
        <v>268973</v>
      </c>
      <c r="I697" s="12">
        <v>43880</v>
      </c>
      <c r="J697" s="12">
        <v>44184</v>
      </c>
      <c r="K697" s="25">
        <v>50222</v>
      </c>
      <c r="L697" s="23">
        <v>218751</v>
      </c>
      <c r="M697" s="11"/>
      <c r="N697" s="7" t="str">
        <f ca="1">_xlfn.IFNA(VLOOKUP("2"&amp;B697,CountSpecific!E:F,2,0),"")</f>
        <v/>
      </c>
      <c r="O697" s="14" t="str">
        <f ca="1">_xlfn.IFNA(VLOOKUP("3"&amp;B697,CountSpecific!E:F,2,0),"")</f>
        <v/>
      </c>
      <c r="P697" s="7" t="str">
        <f ca="1">_xlfn.IFNA(VLOOKUP("4"&amp;B697,CountSpecific!E:F,2,0),"")</f>
        <v/>
      </c>
    </row>
    <row r="698" spans="1:16" customFormat="1" x14ac:dyDescent="0.25">
      <c r="A698" s="7">
        <v>697</v>
      </c>
      <c r="B698" s="11" t="s">
        <v>713</v>
      </c>
      <c r="C698" s="7" t="s">
        <v>1039</v>
      </c>
      <c r="D698" s="7">
        <v>697</v>
      </c>
      <c r="E698" s="7">
        <v>697</v>
      </c>
      <c r="F698" s="7">
        <v>697</v>
      </c>
      <c r="G698" s="11" t="s">
        <v>1027</v>
      </c>
      <c r="H698" s="20">
        <v>53039</v>
      </c>
      <c r="I698" s="12">
        <v>45091</v>
      </c>
      <c r="J698" s="12">
        <v>45396</v>
      </c>
      <c r="K698" s="25">
        <v>30165</v>
      </c>
      <c r="L698" s="23">
        <v>22874</v>
      </c>
      <c r="M698" s="11"/>
      <c r="N698" s="7" t="str">
        <f ca="1">_xlfn.IFNA(VLOOKUP("2"&amp;B698,CountSpecific!E:F,2,0),"")</f>
        <v/>
      </c>
      <c r="O698" s="14" t="str">
        <f ca="1">_xlfn.IFNA(VLOOKUP("3"&amp;B698,CountSpecific!E:F,2,0),"")</f>
        <v/>
      </c>
      <c r="P698" s="7" t="str">
        <f ca="1">_xlfn.IFNA(VLOOKUP("4"&amp;B698,CountSpecific!E:F,2,0),"")</f>
        <v/>
      </c>
    </row>
    <row r="699" spans="1:16" customFormat="1" x14ac:dyDescent="0.25">
      <c r="A699" s="7">
        <v>698</v>
      </c>
      <c r="B699" s="11" t="s">
        <v>714</v>
      </c>
      <c r="C699" s="7" t="s">
        <v>1039</v>
      </c>
      <c r="D699" s="7">
        <v>698</v>
      </c>
      <c r="E699" s="7">
        <v>698</v>
      </c>
      <c r="F699" s="7">
        <v>698</v>
      </c>
      <c r="G699" s="11" t="s">
        <v>1025</v>
      </c>
      <c r="H699" s="20">
        <v>173998</v>
      </c>
      <c r="I699" s="12">
        <v>44304</v>
      </c>
      <c r="J699" s="12">
        <v>44944</v>
      </c>
      <c r="K699" s="25">
        <v>97042</v>
      </c>
      <c r="L699" s="23">
        <v>76956</v>
      </c>
      <c r="M699" s="11"/>
      <c r="N699" s="7" t="str">
        <f ca="1">_xlfn.IFNA(VLOOKUP("2"&amp;B699,CountSpecific!E:F,2,0),"")</f>
        <v/>
      </c>
      <c r="O699" s="14" t="str">
        <f ca="1">_xlfn.IFNA(VLOOKUP("3"&amp;B699,CountSpecific!E:F,2,0),"")</f>
        <v/>
      </c>
      <c r="P699" s="7" t="str">
        <f ca="1">_xlfn.IFNA(VLOOKUP("4"&amp;B699,CountSpecific!E:F,2,0),"")</f>
        <v/>
      </c>
    </row>
    <row r="700" spans="1:16" customFormat="1" x14ac:dyDescent="0.25">
      <c r="A700" s="7">
        <v>699</v>
      </c>
      <c r="B700" s="11" t="s">
        <v>715</v>
      </c>
      <c r="C700" s="7" t="s">
        <v>1039</v>
      </c>
      <c r="D700" s="7">
        <v>699</v>
      </c>
      <c r="E700" s="9">
        <v>699</v>
      </c>
      <c r="F700" s="7">
        <v>699</v>
      </c>
      <c r="G700" s="11" t="s">
        <v>1021</v>
      </c>
      <c r="H700" s="20">
        <v>84693</v>
      </c>
      <c r="I700" s="12">
        <v>44234</v>
      </c>
      <c r="J700" s="12">
        <v>44476</v>
      </c>
      <c r="K700" s="25">
        <v>23875</v>
      </c>
      <c r="L700" s="23">
        <v>60818</v>
      </c>
      <c r="M700" s="11"/>
      <c r="N700" s="7" t="str">
        <f ca="1">_xlfn.IFNA(VLOOKUP("2"&amp;B700,CountSpecific!E:F,2,0),"")</f>
        <v/>
      </c>
      <c r="O700" s="14" t="str">
        <f ca="1">_xlfn.IFNA(VLOOKUP("3"&amp;B700,CountSpecific!E:F,2,0),"")</f>
        <v/>
      </c>
      <c r="P700" s="7" t="str">
        <f ca="1">_xlfn.IFNA(VLOOKUP("4"&amp;B700,CountSpecific!E:F,2,0),"")</f>
        <v/>
      </c>
    </row>
    <row r="701" spans="1:16" customFormat="1" x14ac:dyDescent="0.25">
      <c r="A701" s="7">
        <v>700</v>
      </c>
      <c r="B701" s="11" t="s">
        <v>716</v>
      </c>
      <c r="C701" s="7" t="s">
        <v>1039</v>
      </c>
      <c r="D701" s="7">
        <v>700</v>
      </c>
      <c r="E701" s="7">
        <v>700</v>
      </c>
      <c r="F701" s="7">
        <v>700</v>
      </c>
      <c r="G701" s="11" t="s">
        <v>1023</v>
      </c>
      <c r="H701" s="20">
        <v>684</v>
      </c>
      <c r="I701" s="12">
        <v>44773</v>
      </c>
      <c r="J701" s="12">
        <v>45199</v>
      </c>
      <c r="K701" s="25">
        <v>609</v>
      </c>
      <c r="L701" s="23">
        <v>75</v>
      </c>
      <c r="M701" s="11"/>
      <c r="N701" s="7" t="str">
        <f ca="1">_xlfn.IFNA(VLOOKUP("2"&amp;B701,CountSpecific!E:F,2,0),"")</f>
        <v/>
      </c>
      <c r="O701" s="14" t="str">
        <f ca="1">_xlfn.IFNA(VLOOKUP("3"&amp;B701,CountSpecific!E:F,2,0),"")</f>
        <v/>
      </c>
      <c r="P701" s="7" t="str">
        <f ca="1">_xlfn.IFNA(VLOOKUP("4"&amp;B701,CountSpecific!E:F,2,0),"")</f>
        <v/>
      </c>
    </row>
    <row r="702" spans="1:16" customFormat="1" x14ac:dyDescent="0.25">
      <c r="A702" s="7">
        <v>701</v>
      </c>
      <c r="B702" s="11" t="s">
        <v>717</v>
      </c>
      <c r="C702" s="7" t="s">
        <v>1039</v>
      </c>
      <c r="D702" s="7">
        <v>701</v>
      </c>
      <c r="E702" s="7">
        <v>701</v>
      </c>
      <c r="F702" s="7">
        <v>701</v>
      </c>
      <c r="G702" s="11" t="s">
        <v>1023</v>
      </c>
      <c r="H702" s="20">
        <v>762</v>
      </c>
      <c r="I702" s="12">
        <v>44772</v>
      </c>
      <c r="J702" s="12">
        <v>45290</v>
      </c>
      <c r="K702" s="25">
        <v>709</v>
      </c>
      <c r="L702" s="23">
        <v>53</v>
      </c>
      <c r="M702" s="11"/>
      <c r="N702" s="7" t="str">
        <f ca="1">_xlfn.IFNA(VLOOKUP("2"&amp;B702,CountSpecific!E:F,2,0),"")</f>
        <v/>
      </c>
      <c r="O702" s="14" t="str">
        <f ca="1">_xlfn.IFNA(VLOOKUP("3"&amp;B702,CountSpecific!E:F,2,0),"")</f>
        <v/>
      </c>
      <c r="P702" s="7" t="str">
        <f ca="1">_xlfn.IFNA(VLOOKUP("4"&amp;B702,CountSpecific!E:F,2,0),"")</f>
        <v/>
      </c>
    </row>
    <row r="703" spans="1:16" customFormat="1" x14ac:dyDescent="0.25">
      <c r="A703" s="7">
        <v>702</v>
      </c>
      <c r="B703" s="11" t="s">
        <v>718</v>
      </c>
      <c r="C703" s="7" t="s">
        <v>1039</v>
      </c>
      <c r="D703" s="7">
        <v>702</v>
      </c>
      <c r="E703" s="9">
        <v>702</v>
      </c>
      <c r="F703" s="7">
        <v>702</v>
      </c>
      <c r="G703" s="11" t="s">
        <v>1025</v>
      </c>
      <c r="H703" s="20">
        <v>418748</v>
      </c>
      <c r="I703" s="12">
        <v>45055</v>
      </c>
      <c r="J703" s="12">
        <v>45756</v>
      </c>
      <c r="K703" s="25">
        <v>314908</v>
      </c>
      <c r="L703" s="23">
        <v>103840</v>
      </c>
      <c r="M703" s="11"/>
      <c r="N703" s="7" t="str">
        <f ca="1">_xlfn.IFNA(VLOOKUP("2"&amp;B703,CountSpecific!E:F,2,0),"")</f>
        <v/>
      </c>
      <c r="O703" s="14" t="str">
        <f ca="1">_xlfn.IFNA(VLOOKUP("3"&amp;B703,CountSpecific!E:F,2,0),"")</f>
        <v/>
      </c>
      <c r="P703" s="7" t="str">
        <f ca="1">_xlfn.IFNA(VLOOKUP("4"&amp;B703,CountSpecific!E:F,2,0),"")</f>
        <v/>
      </c>
    </row>
    <row r="704" spans="1:16" customFormat="1" x14ac:dyDescent="0.25">
      <c r="A704" s="7">
        <v>703</v>
      </c>
      <c r="B704" s="11" t="s">
        <v>719</v>
      </c>
      <c r="C704" s="7" t="s">
        <v>1039</v>
      </c>
      <c r="D704" s="7">
        <v>703</v>
      </c>
      <c r="E704" s="7">
        <v>703</v>
      </c>
      <c r="F704" s="7">
        <v>703</v>
      </c>
      <c r="G704" s="11" t="s">
        <v>1022</v>
      </c>
      <c r="H704" s="20">
        <v>16325</v>
      </c>
      <c r="I704" s="12">
        <v>44713</v>
      </c>
      <c r="J704" s="12">
        <v>44805</v>
      </c>
      <c r="K704" s="25">
        <v>14010</v>
      </c>
      <c r="L704" s="23">
        <v>2315</v>
      </c>
      <c r="M704" s="11"/>
      <c r="N704" s="7" t="str">
        <f ca="1">_xlfn.IFNA(VLOOKUP("2"&amp;B704,CountSpecific!E:F,2,0),"")</f>
        <v/>
      </c>
      <c r="O704" s="14" t="str">
        <f ca="1">_xlfn.IFNA(VLOOKUP("3"&amp;B704,CountSpecific!E:F,2,0),"")</f>
        <v/>
      </c>
      <c r="P704" s="7" t="str">
        <f ca="1">_xlfn.IFNA(VLOOKUP("4"&amp;B704,CountSpecific!E:F,2,0),"")</f>
        <v/>
      </c>
    </row>
    <row r="705" spans="1:16" customFormat="1" x14ac:dyDescent="0.25">
      <c r="A705" s="7">
        <v>704</v>
      </c>
      <c r="B705" s="11" t="s">
        <v>720</v>
      </c>
      <c r="C705" s="7" t="s">
        <v>1039</v>
      </c>
      <c r="D705" s="7">
        <v>704</v>
      </c>
      <c r="E705" s="7">
        <v>704</v>
      </c>
      <c r="F705" s="7">
        <v>704</v>
      </c>
      <c r="G705" s="11" t="s">
        <v>1025</v>
      </c>
      <c r="H705" s="20">
        <v>474674</v>
      </c>
      <c r="I705" s="12">
        <v>45216</v>
      </c>
      <c r="J705" s="12">
        <v>45368</v>
      </c>
      <c r="K705" s="25">
        <v>164506</v>
      </c>
      <c r="L705" s="23">
        <v>310168</v>
      </c>
      <c r="M705" s="11"/>
      <c r="N705" s="7" t="str">
        <f ca="1">_xlfn.IFNA(VLOOKUP("2"&amp;B705,CountSpecific!E:F,2,0),"")</f>
        <v/>
      </c>
      <c r="O705" s="14" t="str">
        <f ca="1">_xlfn.IFNA(VLOOKUP("3"&amp;B705,CountSpecific!E:F,2,0),"")</f>
        <v/>
      </c>
      <c r="P705" s="7" t="str">
        <f ca="1">_xlfn.IFNA(VLOOKUP("4"&amp;B705,CountSpecific!E:F,2,0),"")</f>
        <v/>
      </c>
    </row>
    <row r="706" spans="1:16" customFormat="1" x14ac:dyDescent="0.25">
      <c r="A706" s="7">
        <v>705</v>
      </c>
      <c r="B706" s="11" t="s">
        <v>721</v>
      </c>
      <c r="C706" s="7" t="s">
        <v>1039</v>
      </c>
      <c r="D706" s="7">
        <v>705</v>
      </c>
      <c r="E706" s="9">
        <v>705</v>
      </c>
      <c r="F706" s="7">
        <v>705</v>
      </c>
      <c r="G706" s="11" t="s">
        <v>1022</v>
      </c>
      <c r="H706" s="20">
        <v>33036</v>
      </c>
      <c r="I706" s="12">
        <v>45210</v>
      </c>
      <c r="J706" s="12">
        <v>45302</v>
      </c>
      <c r="K706" s="25">
        <v>10153</v>
      </c>
      <c r="L706" s="23">
        <v>22883</v>
      </c>
      <c r="M706" s="11"/>
      <c r="N706" s="7" t="str">
        <f ca="1">_xlfn.IFNA(VLOOKUP("2"&amp;B706,CountSpecific!E:F,2,0),"")</f>
        <v/>
      </c>
      <c r="O706" s="14" t="str">
        <f ca="1">_xlfn.IFNA(VLOOKUP("3"&amp;B706,CountSpecific!E:F,2,0),"")</f>
        <v/>
      </c>
      <c r="P706" s="7" t="str">
        <f ca="1">_xlfn.IFNA(VLOOKUP("4"&amp;B706,CountSpecific!E:F,2,0),"")</f>
        <v/>
      </c>
    </row>
    <row r="707" spans="1:16" customFormat="1" x14ac:dyDescent="0.25">
      <c r="A707" s="7">
        <v>706</v>
      </c>
      <c r="B707" s="11" t="s">
        <v>722</v>
      </c>
      <c r="C707" s="7" t="s">
        <v>1039</v>
      </c>
      <c r="D707" s="7">
        <v>706</v>
      </c>
      <c r="E707" s="7">
        <v>706</v>
      </c>
      <c r="F707" s="7">
        <v>706</v>
      </c>
      <c r="G707" s="11" t="s">
        <v>1026</v>
      </c>
      <c r="H707" s="20">
        <v>1961749</v>
      </c>
      <c r="I707" s="12">
        <v>43869</v>
      </c>
      <c r="J707" s="12">
        <v>44143</v>
      </c>
      <c r="K707" s="25">
        <v>554262</v>
      </c>
      <c r="L707" s="23">
        <v>1407487</v>
      </c>
      <c r="M707" s="11"/>
      <c r="N707" s="7" t="str">
        <f ca="1">_xlfn.IFNA(VLOOKUP("2"&amp;B707,CountSpecific!E:F,2,0),"")</f>
        <v/>
      </c>
      <c r="O707" s="14" t="str">
        <f ca="1">_xlfn.IFNA(VLOOKUP("3"&amp;B707,CountSpecific!E:F,2,0),"")</f>
        <v/>
      </c>
      <c r="P707" s="7" t="str">
        <f ca="1">_xlfn.IFNA(VLOOKUP("4"&amp;B707,CountSpecific!E:F,2,0),"")</f>
        <v/>
      </c>
    </row>
    <row r="708" spans="1:16" customFormat="1" x14ac:dyDescent="0.25">
      <c r="A708" s="7">
        <v>707</v>
      </c>
      <c r="B708" s="11" t="s">
        <v>723</v>
      </c>
      <c r="C708" s="7" t="s">
        <v>1039</v>
      </c>
      <c r="D708" s="7">
        <v>707</v>
      </c>
      <c r="E708" s="7">
        <v>707</v>
      </c>
      <c r="F708" s="7">
        <v>707</v>
      </c>
      <c r="G708" s="11" t="s">
        <v>1027</v>
      </c>
      <c r="H708" s="20">
        <v>34265</v>
      </c>
      <c r="I708" s="12">
        <v>44130</v>
      </c>
      <c r="J708" s="12">
        <v>44707</v>
      </c>
      <c r="K708" s="25">
        <v>21481</v>
      </c>
      <c r="L708" s="23">
        <v>12784</v>
      </c>
      <c r="M708" s="11"/>
      <c r="N708" s="7" t="str">
        <f ca="1">_xlfn.IFNA(VLOOKUP("2"&amp;B708,CountSpecific!E:F,2,0),"")</f>
        <v/>
      </c>
      <c r="O708" s="14" t="str">
        <f ca="1">_xlfn.IFNA(VLOOKUP("3"&amp;B708,CountSpecific!E:F,2,0),"")</f>
        <v/>
      </c>
      <c r="P708" s="7" t="str">
        <f ca="1">_xlfn.IFNA(VLOOKUP("4"&amp;B708,CountSpecific!E:F,2,0),"")</f>
        <v/>
      </c>
    </row>
    <row r="709" spans="1:16" customFormat="1" x14ac:dyDescent="0.25">
      <c r="A709" s="7">
        <v>708</v>
      </c>
      <c r="B709" s="11" t="s">
        <v>724</v>
      </c>
      <c r="C709" s="7" t="s">
        <v>1039</v>
      </c>
      <c r="D709" s="7">
        <v>708</v>
      </c>
      <c r="E709" s="9">
        <v>708</v>
      </c>
      <c r="F709" s="7">
        <v>708</v>
      </c>
      <c r="G709" s="11" t="s">
        <v>1016</v>
      </c>
      <c r="H709" s="20">
        <v>23409</v>
      </c>
      <c r="I709" s="12">
        <v>45684</v>
      </c>
      <c r="J709" s="12">
        <v>46230</v>
      </c>
      <c r="K709" s="25">
        <v>1384</v>
      </c>
      <c r="L709" s="23">
        <v>22025</v>
      </c>
      <c r="M709" s="11"/>
      <c r="N709" s="7" t="str">
        <f ca="1">_xlfn.IFNA(VLOOKUP("2"&amp;B709,CountSpecific!E:F,2,0),"")</f>
        <v/>
      </c>
      <c r="O709" s="14" t="str">
        <f ca="1">_xlfn.IFNA(VLOOKUP("3"&amp;B709,CountSpecific!E:F,2,0),"")</f>
        <v/>
      </c>
      <c r="P709" s="7" t="str">
        <f ca="1">_xlfn.IFNA(VLOOKUP("4"&amp;B709,CountSpecific!E:F,2,0),"")</f>
        <v/>
      </c>
    </row>
    <row r="710" spans="1:16" customFormat="1" x14ac:dyDescent="0.25">
      <c r="A710" s="7">
        <v>709</v>
      </c>
      <c r="B710" s="11" t="s">
        <v>725</v>
      </c>
      <c r="C710" s="7" t="s">
        <v>1039</v>
      </c>
      <c r="D710" s="7">
        <v>709</v>
      </c>
      <c r="E710" s="7">
        <v>709</v>
      </c>
      <c r="F710" s="7">
        <v>709</v>
      </c>
      <c r="G710" s="11" t="s">
        <v>1016</v>
      </c>
      <c r="H710" s="20">
        <v>30910</v>
      </c>
      <c r="I710" s="12">
        <v>45216</v>
      </c>
      <c r="J710" s="12">
        <v>45794</v>
      </c>
      <c r="K710" s="25">
        <v>25300</v>
      </c>
      <c r="L710" s="23">
        <v>5610</v>
      </c>
      <c r="M710" s="11"/>
      <c r="N710" s="7" t="str">
        <f ca="1">_xlfn.IFNA(VLOOKUP("2"&amp;B710,CountSpecific!E:F,2,0),"")</f>
        <v/>
      </c>
      <c r="O710" s="14" t="str">
        <f ca="1">_xlfn.IFNA(VLOOKUP("3"&amp;B710,CountSpecific!E:F,2,0),"")</f>
        <v/>
      </c>
      <c r="P710" s="7" t="str">
        <f ca="1">_xlfn.IFNA(VLOOKUP("4"&amp;B710,CountSpecific!E:F,2,0),"")</f>
        <v/>
      </c>
    </row>
    <row r="711" spans="1:16" customFormat="1" x14ac:dyDescent="0.25">
      <c r="A711" s="7">
        <v>710</v>
      </c>
      <c r="B711" s="11" t="s">
        <v>726</v>
      </c>
      <c r="C711" s="7" t="s">
        <v>1039</v>
      </c>
      <c r="D711" s="7">
        <v>710</v>
      </c>
      <c r="E711" s="7">
        <v>710</v>
      </c>
      <c r="F711" s="7">
        <v>710</v>
      </c>
      <c r="G711" s="11" t="s">
        <v>1023</v>
      </c>
      <c r="H711" s="20">
        <v>799</v>
      </c>
      <c r="I711" s="12">
        <v>45597</v>
      </c>
      <c r="J711" s="12">
        <v>46023</v>
      </c>
      <c r="K711" s="25">
        <v>517</v>
      </c>
      <c r="L711" s="23">
        <v>282</v>
      </c>
      <c r="M711" s="11"/>
      <c r="N711" s="7" t="str">
        <f ca="1">_xlfn.IFNA(VLOOKUP("2"&amp;B711,CountSpecific!E:F,2,0),"")</f>
        <v/>
      </c>
      <c r="O711" s="14" t="str">
        <f ca="1">_xlfn.IFNA(VLOOKUP("3"&amp;B711,CountSpecific!E:F,2,0),"")</f>
        <v/>
      </c>
      <c r="P711" s="7" t="str">
        <f ca="1">_xlfn.IFNA(VLOOKUP("4"&amp;B711,CountSpecific!E:F,2,0),"")</f>
        <v/>
      </c>
    </row>
    <row r="712" spans="1:16" customFormat="1" x14ac:dyDescent="0.25">
      <c r="A712" s="7">
        <v>711</v>
      </c>
      <c r="B712" s="11" t="s">
        <v>727</v>
      </c>
      <c r="C712" s="7" t="s">
        <v>1039</v>
      </c>
      <c r="D712" s="7">
        <v>711</v>
      </c>
      <c r="E712" s="9">
        <v>711</v>
      </c>
      <c r="F712" s="7">
        <v>711</v>
      </c>
      <c r="G712" s="11" t="s">
        <v>1023</v>
      </c>
      <c r="H712" s="20">
        <v>1212</v>
      </c>
      <c r="I712" s="12">
        <v>43866</v>
      </c>
      <c r="J712" s="12">
        <v>44260</v>
      </c>
      <c r="K712" s="25">
        <v>1186</v>
      </c>
      <c r="L712" s="23">
        <v>26</v>
      </c>
      <c r="M712" s="11"/>
      <c r="N712" s="7" t="str">
        <f ca="1">_xlfn.IFNA(VLOOKUP("2"&amp;B712,CountSpecific!E:F,2,0),"")</f>
        <v/>
      </c>
      <c r="O712" s="14" t="str">
        <f ca="1">_xlfn.IFNA(VLOOKUP("3"&amp;B712,CountSpecific!E:F,2,0),"")</f>
        <v/>
      </c>
      <c r="P712" s="7" t="str">
        <f ca="1">_xlfn.IFNA(VLOOKUP("4"&amp;B712,CountSpecific!E:F,2,0),"")</f>
        <v/>
      </c>
    </row>
    <row r="713" spans="1:16" customFormat="1" x14ac:dyDescent="0.25">
      <c r="A713" s="7">
        <v>712</v>
      </c>
      <c r="B713" s="11" t="s">
        <v>728</v>
      </c>
      <c r="C713" s="7" t="s">
        <v>1039</v>
      </c>
      <c r="D713" s="7">
        <v>712</v>
      </c>
      <c r="E713" s="7">
        <v>712</v>
      </c>
      <c r="F713" s="7">
        <v>712</v>
      </c>
      <c r="G713" s="11" t="s">
        <v>1020</v>
      </c>
      <c r="H713" s="20">
        <v>217341</v>
      </c>
      <c r="I713" s="12">
        <v>45421</v>
      </c>
      <c r="J713" s="12">
        <v>45452</v>
      </c>
      <c r="K713" s="25">
        <v>173165</v>
      </c>
      <c r="L713" s="23">
        <v>44176</v>
      </c>
      <c r="M713" s="11"/>
      <c r="N713" s="7" t="str">
        <f ca="1">_xlfn.IFNA(VLOOKUP("2"&amp;B713,CountSpecific!E:F,2,0),"")</f>
        <v/>
      </c>
      <c r="O713" s="14" t="str">
        <f ca="1">_xlfn.IFNA(VLOOKUP("3"&amp;B713,CountSpecific!E:F,2,0),"")</f>
        <v/>
      </c>
      <c r="P713" s="7" t="str">
        <f ca="1">_xlfn.IFNA(VLOOKUP("4"&amp;B713,CountSpecific!E:F,2,0),"")</f>
        <v/>
      </c>
    </row>
    <row r="714" spans="1:16" customFormat="1" x14ac:dyDescent="0.25">
      <c r="A714" s="7">
        <v>713</v>
      </c>
      <c r="B714" s="11" t="s">
        <v>729</v>
      </c>
      <c r="C714" s="7" t="s">
        <v>1039</v>
      </c>
      <c r="D714" s="7">
        <v>713</v>
      </c>
      <c r="E714" s="7">
        <v>713</v>
      </c>
      <c r="F714" s="7">
        <v>713</v>
      </c>
      <c r="G714" s="11" t="s">
        <v>1022</v>
      </c>
      <c r="H714" s="20">
        <v>30313</v>
      </c>
      <c r="I714" s="12">
        <v>45379</v>
      </c>
      <c r="J714" s="12">
        <v>45928</v>
      </c>
      <c r="K714" s="25">
        <v>29850</v>
      </c>
      <c r="L714" s="23">
        <v>463</v>
      </c>
      <c r="M714" s="11"/>
      <c r="N714" s="7" t="str">
        <f ca="1">_xlfn.IFNA(VLOOKUP("2"&amp;B714,CountSpecific!E:F,2,0),"")</f>
        <v/>
      </c>
      <c r="O714" s="14" t="str">
        <f ca="1">_xlfn.IFNA(VLOOKUP("3"&amp;B714,CountSpecific!E:F,2,0),"")</f>
        <v/>
      </c>
      <c r="P714" s="7" t="str">
        <f ca="1">_xlfn.IFNA(VLOOKUP("4"&amp;B714,CountSpecific!E:F,2,0),"")</f>
        <v/>
      </c>
    </row>
    <row r="715" spans="1:16" customFormat="1" x14ac:dyDescent="0.25">
      <c r="A715" s="7">
        <v>714</v>
      </c>
      <c r="B715" s="11" t="s">
        <v>730</v>
      </c>
      <c r="C715" s="7" t="s">
        <v>1039</v>
      </c>
      <c r="D715" s="7">
        <v>714</v>
      </c>
      <c r="E715" s="9">
        <v>714</v>
      </c>
      <c r="F715" s="7">
        <v>714</v>
      </c>
      <c r="G715" s="11" t="s">
        <v>1020</v>
      </c>
      <c r="H715" s="20">
        <v>375606</v>
      </c>
      <c r="I715" s="12">
        <v>45049</v>
      </c>
      <c r="J715" s="12">
        <v>45294</v>
      </c>
      <c r="K715" s="25">
        <v>211215</v>
      </c>
      <c r="L715" s="23">
        <v>164391</v>
      </c>
      <c r="M715" s="11"/>
      <c r="N715" s="7" t="str">
        <f ca="1">_xlfn.IFNA(VLOOKUP("2"&amp;B715,CountSpecific!E:F,2,0),"")</f>
        <v/>
      </c>
      <c r="O715" s="14" t="str">
        <f ca="1">_xlfn.IFNA(VLOOKUP("3"&amp;B715,CountSpecific!E:F,2,0),"")</f>
        <v/>
      </c>
      <c r="P715" s="7" t="str">
        <f ca="1">_xlfn.IFNA(VLOOKUP("4"&amp;B715,CountSpecific!E:F,2,0),"")</f>
        <v/>
      </c>
    </row>
    <row r="716" spans="1:16" customFormat="1" x14ac:dyDescent="0.25">
      <c r="A716" s="7">
        <v>715</v>
      </c>
      <c r="B716" s="11" t="s">
        <v>731</v>
      </c>
      <c r="C716" s="7" t="s">
        <v>1039</v>
      </c>
      <c r="D716" s="7">
        <v>715</v>
      </c>
      <c r="E716" s="7">
        <v>715</v>
      </c>
      <c r="F716" s="7">
        <v>715</v>
      </c>
      <c r="G716" s="11" t="s">
        <v>1026</v>
      </c>
      <c r="H716" s="20">
        <v>4551078</v>
      </c>
      <c r="I716" s="12">
        <v>45636</v>
      </c>
      <c r="J716" s="12">
        <v>46091</v>
      </c>
      <c r="K716" s="25">
        <v>1563922</v>
      </c>
      <c r="L716" s="23">
        <v>2987156</v>
      </c>
      <c r="M716" s="11"/>
      <c r="N716" s="7" t="str">
        <f ca="1">_xlfn.IFNA(VLOOKUP("2"&amp;B716,CountSpecific!E:F,2,0),"")</f>
        <v/>
      </c>
      <c r="O716" s="14" t="str">
        <f ca="1">_xlfn.IFNA(VLOOKUP("3"&amp;B716,CountSpecific!E:F,2,0),"")</f>
        <v/>
      </c>
      <c r="P716" s="7" t="str">
        <f ca="1">_xlfn.IFNA(VLOOKUP("4"&amp;B716,CountSpecific!E:F,2,0),"")</f>
        <v/>
      </c>
    </row>
    <row r="717" spans="1:16" customFormat="1" x14ac:dyDescent="0.25">
      <c r="A717" s="7">
        <v>716</v>
      </c>
      <c r="B717" s="11" t="s">
        <v>732</v>
      </c>
      <c r="C717" s="7" t="s">
        <v>1039</v>
      </c>
      <c r="D717" s="7">
        <v>716</v>
      </c>
      <c r="E717" s="7">
        <v>716</v>
      </c>
      <c r="F717" s="7">
        <v>716</v>
      </c>
      <c r="G717" s="11" t="s">
        <v>1021</v>
      </c>
      <c r="H717" s="20">
        <v>82449</v>
      </c>
      <c r="I717" s="12">
        <v>44501</v>
      </c>
      <c r="J717" s="12">
        <v>45231</v>
      </c>
      <c r="K717" s="25">
        <v>51951</v>
      </c>
      <c r="L717" s="23">
        <v>30498</v>
      </c>
      <c r="M717" s="11"/>
      <c r="N717" s="7" t="str">
        <f ca="1">_xlfn.IFNA(VLOOKUP("2"&amp;B717,CountSpecific!E:F,2,0),"")</f>
        <v/>
      </c>
      <c r="O717" s="14" t="str">
        <f ca="1">_xlfn.IFNA(VLOOKUP("3"&amp;B717,CountSpecific!E:F,2,0),"")</f>
        <v/>
      </c>
      <c r="P717" s="7" t="str">
        <f ca="1">_xlfn.IFNA(VLOOKUP("4"&amp;B717,CountSpecific!E:F,2,0),"")</f>
        <v/>
      </c>
    </row>
    <row r="718" spans="1:16" customFormat="1" x14ac:dyDescent="0.25">
      <c r="A718" s="7">
        <v>717</v>
      </c>
      <c r="B718" s="11" t="s">
        <v>733</v>
      </c>
      <c r="C718" s="7" t="s">
        <v>1039</v>
      </c>
      <c r="D718" s="7">
        <v>717</v>
      </c>
      <c r="E718" s="9">
        <v>717</v>
      </c>
      <c r="F718" s="7">
        <v>717</v>
      </c>
      <c r="G718" s="11" t="s">
        <v>1023</v>
      </c>
      <c r="H718" s="20">
        <v>963</v>
      </c>
      <c r="I718" s="12">
        <v>45532</v>
      </c>
      <c r="J718" s="12">
        <v>46109</v>
      </c>
      <c r="K718" s="25">
        <v>737</v>
      </c>
      <c r="L718" s="23">
        <v>226</v>
      </c>
      <c r="M718" s="11"/>
      <c r="N718" s="7" t="str">
        <f ca="1">_xlfn.IFNA(VLOOKUP("2"&amp;B718,CountSpecific!E:F,2,0),"")</f>
        <v/>
      </c>
      <c r="O718" s="14" t="str">
        <f ca="1">_xlfn.IFNA(VLOOKUP("3"&amp;B718,CountSpecific!E:F,2,0),"")</f>
        <v/>
      </c>
      <c r="P718" s="7" t="str">
        <f ca="1">_xlfn.IFNA(VLOOKUP("4"&amp;B718,CountSpecific!E:F,2,0),"")</f>
        <v/>
      </c>
    </row>
    <row r="719" spans="1:16" customFormat="1" x14ac:dyDescent="0.25">
      <c r="A719" s="7">
        <v>718</v>
      </c>
      <c r="B719" s="11" t="s">
        <v>734</v>
      </c>
      <c r="C719" s="7" t="s">
        <v>1039</v>
      </c>
      <c r="D719" s="7">
        <v>718</v>
      </c>
      <c r="E719" s="7">
        <v>718</v>
      </c>
      <c r="F719" s="7">
        <v>718</v>
      </c>
      <c r="G719" s="11" t="s">
        <v>1025</v>
      </c>
      <c r="H719" s="20">
        <v>378314</v>
      </c>
      <c r="I719" s="12">
        <v>44539</v>
      </c>
      <c r="J719" s="12">
        <v>45269</v>
      </c>
      <c r="K719" s="25">
        <v>113398</v>
      </c>
      <c r="L719" s="23">
        <v>264916</v>
      </c>
      <c r="M719" s="11"/>
      <c r="N719" s="7" t="str">
        <f ca="1">_xlfn.IFNA(VLOOKUP("2"&amp;B719,CountSpecific!E:F,2,0),"")</f>
        <v/>
      </c>
      <c r="O719" s="14" t="str">
        <f ca="1">_xlfn.IFNA(VLOOKUP("3"&amp;B719,CountSpecific!E:F,2,0),"")</f>
        <v/>
      </c>
      <c r="P719" s="7" t="str">
        <f ca="1">_xlfn.IFNA(VLOOKUP("4"&amp;B719,CountSpecific!E:F,2,0),"")</f>
        <v/>
      </c>
    </row>
    <row r="720" spans="1:16" customFormat="1" x14ac:dyDescent="0.25">
      <c r="A720" s="7">
        <v>719</v>
      </c>
      <c r="B720" s="11" t="s">
        <v>735</v>
      </c>
      <c r="C720" s="7" t="s">
        <v>1039</v>
      </c>
      <c r="D720" s="7">
        <v>719</v>
      </c>
      <c r="E720" s="7">
        <v>719</v>
      </c>
      <c r="F720" s="7">
        <v>719</v>
      </c>
      <c r="G720" s="11" t="s">
        <v>1027</v>
      </c>
      <c r="H720" s="20">
        <v>29982</v>
      </c>
      <c r="I720" s="12">
        <v>45360</v>
      </c>
      <c r="J720" s="12">
        <v>45452</v>
      </c>
      <c r="K720" s="25">
        <v>5625</v>
      </c>
      <c r="L720" s="23">
        <v>24357</v>
      </c>
      <c r="M720" s="11"/>
      <c r="N720" s="7" t="str">
        <f ca="1">_xlfn.IFNA(VLOOKUP("2"&amp;B720,CountSpecific!E:F,2,0),"")</f>
        <v/>
      </c>
      <c r="O720" s="14" t="str">
        <f ca="1">_xlfn.IFNA(VLOOKUP("3"&amp;B720,CountSpecific!E:F,2,0),"")</f>
        <v/>
      </c>
      <c r="P720" s="7" t="str">
        <f ca="1">_xlfn.IFNA(VLOOKUP("4"&amp;B720,CountSpecific!E:F,2,0),"")</f>
        <v/>
      </c>
    </row>
    <row r="721" spans="1:16" customFormat="1" x14ac:dyDescent="0.25">
      <c r="A721" s="7">
        <v>720</v>
      </c>
      <c r="B721" s="11" t="s">
        <v>736</v>
      </c>
      <c r="C721" s="7" t="s">
        <v>1039</v>
      </c>
      <c r="D721" s="7">
        <v>720</v>
      </c>
      <c r="E721" s="9">
        <v>720</v>
      </c>
      <c r="F721" s="7">
        <v>720</v>
      </c>
      <c r="G721" s="11" t="s">
        <v>1016</v>
      </c>
      <c r="H721" s="20">
        <v>20365</v>
      </c>
      <c r="I721" s="12">
        <v>44082</v>
      </c>
      <c r="J721" s="12">
        <v>44812</v>
      </c>
      <c r="K721" s="25">
        <v>9242</v>
      </c>
      <c r="L721" s="23">
        <v>11123</v>
      </c>
      <c r="M721" s="11"/>
      <c r="N721" s="7" t="str">
        <f ca="1">_xlfn.IFNA(VLOOKUP("2"&amp;B721,CountSpecific!E:F,2,0),"")</f>
        <v/>
      </c>
      <c r="O721" s="14" t="str">
        <f ca="1">_xlfn.IFNA(VLOOKUP("3"&amp;B721,CountSpecific!E:F,2,0),"")</f>
        <v/>
      </c>
      <c r="P721" s="7" t="str">
        <f ca="1">_xlfn.IFNA(VLOOKUP("4"&amp;B721,CountSpecific!E:F,2,0),"")</f>
        <v/>
      </c>
    </row>
    <row r="722" spans="1:16" customFormat="1" x14ac:dyDescent="0.25">
      <c r="A722" s="7">
        <v>721</v>
      </c>
      <c r="B722" s="11" t="s">
        <v>737</v>
      </c>
      <c r="C722" s="7" t="s">
        <v>1039</v>
      </c>
      <c r="D722" s="7">
        <v>721</v>
      </c>
      <c r="E722" s="7">
        <v>721</v>
      </c>
      <c r="F722" s="7">
        <v>721</v>
      </c>
      <c r="G722" s="11" t="s">
        <v>1023</v>
      </c>
      <c r="H722" s="20">
        <v>1370</v>
      </c>
      <c r="I722" s="12">
        <v>44252</v>
      </c>
      <c r="J722" s="12">
        <v>44798</v>
      </c>
      <c r="K722" s="25">
        <v>291</v>
      </c>
      <c r="L722" s="23">
        <v>1079</v>
      </c>
      <c r="M722" s="11"/>
      <c r="N722" s="7" t="str">
        <f ca="1">_xlfn.IFNA(VLOOKUP("2"&amp;B722,CountSpecific!E:F,2,0),"")</f>
        <v/>
      </c>
      <c r="O722" s="14" t="str">
        <f ca="1">_xlfn.IFNA(VLOOKUP("3"&amp;B722,CountSpecific!E:F,2,0),"")</f>
        <v/>
      </c>
      <c r="P722" s="7" t="str">
        <f ca="1">_xlfn.IFNA(VLOOKUP("4"&amp;B722,CountSpecific!E:F,2,0),"")</f>
        <v/>
      </c>
    </row>
    <row r="723" spans="1:16" customFormat="1" x14ac:dyDescent="0.25">
      <c r="A723" s="7">
        <v>722</v>
      </c>
      <c r="B723" s="11" t="s">
        <v>738</v>
      </c>
      <c r="C723" s="7" t="s">
        <v>1039</v>
      </c>
      <c r="D723" s="7">
        <v>722</v>
      </c>
      <c r="E723" s="7">
        <v>722</v>
      </c>
      <c r="F723" s="7">
        <v>722</v>
      </c>
      <c r="G723" s="11" t="s">
        <v>1026</v>
      </c>
      <c r="H723" s="20">
        <v>773585</v>
      </c>
      <c r="I723" s="12">
        <v>44620</v>
      </c>
      <c r="J723" s="12">
        <v>45288</v>
      </c>
      <c r="K723" s="25">
        <v>216555</v>
      </c>
      <c r="L723" s="23">
        <v>557030</v>
      </c>
      <c r="M723" s="11"/>
      <c r="N723" s="7" t="str">
        <f ca="1">_xlfn.IFNA(VLOOKUP("2"&amp;B723,CountSpecific!E:F,2,0),"")</f>
        <v/>
      </c>
      <c r="O723" s="14" t="str">
        <f ca="1">_xlfn.IFNA(VLOOKUP("3"&amp;B723,CountSpecific!E:F,2,0),"")</f>
        <v/>
      </c>
      <c r="P723" s="7" t="str">
        <f ca="1">_xlfn.IFNA(VLOOKUP("4"&amp;B723,CountSpecific!E:F,2,0),"")</f>
        <v/>
      </c>
    </row>
    <row r="724" spans="1:16" customFormat="1" x14ac:dyDescent="0.25">
      <c r="A724" s="7">
        <v>723</v>
      </c>
      <c r="B724" s="11" t="s">
        <v>739</v>
      </c>
      <c r="C724" s="7" t="s">
        <v>1039</v>
      </c>
      <c r="D724" s="7">
        <v>723</v>
      </c>
      <c r="E724" s="9">
        <v>723</v>
      </c>
      <c r="F724" s="7">
        <v>723</v>
      </c>
      <c r="G724" s="11" t="s">
        <v>1016</v>
      </c>
      <c r="H724" s="20">
        <v>15671</v>
      </c>
      <c r="I724" s="12">
        <v>44157</v>
      </c>
      <c r="J724" s="12">
        <v>44338</v>
      </c>
      <c r="K724" s="25">
        <v>542</v>
      </c>
      <c r="L724" s="23">
        <v>15129</v>
      </c>
      <c r="M724" s="11"/>
      <c r="N724" s="7" t="str">
        <f ca="1">_xlfn.IFNA(VLOOKUP("2"&amp;B724,CountSpecific!E:F,2,0),"")</f>
        <v/>
      </c>
      <c r="O724" s="14" t="str">
        <f ca="1">_xlfn.IFNA(VLOOKUP("3"&amp;B724,CountSpecific!E:F,2,0),"")</f>
        <v/>
      </c>
      <c r="P724" s="7" t="str">
        <f ca="1">_xlfn.IFNA(VLOOKUP("4"&amp;B724,CountSpecific!E:F,2,0),"")</f>
        <v/>
      </c>
    </row>
    <row r="725" spans="1:16" customFormat="1" x14ac:dyDescent="0.25">
      <c r="A725" s="7">
        <v>724</v>
      </c>
      <c r="B725" s="11" t="s">
        <v>740</v>
      </c>
      <c r="C725" s="7" t="s">
        <v>1039</v>
      </c>
      <c r="D725" s="7">
        <v>724</v>
      </c>
      <c r="E725" s="7">
        <v>724</v>
      </c>
      <c r="F725" s="7">
        <v>724</v>
      </c>
      <c r="G725" s="11" t="s">
        <v>1020</v>
      </c>
      <c r="H725" s="20">
        <v>139981</v>
      </c>
      <c r="I725" s="12">
        <v>44854</v>
      </c>
      <c r="J725" s="12">
        <v>45066</v>
      </c>
      <c r="K725" s="25">
        <v>47883</v>
      </c>
      <c r="L725" s="23">
        <v>92098</v>
      </c>
      <c r="M725" s="11"/>
      <c r="N725" s="7" t="str">
        <f ca="1">_xlfn.IFNA(VLOOKUP("2"&amp;B725,CountSpecific!E:F,2,0),"")</f>
        <v/>
      </c>
      <c r="O725" s="14" t="str">
        <f ca="1">_xlfn.IFNA(VLOOKUP("3"&amp;B725,CountSpecific!E:F,2,0),"")</f>
        <v/>
      </c>
      <c r="P725" s="7" t="str">
        <f ca="1">_xlfn.IFNA(VLOOKUP("4"&amp;B725,CountSpecific!E:F,2,0),"")</f>
        <v/>
      </c>
    </row>
    <row r="726" spans="1:16" customFormat="1" x14ac:dyDescent="0.25">
      <c r="A726" s="7">
        <v>725</v>
      </c>
      <c r="B726" s="11" t="s">
        <v>741</v>
      </c>
      <c r="C726" s="7" t="s">
        <v>1039</v>
      </c>
      <c r="D726" s="7">
        <v>725</v>
      </c>
      <c r="E726" s="7">
        <v>725</v>
      </c>
      <c r="F726" s="7">
        <v>725</v>
      </c>
      <c r="G726" s="11" t="s">
        <v>1021</v>
      </c>
      <c r="H726" s="20">
        <v>5001</v>
      </c>
      <c r="I726" s="12">
        <v>45333</v>
      </c>
      <c r="J726" s="12">
        <v>46064</v>
      </c>
      <c r="K726" s="25">
        <v>26</v>
      </c>
      <c r="L726" s="23">
        <v>4975</v>
      </c>
      <c r="M726" s="11"/>
      <c r="N726" s="7" t="str">
        <f ca="1">_xlfn.IFNA(VLOOKUP("2"&amp;B726,CountSpecific!E:F,2,0),"")</f>
        <v/>
      </c>
      <c r="O726" s="14" t="str">
        <f ca="1">_xlfn.IFNA(VLOOKUP("3"&amp;B726,CountSpecific!E:F,2,0),"")</f>
        <v/>
      </c>
      <c r="P726" s="7" t="str">
        <f ca="1">_xlfn.IFNA(VLOOKUP("4"&amp;B726,CountSpecific!E:F,2,0),"")</f>
        <v/>
      </c>
    </row>
    <row r="727" spans="1:16" customFormat="1" x14ac:dyDescent="0.25">
      <c r="A727" s="7">
        <v>726</v>
      </c>
      <c r="B727" s="11" t="s">
        <v>742</v>
      </c>
      <c r="C727" s="7" t="s">
        <v>1039</v>
      </c>
      <c r="D727" s="7">
        <v>726</v>
      </c>
      <c r="E727" s="9">
        <v>726</v>
      </c>
      <c r="F727" s="7">
        <v>726</v>
      </c>
      <c r="G727" s="11" t="s">
        <v>1026</v>
      </c>
      <c r="H727" s="20">
        <v>3179064</v>
      </c>
      <c r="I727" s="12">
        <v>43996</v>
      </c>
      <c r="J727" s="12">
        <v>44514</v>
      </c>
      <c r="K727" s="25">
        <v>3149290</v>
      </c>
      <c r="L727" s="23">
        <v>29774</v>
      </c>
      <c r="M727" s="11"/>
      <c r="N727" s="7" t="str">
        <f ca="1">_xlfn.IFNA(VLOOKUP("2"&amp;B727,CountSpecific!E:F,2,0),"")</f>
        <v/>
      </c>
      <c r="O727" s="14" t="str">
        <f ca="1">_xlfn.IFNA(VLOOKUP("3"&amp;B727,CountSpecific!E:F,2,0),"")</f>
        <v/>
      </c>
      <c r="P727" s="7" t="str">
        <f ca="1">_xlfn.IFNA(VLOOKUP("4"&amp;B727,CountSpecific!E:F,2,0),"")</f>
        <v/>
      </c>
    </row>
    <row r="728" spans="1:16" customFormat="1" x14ac:dyDescent="0.25">
      <c r="A728" s="7">
        <v>727</v>
      </c>
      <c r="B728" s="11" t="s">
        <v>743</v>
      </c>
      <c r="C728" s="7" t="s">
        <v>1039</v>
      </c>
      <c r="D728" s="7">
        <v>727</v>
      </c>
      <c r="E728" s="7">
        <v>727</v>
      </c>
      <c r="F728" s="7">
        <v>727</v>
      </c>
      <c r="G728" s="11" t="s">
        <v>1016</v>
      </c>
      <c r="H728" s="20">
        <v>49896</v>
      </c>
      <c r="I728" s="12">
        <v>45350</v>
      </c>
      <c r="J728" s="12">
        <v>45440</v>
      </c>
      <c r="K728" s="25">
        <v>45603</v>
      </c>
      <c r="L728" s="23">
        <v>4293</v>
      </c>
      <c r="M728" s="11"/>
      <c r="N728" s="7" t="str">
        <f ca="1">_xlfn.IFNA(VLOOKUP("2"&amp;B728,CountSpecific!E:F,2,0),"")</f>
        <v/>
      </c>
      <c r="O728" s="14" t="str">
        <f ca="1">_xlfn.IFNA(VLOOKUP("3"&amp;B728,CountSpecific!E:F,2,0),"")</f>
        <v/>
      </c>
      <c r="P728" s="7" t="str">
        <f ca="1">_xlfn.IFNA(VLOOKUP("4"&amp;B728,CountSpecific!E:F,2,0),"")</f>
        <v/>
      </c>
    </row>
    <row r="729" spans="1:16" customFormat="1" x14ac:dyDescent="0.25">
      <c r="A729" s="7">
        <v>728</v>
      </c>
      <c r="B729" s="11" t="s">
        <v>744</v>
      </c>
      <c r="C729" s="7" t="s">
        <v>1039</v>
      </c>
      <c r="D729" s="7">
        <v>728</v>
      </c>
      <c r="E729" s="7">
        <v>728</v>
      </c>
      <c r="F729" s="7">
        <v>728</v>
      </c>
      <c r="G729" s="11" t="s">
        <v>1024</v>
      </c>
      <c r="H729" s="20">
        <v>512353</v>
      </c>
      <c r="I729" s="12">
        <v>44715</v>
      </c>
      <c r="J729" s="12">
        <v>45080</v>
      </c>
      <c r="K729" s="25">
        <v>151851</v>
      </c>
      <c r="L729" s="23">
        <v>360502</v>
      </c>
      <c r="M729" s="11"/>
      <c r="N729" s="7" t="str">
        <f ca="1">_xlfn.IFNA(VLOOKUP("2"&amp;B729,CountSpecific!E:F,2,0),"")</f>
        <v/>
      </c>
      <c r="O729" s="14" t="str">
        <f ca="1">_xlfn.IFNA(VLOOKUP("3"&amp;B729,CountSpecific!E:F,2,0),"")</f>
        <v/>
      </c>
      <c r="P729" s="7" t="str">
        <f ca="1">_xlfn.IFNA(VLOOKUP("4"&amp;B729,CountSpecific!E:F,2,0),"")</f>
        <v/>
      </c>
    </row>
    <row r="730" spans="1:16" customFormat="1" x14ac:dyDescent="0.25">
      <c r="A730" s="7">
        <v>729</v>
      </c>
      <c r="B730" s="11" t="s">
        <v>745</v>
      </c>
      <c r="C730" s="7" t="s">
        <v>1039</v>
      </c>
      <c r="D730" s="7">
        <v>729</v>
      </c>
      <c r="E730" s="9">
        <v>729</v>
      </c>
      <c r="F730" s="7">
        <v>729</v>
      </c>
      <c r="G730" s="11" t="s">
        <v>1022</v>
      </c>
      <c r="H730" s="20">
        <v>8484</v>
      </c>
      <c r="I730" s="12">
        <v>45403</v>
      </c>
      <c r="J730" s="12">
        <v>46074</v>
      </c>
      <c r="K730" s="25">
        <v>1231</v>
      </c>
      <c r="L730" s="23">
        <v>7253</v>
      </c>
      <c r="M730" s="11"/>
      <c r="N730" s="7" t="str">
        <f ca="1">_xlfn.IFNA(VLOOKUP("2"&amp;B730,CountSpecific!E:F,2,0),"")</f>
        <v/>
      </c>
      <c r="O730" s="14" t="str">
        <f ca="1">_xlfn.IFNA(VLOOKUP("3"&amp;B730,CountSpecific!E:F,2,0),"")</f>
        <v/>
      </c>
      <c r="P730" s="7" t="str">
        <f ca="1">_xlfn.IFNA(VLOOKUP("4"&amp;B730,CountSpecific!E:F,2,0),"")</f>
        <v/>
      </c>
    </row>
    <row r="731" spans="1:16" customFormat="1" x14ac:dyDescent="0.25">
      <c r="A731" s="7">
        <v>730</v>
      </c>
      <c r="B731" s="11" t="s">
        <v>746</v>
      </c>
      <c r="C731" s="7" t="s">
        <v>1039</v>
      </c>
      <c r="D731" s="7">
        <v>730</v>
      </c>
      <c r="E731" s="7">
        <v>730</v>
      </c>
      <c r="F731" s="7">
        <v>730</v>
      </c>
      <c r="G731" s="11" t="s">
        <v>1024</v>
      </c>
      <c r="H731" s="20">
        <v>330999</v>
      </c>
      <c r="I731" s="12">
        <v>44461</v>
      </c>
      <c r="J731" s="12">
        <v>44522</v>
      </c>
      <c r="K731" s="25">
        <v>34572</v>
      </c>
      <c r="L731" s="23">
        <v>296427</v>
      </c>
      <c r="M731" s="11"/>
      <c r="N731" s="7" t="str">
        <f ca="1">_xlfn.IFNA(VLOOKUP("2"&amp;B731,CountSpecific!E:F,2,0),"")</f>
        <v/>
      </c>
      <c r="O731" s="14" t="str">
        <f ca="1">_xlfn.IFNA(VLOOKUP("3"&amp;B731,CountSpecific!E:F,2,0),"")</f>
        <v/>
      </c>
      <c r="P731" s="7" t="str">
        <f ca="1">_xlfn.IFNA(VLOOKUP("4"&amp;B731,CountSpecific!E:F,2,0),"")</f>
        <v/>
      </c>
    </row>
    <row r="732" spans="1:16" customFormat="1" x14ac:dyDescent="0.25">
      <c r="A732" s="7">
        <v>731</v>
      </c>
      <c r="B732" s="11" t="s">
        <v>747</v>
      </c>
      <c r="C732" s="7" t="s">
        <v>1039</v>
      </c>
      <c r="D732" s="7">
        <v>731</v>
      </c>
      <c r="E732" s="7">
        <v>731</v>
      </c>
      <c r="F732" s="7">
        <v>731</v>
      </c>
      <c r="G732" s="11" t="s">
        <v>1016</v>
      </c>
      <c r="H732" s="20">
        <v>4458</v>
      </c>
      <c r="I732" s="12">
        <v>44536</v>
      </c>
      <c r="J732" s="12">
        <v>45236</v>
      </c>
      <c r="K732" s="25">
        <v>2789</v>
      </c>
      <c r="L732" s="23">
        <v>1669</v>
      </c>
      <c r="M732" s="11"/>
      <c r="N732" s="7" t="str">
        <f ca="1">_xlfn.IFNA(VLOOKUP("2"&amp;B732,CountSpecific!E:F,2,0),"")</f>
        <v/>
      </c>
      <c r="O732" s="14" t="str">
        <f ca="1">_xlfn.IFNA(VLOOKUP("3"&amp;B732,CountSpecific!E:F,2,0),"")</f>
        <v/>
      </c>
      <c r="P732" s="7" t="str">
        <f ca="1">_xlfn.IFNA(VLOOKUP("4"&amp;B732,CountSpecific!E:F,2,0),"")</f>
        <v/>
      </c>
    </row>
    <row r="733" spans="1:16" customFormat="1" x14ac:dyDescent="0.25">
      <c r="A733" s="7">
        <v>732</v>
      </c>
      <c r="B733" s="11" t="s">
        <v>748</v>
      </c>
      <c r="C733" s="7" t="s">
        <v>1039</v>
      </c>
      <c r="D733" s="7">
        <v>732</v>
      </c>
      <c r="E733" s="9">
        <v>732</v>
      </c>
      <c r="F733" s="7">
        <v>732</v>
      </c>
      <c r="G733" s="11" t="s">
        <v>1016</v>
      </c>
      <c r="H733" s="20">
        <v>11893</v>
      </c>
      <c r="I733" s="12">
        <v>44501</v>
      </c>
      <c r="J733" s="12">
        <v>44621</v>
      </c>
      <c r="K733" s="25">
        <v>7172</v>
      </c>
      <c r="L733" s="23">
        <v>4721</v>
      </c>
      <c r="M733" s="11"/>
      <c r="N733" s="7" t="str">
        <f ca="1">_xlfn.IFNA(VLOOKUP("2"&amp;B733,CountSpecific!E:F,2,0),"")</f>
        <v/>
      </c>
      <c r="O733" s="14" t="str">
        <f ca="1">_xlfn.IFNA(VLOOKUP("3"&amp;B733,CountSpecific!E:F,2,0),"")</f>
        <v/>
      </c>
      <c r="P733" s="7" t="str">
        <f ca="1">_xlfn.IFNA(VLOOKUP("4"&amp;B733,CountSpecific!E:F,2,0),"")</f>
        <v/>
      </c>
    </row>
    <row r="734" spans="1:16" customFormat="1" x14ac:dyDescent="0.25">
      <c r="A734" s="7">
        <v>733</v>
      </c>
      <c r="B734" s="11" t="s">
        <v>749</v>
      </c>
      <c r="C734" s="7" t="s">
        <v>1039</v>
      </c>
      <c r="D734" s="7">
        <v>733</v>
      </c>
      <c r="E734" s="7">
        <v>733</v>
      </c>
      <c r="F734" s="7">
        <v>733</v>
      </c>
      <c r="G734" s="11" t="s">
        <v>1021</v>
      </c>
      <c r="H734" s="20">
        <v>92516</v>
      </c>
      <c r="I734" s="12">
        <v>45635</v>
      </c>
      <c r="J734" s="12">
        <v>46031</v>
      </c>
      <c r="K734" s="25">
        <v>18342</v>
      </c>
      <c r="L734" s="23">
        <v>74174</v>
      </c>
      <c r="M734" s="11"/>
      <c r="N734" s="7" t="str">
        <f ca="1">_xlfn.IFNA(VLOOKUP("2"&amp;B734,CountSpecific!E:F,2,0),"")</f>
        <v/>
      </c>
      <c r="O734" s="14" t="str">
        <f ca="1">_xlfn.IFNA(VLOOKUP("3"&amp;B734,CountSpecific!E:F,2,0),"")</f>
        <v/>
      </c>
      <c r="P734" s="7" t="str">
        <f ca="1">_xlfn.IFNA(VLOOKUP("4"&amp;B734,CountSpecific!E:F,2,0),"")</f>
        <v/>
      </c>
    </row>
    <row r="735" spans="1:16" customFormat="1" x14ac:dyDescent="0.25">
      <c r="A735" s="7">
        <v>734</v>
      </c>
      <c r="B735" s="11" t="s">
        <v>750</v>
      </c>
      <c r="C735" s="7" t="s">
        <v>1039</v>
      </c>
      <c r="D735" s="7">
        <v>734</v>
      </c>
      <c r="E735" s="7">
        <v>734</v>
      </c>
      <c r="F735" s="7">
        <v>734</v>
      </c>
      <c r="G735" s="11" t="s">
        <v>1016</v>
      </c>
      <c r="H735" s="20">
        <v>6601</v>
      </c>
      <c r="I735" s="12">
        <v>45611</v>
      </c>
      <c r="J735" s="12">
        <v>46096</v>
      </c>
      <c r="K735" s="25">
        <v>34</v>
      </c>
      <c r="L735" s="23">
        <v>6567</v>
      </c>
      <c r="M735" s="11"/>
      <c r="N735" s="7" t="str">
        <f ca="1">_xlfn.IFNA(VLOOKUP("2"&amp;B735,CountSpecific!E:F,2,0),"")</f>
        <v/>
      </c>
      <c r="O735" s="14" t="str">
        <f ca="1">_xlfn.IFNA(VLOOKUP("3"&amp;B735,CountSpecific!E:F,2,0),"")</f>
        <v/>
      </c>
      <c r="P735" s="7" t="str">
        <f ca="1">_xlfn.IFNA(VLOOKUP("4"&amp;B735,CountSpecific!E:F,2,0),"")</f>
        <v/>
      </c>
    </row>
    <row r="736" spans="1:16" customFormat="1" x14ac:dyDescent="0.25">
      <c r="A736" s="7">
        <v>735</v>
      </c>
      <c r="B736" s="11" t="s">
        <v>751</v>
      </c>
      <c r="C736" s="7" t="s">
        <v>1039</v>
      </c>
      <c r="D736" s="7">
        <v>735</v>
      </c>
      <c r="E736" s="9">
        <v>735</v>
      </c>
      <c r="F736" s="7">
        <v>735</v>
      </c>
      <c r="G736" s="11" t="s">
        <v>1020</v>
      </c>
      <c r="H736" s="20">
        <v>462813</v>
      </c>
      <c r="I736" s="12">
        <v>44461</v>
      </c>
      <c r="J736" s="12">
        <v>45007</v>
      </c>
      <c r="K736" s="25">
        <v>178394</v>
      </c>
      <c r="L736" s="23">
        <v>284419</v>
      </c>
      <c r="M736" s="11"/>
      <c r="N736" s="7" t="str">
        <f ca="1">_xlfn.IFNA(VLOOKUP("2"&amp;B736,CountSpecific!E:F,2,0),"")</f>
        <v/>
      </c>
      <c r="O736" s="14" t="str">
        <f ca="1">_xlfn.IFNA(VLOOKUP("3"&amp;B736,CountSpecific!E:F,2,0),"")</f>
        <v/>
      </c>
      <c r="P736" s="7" t="str">
        <f ca="1">_xlfn.IFNA(VLOOKUP("4"&amp;B736,CountSpecific!E:F,2,0),"")</f>
        <v/>
      </c>
    </row>
    <row r="737" spans="1:16" customFormat="1" x14ac:dyDescent="0.25">
      <c r="A737" s="7">
        <v>736</v>
      </c>
      <c r="B737" s="11" t="s">
        <v>752</v>
      </c>
      <c r="C737" s="7" t="s">
        <v>1039</v>
      </c>
      <c r="D737" s="7">
        <v>736</v>
      </c>
      <c r="E737" s="7">
        <v>736</v>
      </c>
      <c r="F737" s="7">
        <v>736</v>
      </c>
      <c r="G737" s="11" t="s">
        <v>1024</v>
      </c>
      <c r="H737" s="20">
        <v>675983</v>
      </c>
      <c r="I737" s="12">
        <v>44054</v>
      </c>
      <c r="J737" s="12">
        <v>44511</v>
      </c>
      <c r="K737" s="25">
        <v>413396</v>
      </c>
      <c r="L737" s="23">
        <v>262587</v>
      </c>
      <c r="M737" s="11"/>
      <c r="N737" s="7" t="str">
        <f ca="1">_xlfn.IFNA(VLOOKUP("2"&amp;B737,CountSpecific!E:F,2,0),"")</f>
        <v/>
      </c>
      <c r="O737" s="14" t="str">
        <f ca="1">_xlfn.IFNA(VLOOKUP("3"&amp;B737,CountSpecific!E:F,2,0),"")</f>
        <v/>
      </c>
      <c r="P737" s="7" t="str">
        <f ca="1">_xlfn.IFNA(VLOOKUP("4"&amp;B737,CountSpecific!E:F,2,0),"")</f>
        <v/>
      </c>
    </row>
    <row r="738" spans="1:16" customFormat="1" x14ac:dyDescent="0.25">
      <c r="A738" s="7">
        <v>737</v>
      </c>
      <c r="B738" s="11" t="s">
        <v>753</v>
      </c>
      <c r="C738" s="7" t="s">
        <v>1039</v>
      </c>
      <c r="D738" s="7">
        <v>737</v>
      </c>
      <c r="E738" s="7">
        <v>737</v>
      </c>
      <c r="F738" s="7">
        <v>737</v>
      </c>
      <c r="G738" s="11" t="s">
        <v>1026</v>
      </c>
      <c r="H738" s="20">
        <v>3614953</v>
      </c>
      <c r="I738" s="12">
        <v>45199</v>
      </c>
      <c r="J738" s="12">
        <v>45290</v>
      </c>
      <c r="K738" s="25">
        <v>2122525</v>
      </c>
      <c r="L738" s="23">
        <v>1492428</v>
      </c>
      <c r="M738" s="11"/>
      <c r="N738" s="7" t="str">
        <f ca="1">_xlfn.IFNA(VLOOKUP("2"&amp;B738,CountSpecific!E:F,2,0),"")</f>
        <v/>
      </c>
      <c r="O738" s="14" t="str">
        <f ca="1">_xlfn.IFNA(VLOOKUP("3"&amp;B738,CountSpecific!E:F,2,0),"")</f>
        <v/>
      </c>
      <c r="P738" s="7" t="str">
        <f ca="1">_xlfn.IFNA(VLOOKUP("4"&amp;B738,CountSpecific!E:F,2,0),"")</f>
        <v/>
      </c>
    </row>
    <row r="739" spans="1:16" customFormat="1" x14ac:dyDescent="0.25">
      <c r="A739" s="7">
        <v>738</v>
      </c>
      <c r="B739" s="11" t="s">
        <v>754</v>
      </c>
      <c r="C739" s="7" t="s">
        <v>1039</v>
      </c>
      <c r="D739" s="7">
        <v>738</v>
      </c>
      <c r="E739" s="9">
        <v>738</v>
      </c>
      <c r="F739" s="7">
        <v>738</v>
      </c>
      <c r="G739" s="11" t="s">
        <v>1016</v>
      </c>
      <c r="H739" s="20">
        <v>39221</v>
      </c>
      <c r="I739" s="12">
        <v>45206</v>
      </c>
      <c r="J739" s="12">
        <v>45937</v>
      </c>
      <c r="K739" s="25">
        <v>28420</v>
      </c>
      <c r="L739" s="23">
        <v>10801</v>
      </c>
      <c r="M739" s="11"/>
      <c r="N739" s="7" t="str">
        <f ca="1">_xlfn.IFNA(VLOOKUP("2"&amp;B739,CountSpecific!E:F,2,0),"")</f>
        <v/>
      </c>
      <c r="O739" s="14" t="str">
        <f ca="1">_xlfn.IFNA(VLOOKUP("3"&amp;B739,CountSpecific!E:F,2,0),"")</f>
        <v/>
      </c>
      <c r="P739" s="7" t="str">
        <f ca="1">_xlfn.IFNA(VLOOKUP("4"&amp;B739,CountSpecific!E:F,2,0),"")</f>
        <v/>
      </c>
    </row>
    <row r="740" spans="1:16" customFormat="1" x14ac:dyDescent="0.25">
      <c r="A740" s="7">
        <v>739</v>
      </c>
      <c r="B740" s="11" t="s">
        <v>755</v>
      </c>
      <c r="C740" s="7" t="s">
        <v>1039</v>
      </c>
      <c r="D740" s="7">
        <v>739</v>
      </c>
      <c r="E740" s="7">
        <v>739</v>
      </c>
      <c r="F740" s="7">
        <v>739</v>
      </c>
      <c r="G740" s="11" t="s">
        <v>1024</v>
      </c>
      <c r="H740" s="20">
        <v>923910</v>
      </c>
      <c r="I740" s="12">
        <v>44851</v>
      </c>
      <c r="J740" s="12">
        <v>44882</v>
      </c>
      <c r="K740" s="25">
        <v>263823</v>
      </c>
      <c r="L740" s="23">
        <v>660087</v>
      </c>
      <c r="M740" s="11"/>
      <c r="N740" s="7" t="str">
        <f ca="1">_xlfn.IFNA(VLOOKUP("2"&amp;B740,CountSpecific!E:F,2,0),"")</f>
        <v/>
      </c>
      <c r="O740" s="14" t="str">
        <f ca="1">_xlfn.IFNA(VLOOKUP("3"&amp;B740,CountSpecific!E:F,2,0),"")</f>
        <v/>
      </c>
      <c r="P740" s="7" t="str">
        <f ca="1">_xlfn.IFNA(VLOOKUP("4"&amp;B740,CountSpecific!E:F,2,0),"")</f>
        <v/>
      </c>
    </row>
    <row r="741" spans="1:16" customFormat="1" x14ac:dyDescent="0.25">
      <c r="A741" s="7">
        <v>740</v>
      </c>
      <c r="B741" s="11" t="s">
        <v>756</v>
      </c>
      <c r="C741" s="7" t="s">
        <v>1039</v>
      </c>
      <c r="D741" s="7">
        <v>740</v>
      </c>
      <c r="E741" s="7">
        <v>740</v>
      </c>
      <c r="F741" s="7">
        <v>740</v>
      </c>
      <c r="G741" s="11" t="s">
        <v>1024</v>
      </c>
      <c r="H741" s="20">
        <v>760427</v>
      </c>
      <c r="I741" s="12">
        <v>43919</v>
      </c>
      <c r="J741" s="12">
        <v>44284</v>
      </c>
      <c r="K741" s="25">
        <v>13056</v>
      </c>
      <c r="L741" s="23">
        <v>747371</v>
      </c>
      <c r="M741" s="11"/>
      <c r="N741" s="7" t="str">
        <f ca="1">_xlfn.IFNA(VLOOKUP("2"&amp;B741,CountSpecific!E:F,2,0),"")</f>
        <v/>
      </c>
      <c r="O741" s="14" t="str">
        <f ca="1">_xlfn.IFNA(VLOOKUP("3"&amp;B741,CountSpecific!E:F,2,0),"")</f>
        <v/>
      </c>
      <c r="P741" s="7" t="str">
        <f ca="1">_xlfn.IFNA(VLOOKUP("4"&amp;B741,CountSpecific!E:F,2,0),"")</f>
        <v/>
      </c>
    </row>
    <row r="742" spans="1:16" customFormat="1" x14ac:dyDescent="0.25">
      <c r="A742" s="7">
        <v>741</v>
      </c>
      <c r="B742" s="11" t="s">
        <v>757</v>
      </c>
      <c r="C742" s="7" t="s">
        <v>1039</v>
      </c>
      <c r="D742" s="7">
        <v>741</v>
      </c>
      <c r="E742" s="9">
        <v>741</v>
      </c>
      <c r="F742" s="7">
        <v>741</v>
      </c>
      <c r="G742" s="11" t="s">
        <v>1025</v>
      </c>
      <c r="H742" s="20">
        <v>283370</v>
      </c>
      <c r="I742" s="12">
        <v>44022</v>
      </c>
      <c r="J742" s="12">
        <v>44053</v>
      </c>
      <c r="K742" s="25">
        <v>189182</v>
      </c>
      <c r="L742" s="23">
        <v>94188</v>
      </c>
      <c r="M742" s="11"/>
      <c r="N742" s="7" t="str">
        <f ca="1">_xlfn.IFNA(VLOOKUP("2"&amp;B742,CountSpecific!E:F,2,0),"")</f>
        <v/>
      </c>
      <c r="O742" s="14" t="str">
        <f ca="1">_xlfn.IFNA(VLOOKUP("3"&amp;B742,CountSpecific!E:F,2,0),"")</f>
        <v/>
      </c>
      <c r="P742" s="7" t="str">
        <f ca="1">_xlfn.IFNA(VLOOKUP("4"&amp;B742,CountSpecific!E:F,2,0),"")</f>
        <v/>
      </c>
    </row>
    <row r="743" spans="1:16" customFormat="1" x14ac:dyDescent="0.25">
      <c r="A743" s="7">
        <v>742</v>
      </c>
      <c r="B743" s="11" t="s">
        <v>758</v>
      </c>
      <c r="C743" s="7" t="s">
        <v>1039</v>
      </c>
      <c r="D743" s="7">
        <v>742</v>
      </c>
      <c r="E743" s="7">
        <v>742</v>
      </c>
      <c r="F743" s="7">
        <v>742</v>
      </c>
      <c r="G743" s="11" t="s">
        <v>1016</v>
      </c>
      <c r="H743" s="20">
        <v>35634</v>
      </c>
      <c r="I743" s="12">
        <v>44670</v>
      </c>
      <c r="J743" s="12">
        <v>44761</v>
      </c>
      <c r="K743" s="25">
        <v>12139</v>
      </c>
      <c r="L743" s="23">
        <v>23495</v>
      </c>
      <c r="M743" s="11"/>
      <c r="N743" s="7" t="str">
        <f ca="1">_xlfn.IFNA(VLOOKUP("2"&amp;B743,CountSpecific!E:F,2,0),"")</f>
        <v/>
      </c>
      <c r="O743" s="14" t="str">
        <f ca="1">_xlfn.IFNA(VLOOKUP("3"&amp;B743,CountSpecific!E:F,2,0),"")</f>
        <v/>
      </c>
      <c r="P743" s="7" t="str">
        <f ca="1">_xlfn.IFNA(VLOOKUP("4"&amp;B743,CountSpecific!E:F,2,0),"")</f>
        <v/>
      </c>
    </row>
    <row r="744" spans="1:16" customFormat="1" x14ac:dyDescent="0.25">
      <c r="A744" s="7">
        <v>743</v>
      </c>
      <c r="B744" s="11" t="s">
        <v>759</v>
      </c>
      <c r="C744" s="7" t="s">
        <v>1039</v>
      </c>
      <c r="D744" s="7">
        <v>743</v>
      </c>
      <c r="E744" s="7">
        <v>743</v>
      </c>
      <c r="F744" s="7">
        <v>743</v>
      </c>
      <c r="G744" s="11" t="s">
        <v>1023</v>
      </c>
      <c r="H744" s="20">
        <v>1229</v>
      </c>
      <c r="I744" s="12">
        <v>44867</v>
      </c>
      <c r="J744" s="12">
        <v>44959</v>
      </c>
      <c r="K744" s="25">
        <v>160</v>
      </c>
      <c r="L744" s="23">
        <v>1069</v>
      </c>
      <c r="M744" s="11"/>
      <c r="N744" s="7" t="str">
        <f ca="1">_xlfn.IFNA(VLOOKUP("2"&amp;B744,CountSpecific!E:F,2,0),"")</f>
        <v/>
      </c>
      <c r="O744" s="14" t="str">
        <f ca="1">_xlfn.IFNA(VLOOKUP("3"&amp;B744,CountSpecific!E:F,2,0),"")</f>
        <v/>
      </c>
      <c r="P744" s="7" t="str">
        <f ca="1">_xlfn.IFNA(VLOOKUP("4"&amp;B744,CountSpecific!E:F,2,0),"")</f>
        <v/>
      </c>
    </row>
    <row r="745" spans="1:16" customFormat="1" x14ac:dyDescent="0.25">
      <c r="A745" s="7">
        <v>744</v>
      </c>
      <c r="B745" s="11" t="s">
        <v>760</v>
      </c>
      <c r="C745" s="7" t="s">
        <v>1039</v>
      </c>
      <c r="D745" s="7">
        <v>744</v>
      </c>
      <c r="E745" s="9">
        <v>744</v>
      </c>
      <c r="F745" s="7">
        <v>744</v>
      </c>
      <c r="G745" s="11" t="s">
        <v>1024</v>
      </c>
      <c r="H745" s="20">
        <v>412605</v>
      </c>
      <c r="I745" s="12">
        <v>45650</v>
      </c>
      <c r="J745" s="12">
        <v>46077</v>
      </c>
      <c r="K745" s="25">
        <v>25211</v>
      </c>
      <c r="L745" s="23">
        <v>387394</v>
      </c>
      <c r="M745" s="11"/>
      <c r="N745" s="7" t="str">
        <f ca="1">_xlfn.IFNA(VLOOKUP("2"&amp;B745,CountSpecific!E:F,2,0),"")</f>
        <v/>
      </c>
      <c r="O745" s="14" t="str">
        <f ca="1">_xlfn.IFNA(VLOOKUP("3"&amp;B745,CountSpecific!E:F,2,0),"")</f>
        <v/>
      </c>
      <c r="P745" s="7" t="str">
        <f ca="1">_xlfn.IFNA(VLOOKUP("4"&amp;B745,CountSpecific!E:F,2,0),"")</f>
        <v/>
      </c>
    </row>
    <row r="746" spans="1:16" customFormat="1" x14ac:dyDescent="0.25">
      <c r="A746" s="7">
        <v>745</v>
      </c>
      <c r="B746" s="11" t="s">
        <v>761</v>
      </c>
      <c r="C746" s="7" t="s">
        <v>1039</v>
      </c>
      <c r="D746" s="7">
        <v>745</v>
      </c>
      <c r="E746" s="7">
        <v>745</v>
      </c>
      <c r="F746" s="7">
        <v>745</v>
      </c>
      <c r="G746" s="11" t="s">
        <v>1026</v>
      </c>
      <c r="H746" s="20">
        <v>1048987</v>
      </c>
      <c r="I746" s="12">
        <v>45588</v>
      </c>
      <c r="J746" s="12">
        <v>45861</v>
      </c>
      <c r="K746" s="25">
        <v>431746</v>
      </c>
      <c r="L746" s="23">
        <v>617241</v>
      </c>
      <c r="M746" s="11"/>
      <c r="N746" s="7" t="str">
        <f ca="1">_xlfn.IFNA(VLOOKUP("2"&amp;B746,CountSpecific!E:F,2,0),"")</f>
        <v/>
      </c>
      <c r="O746" s="14" t="str">
        <f ca="1">_xlfn.IFNA(VLOOKUP("3"&amp;B746,CountSpecific!E:F,2,0),"")</f>
        <v/>
      </c>
      <c r="P746" s="7" t="str">
        <f ca="1">_xlfn.IFNA(VLOOKUP("4"&amp;B746,CountSpecific!E:F,2,0),"")</f>
        <v/>
      </c>
    </row>
    <row r="747" spans="1:16" customFormat="1" x14ac:dyDescent="0.25">
      <c r="A747" s="7">
        <v>746</v>
      </c>
      <c r="B747" s="11" t="s">
        <v>762</v>
      </c>
      <c r="C747" s="7" t="s">
        <v>1039</v>
      </c>
      <c r="D747" s="7">
        <v>746</v>
      </c>
      <c r="E747" s="7">
        <v>746</v>
      </c>
      <c r="F747" s="7">
        <v>746</v>
      </c>
      <c r="G747" s="11" t="s">
        <v>1026</v>
      </c>
      <c r="H747" s="20">
        <v>1468854</v>
      </c>
      <c r="I747" s="12">
        <v>45354</v>
      </c>
      <c r="J747" s="12">
        <v>45660</v>
      </c>
      <c r="K747" s="25">
        <v>684802</v>
      </c>
      <c r="L747" s="23">
        <v>784052</v>
      </c>
      <c r="M747" s="11"/>
      <c r="N747" s="7" t="str">
        <f ca="1">_xlfn.IFNA(VLOOKUP("2"&amp;B747,CountSpecific!E:F,2,0),"")</f>
        <v/>
      </c>
      <c r="O747" s="14" t="str">
        <f ca="1">_xlfn.IFNA(VLOOKUP("3"&amp;B747,CountSpecific!E:F,2,0),"")</f>
        <v/>
      </c>
      <c r="P747" s="7" t="str">
        <f ca="1">_xlfn.IFNA(VLOOKUP("4"&amp;B747,CountSpecific!E:F,2,0),"")</f>
        <v/>
      </c>
    </row>
    <row r="748" spans="1:16" customFormat="1" x14ac:dyDescent="0.25">
      <c r="A748" s="7">
        <v>747</v>
      </c>
      <c r="B748" s="11" t="s">
        <v>763</v>
      </c>
      <c r="C748" s="7" t="s">
        <v>1039</v>
      </c>
      <c r="D748" s="7">
        <v>747</v>
      </c>
      <c r="E748" s="9">
        <v>747</v>
      </c>
      <c r="F748" s="7">
        <v>747</v>
      </c>
      <c r="G748" s="11" t="s">
        <v>1020</v>
      </c>
      <c r="H748" s="20">
        <v>9223</v>
      </c>
      <c r="I748" s="12">
        <v>45076</v>
      </c>
      <c r="J748" s="12">
        <v>45381</v>
      </c>
      <c r="K748" s="25">
        <v>7156</v>
      </c>
      <c r="L748" s="23">
        <v>2067</v>
      </c>
      <c r="M748" s="11"/>
      <c r="N748" s="7" t="str">
        <f ca="1">_xlfn.IFNA(VLOOKUP("2"&amp;B748,CountSpecific!E:F,2,0),"")</f>
        <v/>
      </c>
      <c r="O748" s="14" t="str">
        <f ca="1">_xlfn.IFNA(VLOOKUP("3"&amp;B748,CountSpecific!E:F,2,0),"")</f>
        <v/>
      </c>
      <c r="P748" s="7" t="str">
        <f ca="1">_xlfn.IFNA(VLOOKUP("4"&amp;B748,CountSpecific!E:F,2,0),"")</f>
        <v/>
      </c>
    </row>
    <row r="749" spans="1:16" customFormat="1" x14ac:dyDescent="0.25">
      <c r="A749" s="7">
        <v>748</v>
      </c>
      <c r="B749" s="11" t="s">
        <v>764</v>
      </c>
      <c r="C749" s="7" t="s">
        <v>1039</v>
      </c>
      <c r="D749" s="7">
        <v>748</v>
      </c>
      <c r="E749" s="7">
        <v>748</v>
      </c>
      <c r="F749" s="7">
        <v>748</v>
      </c>
      <c r="G749" s="11" t="s">
        <v>1022</v>
      </c>
      <c r="H749" s="20">
        <v>5314</v>
      </c>
      <c r="I749" s="12">
        <v>45612</v>
      </c>
      <c r="J749" s="12">
        <v>46219</v>
      </c>
      <c r="K749" s="25">
        <v>4047</v>
      </c>
      <c r="L749" s="23">
        <v>1267</v>
      </c>
      <c r="M749" s="11"/>
      <c r="N749" s="7" t="str">
        <f ca="1">_xlfn.IFNA(VLOOKUP("2"&amp;B749,CountSpecific!E:F,2,0),"")</f>
        <v/>
      </c>
      <c r="O749" s="14" t="str">
        <f ca="1">_xlfn.IFNA(VLOOKUP("3"&amp;B749,CountSpecific!E:F,2,0),"")</f>
        <v/>
      </c>
      <c r="P749" s="7" t="str">
        <f ca="1">_xlfn.IFNA(VLOOKUP("4"&amp;B749,CountSpecific!E:F,2,0),"")</f>
        <v/>
      </c>
    </row>
    <row r="750" spans="1:16" customFormat="1" x14ac:dyDescent="0.25">
      <c r="A750" s="7">
        <v>749</v>
      </c>
      <c r="B750" s="11" t="s">
        <v>765</v>
      </c>
      <c r="C750" s="7" t="s">
        <v>1039</v>
      </c>
      <c r="D750" s="7">
        <v>749</v>
      </c>
      <c r="E750" s="7">
        <v>749</v>
      </c>
      <c r="F750" s="7">
        <v>749</v>
      </c>
      <c r="G750" s="11" t="s">
        <v>1016</v>
      </c>
      <c r="H750" s="20">
        <v>14613</v>
      </c>
      <c r="I750" s="12">
        <v>44663</v>
      </c>
      <c r="J750" s="12">
        <v>44724</v>
      </c>
      <c r="K750" s="25">
        <v>10723</v>
      </c>
      <c r="L750" s="23">
        <v>3890</v>
      </c>
      <c r="M750" s="11"/>
      <c r="N750" s="7" t="str">
        <f ca="1">_xlfn.IFNA(VLOOKUP("2"&amp;B750,CountSpecific!E:F,2,0),"")</f>
        <v/>
      </c>
      <c r="O750" s="14" t="str">
        <f ca="1">_xlfn.IFNA(VLOOKUP("3"&amp;B750,CountSpecific!E:F,2,0),"")</f>
        <v/>
      </c>
      <c r="P750" s="7" t="str">
        <f ca="1">_xlfn.IFNA(VLOOKUP("4"&amp;B750,CountSpecific!E:F,2,0),"")</f>
        <v/>
      </c>
    </row>
    <row r="751" spans="1:16" customFormat="1" x14ac:dyDescent="0.25">
      <c r="A751" s="7">
        <v>750</v>
      </c>
      <c r="B751" s="11" t="s">
        <v>766</v>
      </c>
      <c r="C751" s="7" t="s">
        <v>1039</v>
      </c>
      <c r="D751" s="7">
        <v>750</v>
      </c>
      <c r="E751" s="9">
        <v>750</v>
      </c>
      <c r="F751" s="7">
        <v>750</v>
      </c>
      <c r="G751" s="11" t="s">
        <v>1026</v>
      </c>
      <c r="H751" s="20">
        <v>573339</v>
      </c>
      <c r="I751" s="12">
        <v>44557</v>
      </c>
      <c r="J751" s="12">
        <v>44708</v>
      </c>
      <c r="K751" s="25">
        <v>129318</v>
      </c>
      <c r="L751" s="23">
        <v>444021</v>
      </c>
      <c r="M751" s="11"/>
      <c r="N751" s="7" t="str">
        <f ca="1">_xlfn.IFNA(VLOOKUP("2"&amp;B751,CountSpecific!E:F,2,0),"")</f>
        <v/>
      </c>
      <c r="O751" s="14" t="str">
        <f ca="1">_xlfn.IFNA(VLOOKUP("3"&amp;B751,CountSpecific!E:F,2,0),"")</f>
        <v/>
      </c>
      <c r="P751" s="7" t="str">
        <f ca="1">_xlfn.IFNA(VLOOKUP("4"&amp;B751,CountSpecific!E:F,2,0),"")</f>
        <v/>
      </c>
    </row>
    <row r="752" spans="1:16" customFormat="1" x14ac:dyDescent="0.25">
      <c r="A752" s="7">
        <v>751</v>
      </c>
      <c r="B752" s="11" t="s">
        <v>767</v>
      </c>
      <c r="C752" s="7" t="s">
        <v>1039</v>
      </c>
      <c r="D752" s="7">
        <v>751</v>
      </c>
      <c r="E752" s="7">
        <v>751</v>
      </c>
      <c r="F752" s="7">
        <v>751</v>
      </c>
      <c r="G752" s="11" t="s">
        <v>1025</v>
      </c>
      <c r="H752" s="20">
        <v>223611</v>
      </c>
      <c r="I752" s="12">
        <v>45299</v>
      </c>
      <c r="J752" s="12">
        <v>45846</v>
      </c>
      <c r="K752" s="25">
        <v>122837</v>
      </c>
      <c r="L752" s="23">
        <v>100774</v>
      </c>
      <c r="M752" s="11"/>
      <c r="N752" s="7" t="str">
        <f ca="1">_xlfn.IFNA(VLOOKUP("2"&amp;B752,CountSpecific!E:F,2,0),"")</f>
        <v/>
      </c>
      <c r="O752" s="14" t="str">
        <f ca="1">_xlfn.IFNA(VLOOKUP("3"&amp;B752,CountSpecific!E:F,2,0),"")</f>
        <v/>
      </c>
      <c r="P752" s="7" t="str">
        <f ca="1">_xlfn.IFNA(VLOOKUP("4"&amp;B752,CountSpecific!E:F,2,0),"")</f>
        <v/>
      </c>
    </row>
    <row r="753" spans="1:16" customFormat="1" x14ac:dyDescent="0.25">
      <c r="A753" s="7">
        <v>752</v>
      </c>
      <c r="B753" s="11" t="s">
        <v>768</v>
      </c>
      <c r="C753" s="7" t="s">
        <v>1039</v>
      </c>
      <c r="D753" s="7">
        <v>752</v>
      </c>
      <c r="E753" s="7">
        <v>752</v>
      </c>
      <c r="F753" s="7">
        <v>752</v>
      </c>
      <c r="G753" s="11" t="s">
        <v>1026</v>
      </c>
      <c r="H753" s="20">
        <v>126577</v>
      </c>
      <c r="I753" s="12">
        <v>43854</v>
      </c>
      <c r="J753" s="12">
        <v>44098</v>
      </c>
      <c r="K753" s="25">
        <v>123489</v>
      </c>
      <c r="L753" s="23">
        <v>3088</v>
      </c>
      <c r="M753" s="11"/>
      <c r="N753" s="7" t="str">
        <f ca="1">_xlfn.IFNA(VLOOKUP("2"&amp;B753,CountSpecific!E:F,2,0),"")</f>
        <v/>
      </c>
      <c r="O753" s="14" t="str">
        <f ca="1">_xlfn.IFNA(VLOOKUP("3"&amp;B753,CountSpecific!E:F,2,0),"")</f>
        <v/>
      </c>
      <c r="P753" s="7" t="str">
        <f ca="1">_xlfn.IFNA(VLOOKUP("4"&amp;B753,CountSpecific!E:F,2,0),"")</f>
        <v/>
      </c>
    </row>
    <row r="754" spans="1:16" customFormat="1" x14ac:dyDescent="0.25">
      <c r="A754" s="7">
        <v>753</v>
      </c>
      <c r="B754" s="11" t="s">
        <v>769</v>
      </c>
      <c r="C754" s="7" t="s">
        <v>1039</v>
      </c>
      <c r="D754" s="7">
        <v>753</v>
      </c>
      <c r="E754" s="9">
        <v>753</v>
      </c>
      <c r="F754" s="7">
        <v>753</v>
      </c>
      <c r="G754" s="11" t="s">
        <v>1023</v>
      </c>
      <c r="H754" s="20">
        <v>917</v>
      </c>
      <c r="I754" s="12">
        <v>45123</v>
      </c>
      <c r="J754" s="12">
        <v>45551</v>
      </c>
      <c r="K754" s="25">
        <v>512</v>
      </c>
      <c r="L754" s="23">
        <v>405</v>
      </c>
      <c r="M754" s="11"/>
      <c r="N754" s="7" t="str">
        <f ca="1">_xlfn.IFNA(VLOOKUP("2"&amp;B754,CountSpecific!E:F,2,0),"")</f>
        <v/>
      </c>
      <c r="O754" s="14" t="str">
        <f ca="1">_xlfn.IFNA(VLOOKUP("3"&amp;B754,CountSpecific!E:F,2,0),"")</f>
        <v/>
      </c>
      <c r="P754" s="7" t="str">
        <f ca="1">_xlfn.IFNA(VLOOKUP("4"&amp;B754,CountSpecific!E:F,2,0),"")</f>
        <v/>
      </c>
    </row>
    <row r="755" spans="1:16" customFormat="1" x14ac:dyDescent="0.25">
      <c r="A755" s="7">
        <v>754</v>
      </c>
      <c r="B755" s="11" t="s">
        <v>770</v>
      </c>
      <c r="C755" s="7" t="s">
        <v>1039</v>
      </c>
      <c r="D755" s="7">
        <v>754</v>
      </c>
      <c r="E755" s="7">
        <v>754</v>
      </c>
      <c r="F755" s="7">
        <v>754</v>
      </c>
      <c r="G755" s="11" t="s">
        <v>1025</v>
      </c>
      <c r="H755" s="20">
        <v>102830</v>
      </c>
      <c r="I755" s="12">
        <v>44579</v>
      </c>
      <c r="J755" s="12">
        <v>45248</v>
      </c>
      <c r="K755" s="25">
        <v>73921</v>
      </c>
      <c r="L755" s="23">
        <v>28909</v>
      </c>
      <c r="M755" s="11"/>
      <c r="N755" s="7" t="str">
        <f ca="1">_xlfn.IFNA(VLOOKUP("2"&amp;B755,CountSpecific!E:F,2,0),"")</f>
        <v/>
      </c>
      <c r="O755" s="14" t="str">
        <f ca="1">_xlfn.IFNA(VLOOKUP("3"&amp;B755,CountSpecific!E:F,2,0),"")</f>
        <v/>
      </c>
      <c r="P755" s="7" t="str">
        <f ca="1">_xlfn.IFNA(VLOOKUP("4"&amp;B755,CountSpecific!E:F,2,0),"")</f>
        <v/>
      </c>
    </row>
    <row r="756" spans="1:16" customFormat="1" x14ac:dyDescent="0.25">
      <c r="A756" s="7">
        <v>755</v>
      </c>
      <c r="B756" s="11" t="s">
        <v>771</v>
      </c>
      <c r="C756" s="7" t="s">
        <v>1039</v>
      </c>
      <c r="D756" s="7">
        <v>755</v>
      </c>
      <c r="E756" s="7">
        <v>755</v>
      </c>
      <c r="F756" s="7">
        <v>755</v>
      </c>
      <c r="G756" s="11" t="s">
        <v>1020</v>
      </c>
      <c r="H756" s="20">
        <v>250587</v>
      </c>
      <c r="I756" s="12">
        <v>45266</v>
      </c>
      <c r="J756" s="12">
        <v>45844</v>
      </c>
      <c r="K756" s="25">
        <v>58248</v>
      </c>
      <c r="L756" s="23">
        <v>192339</v>
      </c>
      <c r="M756" s="11"/>
      <c r="N756" s="7" t="str">
        <f ca="1">_xlfn.IFNA(VLOOKUP("2"&amp;B756,CountSpecific!E:F,2,0),"")</f>
        <v/>
      </c>
      <c r="O756" s="14" t="str">
        <f ca="1">_xlfn.IFNA(VLOOKUP("3"&amp;B756,CountSpecific!E:F,2,0),"")</f>
        <v/>
      </c>
      <c r="P756" s="7" t="str">
        <f ca="1">_xlfn.IFNA(VLOOKUP("4"&amp;B756,CountSpecific!E:F,2,0),"")</f>
        <v/>
      </c>
    </row>
    <row r="757" spans="1:16" customFormat="1" x14ac:dyDescent="0.25">
      <c r="A757" s="7">
        <v>756</v>
      </c>
      <c r="B757" s="11" t="s">
        <v>772</v>
      </c>
      <c r="C757" s="7" t="s">
        <v>1039</v>
      </c>
      <c r="D757" s="7">
        <v>756</v>
      </c>
      <c r="E757" s="9">
        <v>756</v>
      </c>
      <c r="F757" s="7">
        <v>756</v>
      </c>
      <c r="G757" s="11" t="s">
        <v>1025</v>
      </c>
      <c r="H757" s="20">
        <v>210519</v>
      </c>
      <c r="I757" s="12">
        <v>43889</v>
      </c>
      <c r="J757" s="12">
        <v>44314</v>
      </c>
      <c r="K757" s="25">
        <v>133207</v>
      </c>
      <c r="L757" s="23">
        <v>77312</v>
      </c>
      <c r="M757" s="11"/>
      <c r="N757" s="7" t="str">
        <f ca="1">_xlfn.IFNA(VLOOKUP("2"&amp;B757,CountSpecific!E:F,2,0),"")</f>
        <v/>
      </c>
      <c r="O757" s="14" t="str">
        <f ca="1">_xlfn.IFNA(VLOOKUP("3"&amp;B757,CountSpecific!E:F,2,0),"")</f>
        <v/>
      </c>
      <c r="P757" s="7" t="str">
        <f ca="1">_xlfn.IFNA(VLOOKUP("4"&amp;B757,CountSpecific!E:F,2,0),"")</f>
        <v/>
      </c>
    </row>
    <row r="758" spans="1:16" customFormat="1" x14ac:dyDescent="0.25">
      <c r="A758" s="7">
        <v>757</v>
      </c>
      <c r="B758" s="11" t="s">
        <v>773</v>
      </c>
      <c r="C758" s="7" t="s">
        <v>1039</v>
      </c>
      <c r="D758" s="7">
        <v>757</v>
      </c>
      <c r="E758" s="7">
        <v>757</v>
      </c>
      <c r="F758" s="7">
        <v>757</v>
      </c>
      <c r="G758" s="11" t="s">
        <v>1027</v>
      </c>
      <c r="H758" s="20">
        <v>52050</v>
      </c>
      <c r="I758" s="12">
        <v>45043</v>
      </c>
      <c r="J758" s="12">
        <v>45287</v>
      </c>
      <c r="K758" s="25">
        <v>47855</v>
      </c>
      <c r="L758" s="23">
        <v>4195</v>
      </c>
      <c r="M758" s="11"/>
      <c r="N758" s="7" t="str">
        <f ca="1">_xlfn.IFNA(VLOOKUP("2"&amp;B758,CountSpecific!E:F,2,0),"")</f>
        <v/>
      </c>
      <c r="O758" s="14" t="str">
        <f ca="1">_xlfn.IFNA(VLOOKUP("3"&amp;B758,CountSpecific!E:F,2,0),"")</f>
        <v/>
      </c>
      <c r="P758" s="7" t="str">
        <f ca="1">_xlfn.IFNA(VLOOKUP("4"&amp;B758,CountSpecific!E:F,2,0),"")</f>
        <v/>
      </c>
    </row>
    <row r="759" spans="1:16" customFormat="1" x14ac:dyDescent="0.25">
      <c r="A759" s="7">
        <v>758</v>
      </c>
      <c r="B759" s="11" t="s">
        <v>774</v>
      </c>
      <c r="C759" s="7" t="s">
        <v>1039</v>
      </c>
      <c r="D759" s="7">
        <v>758</v>
      </c>
      <c r="E759" s="7">
        <v>758</v>
      </c>
      <c r="F759" s="7">
        <v>758</v>
      </c>
      <c r="G759" s="11" t="s">
        <v>1025</v>
      </c>
      <c r="H759" s="20">
        <v>492269</v>
      </c>
      <c r="I759" s="12">
        <v>45318</v>
      </c>
      <c r="J759" s="12">
        <v>45896</v>
      </c>
      <c r="K759" s="25">
        <v>124626</v>
      </c>
      <c r="L759" s="23">
        <v>367643</v>
      </c>
      <c r="M759" s="11"/>
      <c r="N759" s="7" t="str">
        <f ca="1">_xlfn.IFNA(VLOOKUP("2"&amp;B759,CountSpecific!E:F,2,0),"")</f>
        <v/>
      </c>
      <c r="O759" s="14" t="str">
        <f ca="1">_xlfn.IFNA(VLOOKUP("3"&amp;B759,CountSpecific!E:F,2,0),"")</f>
        <v/>
      </c>
      <c r="P759" s="7" t="str">
        <f ca="1">_xlfn.IFNA(VLOOKUP("4"&amp;B759,CountSpecific!E:F,2,0),"")</f>
        <v/>
      </c>
    </row>
    <row r="760" spans="1:16" customFormat="1" x14ac:dyDescent="0.25">
      <c r="A760" s="7">
        <v>759</v>
      </c>
      <c r="B760" s="11" t="s">
        <v>775</v>
      </c>
      <c r="C760" s="7" t="s">
        <v>1039</v>
      </c>
      <c r="D760" s="7">
        <v>759</v>
      </c>
      <c r="E760" s="9">
        <v>759</v>
      </c>
      <c r="F760" s="7">
        <v>759</v>
      </c>
      <c r="G760" s="11" t="s">
        <v>1022</v>
      </c>
      <c r="H760" s="20">
        <v>22907</v>
      </c>
      <c r="I760" s="12">
        <v>44640</v>
      </c>
      <c r="J760" s="12">
        <v>44977</v>
      </c>
      <c r="K760" s="25">
        <v>22433</v>
      </c>
      <c r="L760" s="23">
        <v>474</v>
      </c>
      <c r="M760" s="11"/>
      <c r="N760" s="7" t="str">
        <f ca="1">_xlfn.IFNA(VLOOKUP("2"&amp;B760,CountSpecific!E:F,2,0),"")</f>
        <v/>
      </c>
      <c r="O760" s="14" t="str">
        <f ca="1">_xlfn.IFNA(VLOOKUP("3"&amp;B760,CountSpecific!E:F,2,0),"")</f>
        <v/>
      </c>
      <c r="P760" s="7" t="str">
        <f ca="1">_xlfn.IFNA(VLOOKUP("4"&amp;B760,CountSpecific!E:F,2,0),"")</f>
        <v/>
      </c>
    </row>
    <row r="761" spans="1:16" customFormat="1" x14ac:dyDescent="0.25">
      <c r="A761" s="7">
        <v>760</v>
      </c>
      <c r="B761" s="11" t="s">
        <v>776</v>
      </c>
      <c r="C761" s="7" t="s">
        <v>1039</v>
      </c>
      <c r="D761" s="7">
        <v>760</v>
      </c>
      <c r="E761" s="7">
        <v>760</v>
      </c>
      <c r="F761" s="7">
        <v>760</v>
      </c>
      <c r="G761" s="11" t="s">
        <v>1022</v>
      </c>
      <c r="H761" s="20">
        <v>32640</v>
      </c>
      <c r="I761" s="12">
        <v>44785</v>
      </c>
      <c r="J761" s="12">
        <v>44969</v>
      </c>
      <c r="K761" s="25">
        <v>19440</v>
      </c>
      <c r="L761" s="23">
        <v>13200</v>
      </c>
      <c r="M761" s="11"/>
      <c r="N761" s="7" t="str">
        <f ca="1">_xlfn.IFNA(VLOOKUP("2"&amp;B761,CountSpecific!E:F,2,0),"")</f>
        <v/>
      </c>
      <c r="O761" s="14" t="str">
        <f ca="1">_xlfn.IFNA(VLOOKUP("3"&amp;B761,CountSpecific!E:F,2,0),"")</f>
        <v/>
      </c>
      <c r="P761" s="7" t="str">
        <f ca="1">_xlfn.IFNA(VLOOKUP("4"&amp;B761,CountSpecific!E:F,2,0),"")</f>
        <v/>
      </c>
    </row>
    <row r="762" spans="1:16" customFormat="1" x14ac:dyDescent="0.25">
      <c r="A762" s="7">
        <v>761</v>
      </c>
      <c r="B762" s="11" t="s">
        <v>777</v>
      </c>
      <c r="C762" s="7" t="s">
        <v>1039</v>
      </c>
      <c r="D762" s="7">
        <v>761</v>
      </c>
      <c r="E762" s="7">
        <v>761</v>
      </c>
      <c r="F762" s="7">
        <v>761</v>
      </c>
      <c r="G762" s="11" t="s">
        <v>1016</v>
      </c>
      <c r="H762" s="20">
        <v>32013</v>
      </c>
      <c r="I762" s="12">
        <v>45209</v>
      </c>
      <c r="J762" s="12">
        <v>45545</v>
      </c>
      <c r="K762" s="25">
        <v>26941</v>
      </c>
      <c r="L762" s="23">
        <v>5072</v>
      </c>
      <c r="M762" s="11"/>
      <c r="N762" s="7" t="str">
        <f ca="1">_xlfn.IFNA(VLOOKUP("2"&amp;B762,CountSpecific!E:F,2,0),"")</f>
        <v/>
      </c>
      <c r="O762" s="14" t="str">
        <f ca="1">_xlfn.IFNA(VLOOKUP("3"&amp;B762,CountSpecific!E:F,2,0),"")</f>
        <v/>
      </c>
      <c r="P762" s="7" t="str">
        <f ca="1">_xlfn.IFNA(VLOOKUP("4"&amp;B762,CountSpecific!E:F,2,0),"")</f>
        <v/>
      </c>
    </row>
    <row r="763" spans="1:16" customFormat="1" x14ac:dyDescent="0.25">
      <c r="A763" s="7">
        <v>762</v>
      </c>
      <c r="B763" s="11" t="s">
        <v>778</v>
      </c>
      <c r="C763" s="7" t="s">
        <v>1039</v>
      </c>
      <c r="D763" s="7">
        <v>762</v>
      </c>
      <c r="E763" s="9">
        <v>762</v>
      </c>
      <c r="F763" s="7">
        <v>762</v>
      </c>
      <c r="G763" s="11" t="s">
        <v>1021</v>
      </c>
      <c r="H763" s="20">
        <v>91176</v>
      </c>
      <c r="I763" s="12">
        <v>44256</v>
      </c>
      <c r="J763" s="12">
        <v>44440</v>
      </c>
      <c r="K763" s="25">
        <v>90634</v>
      </c>
      <c r="L763" s="23">
        <v>542</v>
      </c>
      <c r="M763" s="11"/>
      <c r="N763" s="7" t="str">
        <f ca="1">_xlfn.IFNA(VLOOKUP("2"&amp;B763,CountSpecific!E:F,2,0),"")</f>
        <v/>
      </c>
      <c r="O763" s="14" t="str">
        <f ca="1">_xlfn.IFNA(VLOOKUP("3"&amp;B763,CountSpecific!E:F,2,0),"")</f>
        <v/>
      </c>
      <c r="P763" s="7" t="str">
        <f ca="1">_xlfn.IFNA(VLOOKUP("4"&amp;B763,CountSpecific!E:F,2,0),"")</f>
        <v/>
      </c>
    </row>
    <row r="764" spans="1:16" customFormat="1" x14ac:dyDescent="0.25">
      <c r="A764" s="7">
        <v>763</v>
      </c>
      <c r="B764" s="11" t="s">
        <v>779</v>
      </c>
      <c r="C764" s="7" t="s">
        <v>1039</v>
      </c>
      <c r="D764" s="7">
        <v>763</v>
      </c>
      <c r="E764" s="7">
        <v>763</v>
      </c>
      <c r="F764" s="7">
        <v>763</v>
      </c>
      <c r="G764" s="11" t="s">
        <v>1026</v>
      </c>
      <c r="H764" s="20">
        <v>2482924</v>
      </c>
      <c r="I764" s="12">
        <v>45299</v>
      </c>
      <c r="J764" s="12">
        <v>45665</v>
      </c>
      <c r="K764" s="25">
        <v>1233415</v>
      </c>
      <c r="L764" s="23">
        <v>1249509</v>
      </c>
      <c r="M764" s="11"/>
      <c r="N764" s="7" t="str">
        <f ca="1">_xlfn.IFNA(VLOOKUP("2"&amp;B764,CountSpecific!E:F,2,0),"")</f>
        <v/>
      </c>
      <c r="O764" s="14" t="str">
        <f ca="1">_xlfn.IFNA(VLOOKUP("3"&amp;B764,CountSpecific!E:F,2,0),"")</f>
        <v/>
      </c>
      <c r="P764" s="7" t="str">
        <f ca="1">_xlfn.IFNA(VLOOKUP("4"&amp;B764,CountSpecific!E:F,2,0),"")</f>
        <v/>
      </c>
    </row>
    <row r="765" spans="1:16" customFormat="1" x14ac:dyDescent="0.25">
      <c r="A765" s="7">
        <v>764</v>
      </c>
      <c r="B765" s="11" t="s">
        <v>780</v>
      </c>
      <c r="C765" s="7" t="s">
        <v>1039</v>
      </c>
      <c r="D765" s="7">
        <v>764</v>
      </c>
      <c r="E765" s="7">
        <v>764</v>
      </c>
      <c r="F765" s="7">
        <v>764</v>
      </c>
      <c r="G765" s="11" t="s">
        <v>1020</v>
      </c>
      <c r="H765" s="20">
        <v>117633</v>
      </c>
      <c r="I765" s="12">
        <v>44581</v>
      </c>
      <c r="J765" s="12">
        <v>45005</v>
      </c>
      <c r="K765" s="25">
        <v>106942</v>
      </c>
      <c r="L765" s="23">
        <v>10691</v>
      </c>
      <c r="M765" s="11"/>
      <c r="N765" s="7" t="str">
        <f ca="1">_xlfn.IFNA(VLOOKUP("2"&amp;B765,CountSpecific!E:F,2,0),"")</f>
        <v/>
      </c>
      <c r="O765" s="14" t="str">
        <f ca="1">_xlfn.IFNA(VLOOKUP("3"&amp;B765,CountSpecific!E:F,2,0),"")</f>
        <v/>
      </c>
      <c r="P765" s="7" t="str">
        <f ca="1">_xlfn.IFNA(VLOOKUP("4"&amp;B765,CountSpecific!E:F,2,0),"")</f>
        <v/>
      </c>
    </row>
    <row r="766" spans="1:16" customFormat="1" x14ac:dyDescent="0.25">
      <c r="A766" s="7">
        <v>765</v>
      </c>
      <c r="B766" s="11" t="s">
        <v>781</v>
      </c>
      <c r="C766" s="7" t="s">
        <v>1039</v>
      </c>
      <c r="D766" s="7">
        <v>765</v>
      </c>
      <c r="E766" s="9">
        <v>765</v>
      </c>
      <c r="F766" s="7">
        <v>765</v>
      </c>
      <c r="G766" s="11" t="s">
        <v>1027</v>
      </c>
      <c r="H766" s="20">
        <v>39737</v>
      </c>
      <c r="I766" s="12">
        <v>44948</v>
      </c>
      <c r="J766" s="12">
        <v>45221</v>
      </c>
      <c r="K766" s="25">
        <v>30613</v>
      </c>
      <c r="L766" s="23">
        <v>9124</v>
      </c>
      <c r="M766" s="11"/>
      <c r="N766" s="7" t="str">
        <f ca="1">_xlfn.IFNA(VLOOKUP("2"&amp;B766,CountSpecific!E:F,2,0),"")</f>
        <v/>
      </c>
      <c r="O766" s="14" t="str">
        <f ca="1">_xlfn.IFNA(VLOOKUP("3"&amp;B766,CountSpecific!E:F,2,0),"")</f>
        <v/>
      </c>
      <c r="P766" s="7" t="str">
        <f ca="1">_xlfn.IFNA(VLOOKUP("4"&amp;B766,CountSpecific!E:F,2,0),"")</f>
        <v/>
      </c>
    </row>
    <row r="767" spans="1:16" customFormat="1" x14ac:dyDescent="0.25">
      <c r="A767" s="7">
        <v>766</v>
      </c>
      <c r="B767" s="11" t="s">
        <v>782</v>
      </c>
      <c r="C767" s="7" t="s">
        <v>1039</v>
      </c>
      <c r="D767" s="7">
        <v>766</v>
      </c>
      <c r="E767" s="7">
        <v>766</v>
      </c>
      <c r="F767" s="7">
        <v>766</v>
      </c>
      <c r="G767" s="11" t="s">
        <v>1016</v>
      </c>
      <c r="H767" s="20">
        <v>18546</v>
      </c>
      <c r="I767" s="12">
        <v>44949</v>
      </c>
      <c r="J767" s="12">
        <v>45253</v>
      </c>
      <c r="K767" s="25">
        <v>6488</v>
      </c>
      <c r="L767" s="23">
        <v>12058</v>
      </c>
      <c r="M767" s="11"/>
      <c r="N767" s="7" t="str">
        <f ca="1">_xlfn.IFNA(VLOOKUP("2"&amp;B767,CountSpecific!E:F,2,0),"")</f>
        <v/>
      </c>
      <c r="O767" s="14" t="str">
        <f ca="1">_xlfn.IFNA(VLOOKUP("3"&amp;B767,CountSpecific!E:F,2,0),"")</f>
        <v/>
      </c>
      <c r="P767" s="7" t="str">
        <f ca="1">_xlfn.IFNA(VLOOKUP("4"&amp;B767,CountSpecific!E:F,2,0),"")</f>
        <v/>
      </c>
    </row>
    <row r="768" spans="1:16" customFormat="1" x14ac:dyDescent="0.25">
      <c r="A768" s="7">
        <v>767</v>
      </c>
      <c r="B768" s="11" t="s">
        <v>783</v>
      </c>
      <c r="C768" s="7" t="s">
        <v>1039</v>
      </c>
      <c r="D768" s="7">
        <v>767</v>
      </c>
      <c r="E768" s="7">
        <v>767</v>
      </c>
      <c r="F768" s="7">
        <v>767</v>
      </c>
      <c r="G768" s="11" t="s">
        <v>1021</v>
      </c>
      <c r="H768" s="20">
        <v>11857</v>
      </c>
      <c r="I768" s="12">
        <v>44709</v>
      </c>
      <c r="J768" s="12">
        <v>45013</v>
      </c>
      <c r="K768" s="25">
        <v>3966</v>
      </c>
      <c r="L768" s="23">
        <v>7891</v>
      </c>
      <c r="M768" s="11"/>
      <c r="N768" s="7" t="str">
        <f ca="1">_xlfn.IFNA(VLOOKUP("2"&amp;B768,CountSpecific!E:F,2,0),"")</f>
        <v/>
      </c>
      <c r="O768" s="14" t="str">
        <f ca="1">_xlfn.IFNA(VLOOKUP("3"&amp;B768,CountSpecific!E:F,2,0),"")</f>
        <v/>
      </c>
      <c r="P768" s="7" t="str">
        <f ca="1">_xlfn.IFNA(VLOOKUP("4"&amp;B768,CountSpecific!E:F,2,0),"")</f>
        <v/>
      </c>
    </row>
    <row r="769" spans="1:16" customFormat="1" x14ac:dyDescent="0.25">
      <c r="A769" s="7">
        <v>768</v>
      </c>
      <c r="B769" s="11" t="s">
        <v>784</v>
      </c>
      <c r="C769" s="7" t="s">
        <v>1039</v>
      </c>
      <c r="D769" s="7">
        <v>768</v>
      </c>
      <c r="E769" s="9">
        <v>768</v>
      </c>
      <c r="F769" s="7">
        <v>768</v>
      </c>
      <c r="G769" s="11" t="s">
        <v>1026</v>
      </c>
      <c r="H769" s="20">
        <v>373796</v>
      </c>
      <c r="I769" s="12">
        <v>44521</v>
      </c>
      <c r="J769" s="12">
        <v>45037</v>
      </c>
      <c r="K769" s="25">
        <v>305107</v>
      </c>
      <c r="L769" s="23">
        <v>68689</v>
      </c>
      <c r="M769" s="11"/>
      <c r="N769" s="7" t="str">
        <f ca="1">_xlfn.IFNA(VLOOKUP("2"&amp;B769,CountSpecific!E:F,2,0),"")</f>
        <v/>
      </c>
      <c r="O769" s="14" t="str">
        <f ca="1">_xlfn.IFNA(VLOOKUP("3"&amp;B769,CountSpecific!E:F,2,0),"")</f>
        <v/>
      </c>
      <c r="P769" s="7" t="str">
        <f ca="1">_xlfn.IFNA(VLOOKUP("4"&amp;B769,CountSpecific!E:F,2,0),"")</f>
        <v/>
      </c>
    </row>
    <row r="770" spans="1:16" customFormat="1" x14ac:dyDescent="0.25">
      <c r="A770" s="7">
        <v>769</v>
      </c>
      <c r="B770" s="11" t="s">
        <v>785</v>
      </c>
      <c r="C770" s="7" t="s">
        <v>1039</v>
      </c>
      <c r="D770" s="7">
        <v>769</v>
      </c>
      <c r="E770" s="7">
        <v>769</v>
      </c>
      <c r="F770" s="7">
        <v>769</v>
      </c>
      <c r="G770" s="11" t="s">
        <v>1021</v>
      </c>
      <c r="H770" s="20">
        <v>61140</v>
      </c>
      <c r="I770" s="12">
        <v>44495</v>
      </c>
      <c r="J770" s="12">
        <v>44587</v>
      </c>
      <c r="K770" s="25">
        <v>35553</v>
      </c>
      <c r="L770" s="23">
        <v>25587</v>
      </c>
      <c r="M770" s="11"/>
      <c r="N770" s="7" t="str">
        <f ca="1">_xlfn.IFNA(VLOOKUP("2"&amp;B770,CountSpecific!E:F,2,0),"")</f>
        <v/>
      </c>
      <c r="O770" s="14" t="str">
        <f ca="1">_xlfn.IFNA(VLOOKUP("3"&amp;B770,CountSpecific!E:F,2,0),"")</f>
        <v/>
      </c>
      <c r="P770" s="7" t="str">
        <f ca="1">_xlfn.IFNA(VLOOKUP("4"&amp;B770,CountSpecific!E:F,2,0),"")</f>
        <v/>
      </c>
    </row>
    <row r="771" spans="1:16" customFormat="1" x14ac:dyDescent="0.25">
      <c r="A771" s="7">
        <v>770</v>
      </c>
      <c r="B771" s="11" t="s">
        <v>786</v>
      </c>
      <c r="C771" s="7" t="s">
        <v>1039</v>
      </c>
      <c r="D771" s="7">
        <v>770</v>
      </c>
      <c r="E771" s="7">
        <v>770</v>
      </c>
      <c r="F771" s="7">
        <v>770</v>
      </c>
      <c r="G771" s="11" t="s">
        <v>1026</v>
      </c>
      <c r="H771" s="20">
        <v>1458953</v>
      </c>
      <c r="I771" s="12">
        <v>44649</v>
      </c>
      <c r="J771" s="12">
        <v>45289</v>
      </c>
      <c r="K771" s="25">
        <v>1144392</v>
      </c>
      <c r="L771" s="23">
        <v>314561</v>
      </c>
      <c r="M771" s="11"/>
      <c r="N771" s="7" t="str">
        <f ca="1">_xlfn.IFNA(VLOOKUP("2"&amp;B771,CountSpecific!E:F,2,0),"")</f>
        <v/>
      </c>
      <c r="O771" s="14" t="str">
        <f ca="1">_xlfn.IFNA(VLOOKUP("3"&amp;B771,CountSpecific!E:F,2,0),"")</f>
        <v/>
      </c>
      <c r="P771" s="7" t="str">
        <f ca="1">_xlfn.IFNA(VLOOKUP("4"&amp;B771,CountSpecific!E:F,2,0),"")</f>
        <v/>
      </c>
    </row>
    <row r="772" spans="1:16" customFormat="1" x14ac:dyDescent="0.25">
      <c r="A772" s="7">
        <v>771</v>
      </c>
      <c r="B772" s="11" t="s">
        <v>787</v>
      </c>
      <c r="C772" s="7" t="s">
        <v>1039</v>
      </c>
      <c r="D772" s="7">
        <v>771</v>
      </c>
      <c r="E772" s="9">
        <v>771</v>
      </c>
      <c r="F772" s="7">
        <v>771</v>
      </c>
      <c r="G772" s="11" t="s">
        <v>1020</v>
      </c>
      <c r="H772" s="20">
        <v>181080</v>
      </c>
      <c r="I772" s="12">
        <v>44016</v>
      </c>
      <c r="J772" s="12">
        <v>44381</v>
      </c>
      <c r="K772" s="25">
        <v>95125</v>
      </c>
      <c r="L772" s="23">
        <v>85955</v>
      </c>
      <c r="M772" s="11"/>
      <c r="N772" s="7" t="str">
        <f ca="1">_xlfn.IFNA(VLOOKUP("2"&amp;B772,CountSpecific!E:F,2,0),"")</f>
        <v/>
      </c>
      <c r="O772" s="14" t="str">
        <f ca="1">_xlfn.IFNA(VLOOKUP("3"&amp;B772,CountSpecific!E:F,2,0),"")</f>
        <v/>
      </c>
      <c r="P772" s="7" t="str">
        <f ca="1">_xlfn.IFNA(VLOOKUP("4"&amp;B772,CountSpecific!E:F,2,0),"")</f>
        <v/>
      </c>
    </row>
    <row r="773" spans="1:16" customFormat="1" x14ac:dyDescent="0.25">
      <c r="A773" s="7">
        <v>772</v>
      </c>
      <c r="B773" s="11" t="s">
        <v>788</v>
      </c>
      <c r="C773" s="7" t="s">
        <v>1039</v>
      </c>
      <c r="D773" s="7">
        <v>772</v>
      </c>
      <c r="E773" s="7">
        <v>772</v>
      </c>
      <c r="F773" s="7">
        <v>772</v>
      </c>
      <c r="G773" s="11" t="s">
        <v>1022</v>
      </c>
      <c r="H773" s="20">
        <v>21424</v>
      </c>
      <c r="I773" s="12">
        <v>44817</v>
      </c>
      <c r="J773" s="12">
        <v>45029</v>
      </c>
      <c r="K773" s="25">
        <v>10188</v>
      </c>
      <c r="L773" s="23">
        <v>11236</v>
      </c>
      <c r="M773" s="11"/>
      <c r="N773" s="7" t="str">
        <f ca="1">_xlfn.IFNA(VLOOKUP("2"&amp;B773,CountSpecific!E:F,2,0),"")</f>
        <v/>
      </c>
      <c r="O773" s="14" t="str">
        <f ca="1">_xlfn.IFNA(VLOOKUP("3"&amp;B773,CountSpecific!E:F,2,0),"")</f>
        <v/>
      </c>
      <c r="P773" s="7" t="str">
        <f ca="1">_xlfn.IFNA(VLOOKUP("4"&amp;B773,CountSpecific!E:F,2,0),"")</f>
        <v/>
      </c>
    </row>
    <row r="774" spans="1:16" customFormat="1" x14ac:dyDescent="0.25">
      <c r="A774" s="7">
        <v>773</v>
      </c>
      <c r="B774" s="11" t="s">
        <v>789</v>
      </c>
      <c r="C774" s="7" t="s">
        <v>1039</v>
      </c>
      <c r="D774" s="7">
        <v>773</v>
      </c>
      <c r="E774" s="7">
        <v>773</v>
      </c>
      <c r="F774" s="7">
        <v>773</v>
      </c>
      <c r="G774" s="11" t="s">
        <v>1023</v>
      </c>
      <c r="H774" s="20">
        <v>823</v>
      </c>
      <c r="I774" s="12">
        <v>44158</v>
      </c>
      <c r="J774" s="12">
        <v>44219</v>
      </c>
      <c r="K774" s="25">
        <v>540</v>
      </c>
      <c r="L774" s="23">
        <v>283</v>
      </c>
      <c r="M774" s="11"/>
      <c r="N774" s="7" t="str">
        <f ca="1">_xlfn.IFNA(VLOOKUP("2"&amp;B774,CountSpecific!E:F,2,0),"")</f>
        <v/>
      </c>
      <c r="O774" s="14" t="str">
        <f ca="1">_xlfn.IFNA(VLOOKUP("3"&amp;B774,CountSpecific!E:F,2,0),"")</f>
        <v/>
      </c>
      <c r="P774" s="7" t="str">
        <f ca="1">_xlfn.IFNA(VLOOKUP("4"&amp;B774,CountSpecific!E:F,2,0),"")</f>
        <v/>
      </c>
    </row>
    <row r="775" spans="1:16" customFormat="1" x14ac:dyDescent="0.25">
      <c r="A775" s="7">
        <v>774</v>
      </c>
      <c r="B775" s="11" t="s">
        <v>790</v>
      </c>
      <c r="C775" s="7" t="s">
        <v>1039</v>
      </c>
      <c r="D775" s="7">
        <v>774</v>
      </c>
      <c r="E775" s="9">
        <v>774</v>
      </c>
      <c r="F775" s="7">
        <v>774</v>
      </c>
      <c r="G775" s="11" t="s">
        <v>1023</v>
      </c>
      <c r="H775" s="20">
        <v>773</v>
      </c>
      <c r="I775" s="12">
        <v>44822</v>
      </c>
      <c r="J775" s="12">
        <v>45125</v>
      </c>
      <c r="K775" s="25">
        <v>78</v>
      </c>
      <c r="L775" s="23">
        <v>695</v>
      </c>
      <c r="M775" s="11"/>
      <c r="N775" s="7" t="str">
        <f ca="1">_xlfn.IFNA(VLOOKUP("2"&amp;B775,CountSpecific!E:F,2,0),"")</f>
        <v/>
      </c>
      <c r="O775" s="14" t="str">
        <f ca="1">_xlfn.IFNA(VLOOKUP("3"&amp;B775,CountSpecific!E:F,2,0),"")</f>
        <v/>
      </c>
      <c r="P775" s="7" t="str">
        <f ca="1">_xlfn.IFNA(VLOOKUP("4"&amp;B775,CountSpecific!E:F,2,0),"")</f>
        <v/>
      </c>
    </row>
    <row r="776" spans="1:16" customFormat="1" x14ac:dyDescent="0.25">
      <c r="A776" s="7">
        <v>775</v>
      </c>
      <c r="B776" s="11" t="s">
        <v>791</v>
      </c>
      <c r="C776" s="7" t="s">
        <v>1039</v>
      </c>
      <c r="D776" s="7">
        <v>775</v>
      </c>
      <c r="E776" s="7">
        <v>775</v>
      </c>
      <c r="F776" s="7">
        <v>775</v>
      </c>
      <c r="G776" s="11" t="s">
        <v>1023</v>
      </c>
      <c r="H776" s="20">
        <v>531</v>
      </c>
      <c r="I776" s="12">
        <v>44544</v>
      </c>
      <c r="J776" s="12">
        <v>44575</v>
      </c>
      <c r="K776" s="25">
        <v>496</v>
      </c>
      <c r="L776" s="23">
        <v>35</v>
      </c>
      <c r="M776" s="11"/>
      <c r="N776" s="7" t="str">
        <f ca="1">_xlfn.IFNA(VLOOKUP("2"&amp;B776,CountSpecific!E:F,2,0),"")</f>
        <v/>
      </c>
      <c r="O776" s="14" t="str">
        <f ca="1">_xlfn.IFNA(VLOOKUP("3"&amp;B776,CountSpecific!E:F,2,0),"")</f>
        <v/>
      </c>
      <c r="P776" s="7" t="str">
        <f ca="1">_xlfn.IFNA(VLOOKUP("4"&amp;B776,CountSpecific!E:F,2,0),"")</f>
        <v/>
      </c>
    </row>
    <row r="777" spans="1:16" customFormat="1" x14ac:dyDescent="0.25">
      <c r="A777" s="7">
        <v>776</v>
      </c>
      <c r="B777" s="11" t="s">
        <v>792</v>
      </c>
      <c r="C777" s="7" t="s">
        <v>1039</v>
      </c>
      <c r="D777" s="7">
        <v>776</v>
      </c>
      <c r="E777" s="7">
        <v>776</v>
      </c>
      <c r="F777" s="7">
        <v>776</v>
      </c>
      <c r="G777" s="11" t="s">
        <v>1022</v>
      </c>
      <c r="H777" s="20">
        <v>25468</v>
      </c>
      <c r="I777" s="12">
        <v>43933</v>
      </c>
      <c r="J777" s="12">
        <v>44481</v>
      </c>
      <c r="K777" s="25">
        <v>13114</v>
      </c>
      <c r="L777" s="23">
        <v>12354</v>
      </c>
      <c r="M777" s="11"/>
      <c r="N777" s="7" t="str">
        <f ca="1">_xlfn.IFNA(VLOOKUP("2"&amp;B777,CountSpecific!E:F,2,0),"")</f>
        <v/>
      </c>
      <c r="O777" s="14" t="str">
        <f ca="1">_xlfn.IFNA(VLOOKUP("3"&amp;B777,CountSpecific!E:F,2,0),"")</f>
        <v/>
      </c>
      <c r="P777" s="7" t="str">
        <f ca="1">_xlfn.IFNA(VLOOKUP("4"&amp;B777,CountSpecific!E:F,2,0),"")</f>
        <v/>
      </c>
    </row>
    <row r="778" spans="1:16" customFormat="1" x14ac:dyDescent="0.25">
      <c r="A778" s="7">
        <v>777</v>
      </c>
      <c r="B778" s="11" t="s">
        <v>793</v>
      </c>
      <c r="C778" s="7" t="s">
        <v>1039</v>
      </c>
      <c r="D778" s="7">
        <v>777</v>
      </c>
      <c r="E778" s="9">
        <v>777</v>
      </c>
      <c r="F778" s="7">
        <v>777</v>
      </c>
      <c r="G778" s="11" t="s">
        <v>1023</v>
      </c>
      <c r="H778" s="20">
        <v>970</v>
      </c>
      <c r="I778" s="12">
        <v>45390</v>
      </c>
      <c r="J778" s="12">
        <v>46061</v>
      </c>
      <c r="K778" s="25">
        <v>748</v>
      </c>
      <c r="L778" s="23">
        <v>222</v>
      </c>
      <c r="M778" s="11"/>
      <c r="N778" s="7" t="str">
        <f ca="1">_xlfn.IFNA(VLOOKUP("2"&amp;B778,CountSpecific!E:F,2,0),"")</f>
        <v/>
      </c>
      <c r="O778" s="14" t="str">
        <f ca="1">_xlfn.IFNA(VLOOKUP("3"&amp;B778,CountSpecific!E:F,2,0),"")</f>
        <v/>
      </c>
      <c r="P778" s="7" t="str">
        <f ca="1">_xlfn.IFNA(VLOOKUP("4"&amp;B778,CountSpecific!E:F,2,0),"")</f>
        <v/>
      </c>
    </row>
    <row r="779" spans="1:16" customFormat="1" x14ac:dyDescent="0.25">
      <c r="A779" s="7">
        <v>778</v>
      </c>
      <c r="B779" s="11" t="s">
        <v>794</v>
      </c>
      <c r="C779" s="7" t="s">
        <v>1039</v>
      </c>
      <c r="D779" s="7">
        <v>778</v>
      </c>
      <c r="E779" s="7">
        <v>778</v>
      </c>
      <c r="F779" s="7">
        <v>778</v>
      </c>
      <c r="G779" s="11" t="s">
        <v>1025</v>
      </c>
      <c r="H779" s="20">
        <v>65935</v>
      </c>
      <c r="I779" s="12">
        <v>45664</v>
      </c>
      <c r="J779" s="12">
        <v>45937</v>
      </c>
      <c r="K779" s="25">
        <v>10625</v>
      </c>
      <c r="L779" s="23">
        <v>55310</v>
      </c>
      <c r="M779" s="11"/>
      <c r="N779" s="7" t="str">
        <f ca="1">_xlfn.IFNA(VLOOKUP("2"&amp;B779,CountSpecific!E:F,2,0),"")</f>
        <v/>
      </c>
      <c r="O779" s="14" t="str">
        <f ca="1">_xlfn.IFNA(VLOOKUP("3"&amp;B779,CountSpecific!E:F,2,0),"")</f>
        <v/>
      </c>
      <c r="P779" s="7" t="str">
        <f ca="1">_xlfn.IFNA(VLOOKUP("4"&amp;B779,CountSpecific!E:F,2,0),"")</f>
        <v/>
      </c>
    </row>
    <row r="780" spans="1:16" customFormat="1" x14ac:dyDescent="0.25">
      <c r="A780" s="7">
        <v>779</v>
      </c>
      <c r="B780" s="11" t="s">
        <v>795</v>
      </c>
      <c r="C780" s="7" t="s">
        <v>1039</v>
      </c>
      <c r="D780" s="7">
        <v>779</v>
      </c>
      <c r="E780" s="7">
        <v>779</v>
      </c>
      <c r="F780" s="7">
        <v>779</v>
      </c>
      <c r="G780" s="11" t="s">
        <v>1024</v>
      </c>
      <c r="H780" s="20">
        <v>331971</v>
      </c>
      <c r="I780" s="12">
        <v>44223</v>
      </c>
      <c r="J780" s="12">
        <v>44254</v>
      </c>
      <c r="K780" s="25">
        <v>231376</v>
      </c>
      <c r="L780" s="23">
        <v>100595</v>
      </c>
      <c r="M780" s="11"/>
      <c r="N780" s="7" t="str">
        <f ca="1">_xlfn.IFNA(VLOOKUP("2"&amp;B780,CountSpecific!E:F,2,0),"")</f>
        <v/>
      </c>
      <c r="O780" s="14" t="str">
        <f ca="1">_xlfn.IFNA(VLOOKUP("3"&amp;B780,CountSpecific!E:F,2,0),"")</f>
        <v/>
      </c>
      <c r="P780" s="7" t="str">
        <f ca="1">_xlfn.IFNA(VLOOKUP("4"&amp;B780,CountSpecific!E:F,2,0),"")</f>
        <v/>
      </c>
    </row>
    <row r="781" spans="1:16" customFormat="1" x14ac:dyDescent="0.25">
      <c r="A781" s="7">
        <v>780</v>
      </c>
      <c r="B781" s="11" t="s">
        <v>796</v>
      </c>
      <c r="C781" s="7" t="s">
        <v>1039</v>
      </c>
      <c r="D781" s="7">
        <v>780</v>
      </c>
      <c r="E781" s="9">
        <v>780</v>
      </c>
      <c r="F781" s="7">
        <v>780</v>
      </c>
      <c r="G781" s="11" t="s">
        <v>1021</v>
      </c>
      <c r="H781" s="20">
        <v>73873</v>
      </c>
      <c r="I781" s="12">
        <v>44854</v>
      </c>
      <c r="J781" s="12">
        <v>45371</v>
      </c>
      <c r="K781" s="25">
        <v>468</v>
      </c>
      <c r="L781" s="23">
        <v>73405</v>
      </c>
      <c r="M781" s="11"/>
      <c r="N781" s="7" t="str">
        <f ca="1">_xlfn.IFNA(VLOOKUP("2"&amp;B781,CountSpecific!E:F,2,0),"")</f>
        <v/>
      </c>
      <c r="O781" s="14" t="str">
        <f ca="1">_xlfn.IFNA(VLOOKUP("3"&amp;B781,CountSpecific!E:F,2,0),"")</f>
        <v/>
      </c>
      <c r="P781" s="7" t="str">
        <f ca="1">_xlfn.IFNA(VLOOKUP("4"&amp;B781,CountSpecific!E:F,2,0),"")</f>
        <v/>
      </c>
    </row>
    <row r="782" spans="1:16" customFormat="1" x14ac:dyDescent="0.25">
      <c r="A782" s="7">
        <v>781</v>
      </c>
      <c r="B782" s="11" t="s">
        <v>797</v>
      </c>
      <c r="C782" s="7" t="s">
        <v>1039</v>
      </c>
      <c r="D782" s="7">
        <v>781</v>
      </c>
      <c r="E782" s="7">
        <v>781</v>
      </c>
      <c r="F782" s="7">
        <v>781</v>
      </c>
      <c r="G782" s="11" t="s">
        <v>1026</v>
      </c>
      <c r="H782" s="20">
        <v>1988669</v>
      </c>
      <c r="I782" s="12">
        <v>45281</v>
      </c>
      <c r="J782" s="12">
        <v>45617</v>
      </c>
      <c r="K782" s="25">
        <v>371942</v>
      </c>
      <c r="L782" s="23">
        <v>1616727</v>
      </c>
      <c r="M782" s="11"/>
      <c r="N782" s="7" t="str">
        <f ca="1">_xlfn.IFNA(VLOOKUP("2"&amp;B782,CountSpecific!E:F,2,0),"")</f>
        <v/>
      </c>
      <c r="O782" s="14" t="str">
        <f ca="1">_xlfn.IFNA(VLOOKUP("3"&amp;B782,CountSpecific!E:F,2,0),"")</f>
        <v/>
      </c>
      <c r="P782" s="7" t="str">
        <f ca="1">_xlfn.IFNA(VLOOKUP("4"&amp;B782,CountSpecific!E:F,2,0),"")</f>
        <v/>
      </c>
    </row>
    <row r="783" spans="1:16" customFormat="1" x14ac:dyDescent="0.25">
      <c r="A783" s="7">
        <v>782</v>
      </c>
      <c r="B783" s="11" t="s">
        <v>798</v>
      </c>
      <c r="C783" s="7" t="s">
        <v>1039</v>
      </c>
      <c r="D783" s="7">
        <v>782</v>
      </c>
      <c r="E783" s="7">
        <v>782</v>
      </c>
      <c r="F783" s="7">
        <v>782</v>
      </c>
      <c r="G783" s="11" t="s">
        <v>1027</v>
      </c>
      <c r="H783" s="20">
        <v>52637</v>
      </c>
      <c r="I783" s="12">
        <v>44763</v>
      </c>
      <c r="J783" s="12">
        <v>45037</v>
      </c>
      <c r="K783" s="25">
        <v>23971</v>
      </c>
      <c r="L783" s="23">
        <v>28666</v>
      </c>
      <c r="M783" s="11"/>
      <c r="N783" s="7" t="str">
        <f ca="1">_xlfn.IFNA(VLOOKUP("2"&amp;B783,CountSpecific!E:F,2,0),"")</f>
        <v/>
      </c>
      <c r="O783" s="14" t="str">
        <f ca="1">_xlfn.IFNA(VLOOKUP("3"&amp;B783,CountSpecific!E:F,2,0),"")</f>
        <v/>
      </c>
      <c r="P783" s="7" t="str">
        <f ca="1">_xlfn.IFNA(VLOOKUP("4"&amp;B783,CountSpecific!E:F,2,0),"")</f>
        <v/>
      </c>
    </row>
    <row r="784" spans="1:16" customFormat="1" x14ac:dyDescent="0.25">
      <c r="A784" s="7">
        <v>783</v>
      </c>
      <c r="B784" s="11" t="s">
        <v>799</v>
      </c>
      <c r="C784" s="7" t="s">
        <v>1039</v>
      </c>
      <c r="D784" s="7">
        <v>783</v>
      </c>
      <c r="E784" s="9">
        <v>783</v>
      </c>
      <c r="F784" s="7">
        <v>783</v>
      </c>
      <c r="G784" s="11" t="s">
        <v>1025</v>
      </c>
      <c r="H784" s="20">
        <v>222437</v>
      </c>
      <c r="I784" s="12">
        <v>43896</v>
      </c>
      <c r="J784" s="12">
        <v>44018</v>
      </c>
      <c r="K784" s="25">
        <v>138334</v>
      </c>
      <c r="L784" s="23">
        <v>84103</v>
      </c>
      <c r="M784" s="11"/>
      <c r="N784" s="7" t="str">
        <f ca="1">_xlfn.IFNA(VLOOKUP("2"&amp;B784,CountSpecific!E:F,2,0),"")</f>
        <v/>
      </c>
      <c r="O784" s="14" t="str">
        <f ca="1">_xlfn.IFNA(VLOOKUP("3"&amp;B784,CountSpecific!E:F,2,0),"")</f>
        <v/>
      </c>
      <c r="P784" s="7" t="str">
        <f ca="1">_xlfn.IFNA(VLOOKUP("4"&amp;B784,CountSpecific!E:F,2,0),"")</f>
        <v/>
      </c>
    </row>
    <row r="785" spans="1:16" customFormat="1" x14ac:dyDescent="0.25">
      <c r="A785" s="7">
        <v>784</v>
      </c>
      <c r="B785" s="11" t="s">
        <v>800</v>
      </c>
      <c r="C785" s="7" t="s">
        <v>1039</v>
      </c>
      <c r="D785" s="7">
        <v>784</v>
      </c>
      <c r="E785" s="7">
        <v>784</v>
      </c>
      <c r="F785" s="7">
        <v>784</v>
      </c>
      <c r="G785" s="11" t="s">
        <v>1022</v>
      </c>
      <c r="H785" s="20">
        <v>35620</v>
      </c>
      <c r="I785" s="12">
        <v>44024</v>
      </c>
      <c r="J785" s="12">
        <v>44086</v>
      </c>
      <c r="K785" s="25">
        <v>20427</v>
      </c>
      <c r="L785" s="23">
        <v>15193</v>
      </c>
      <c r="M785" s="11"/>
      <c r="N785" s="7" t="str">
        <f ca="1">_xlfn.IFNA(VLOOKUP("2"&amp;B785,CountSpecific!E:F,2,0),"")</f>
        <v/>
      </c>
      <c r="O785" s="14" t="str">
        <f ca="1">_xlfn.IFNA(VLOOKUP("3"&amp;B785,CountSpecific!E:F,2,0),"")</f>
        <v/>
      </c>
      <c r="P785" s="7" t="str">
        <f ca="1">_xlfn.IFNA(VLOOKUP("4"&amp;B785,CountSpecific!E:F,2,0),"")</f>
        <v/>
      </c>
    </row>
    <row r="786" spans="1:16" customFormat="1" x14ac:dyDescent="0.25">
      <c r="A786" s="7">
        <v>785</v>
      </c>
      <c r="B786" s="11" t="s">
        <v>801</v>
      </c>
      <c r="C786" s="7" t="s">
        <v>1039</v>
      </c>
      <c r="D786" s="7">
        <v>785</v>
      </c>
      <c r="E786" s="7">
        <v>785</v>
      </c>
      <c r="F786" s="7">
        <v>785</v>
      </c>
      <c r="G786" s="11" t="s">
        <v>1021</v>
      </c>
      <c r="H786" s="20">
        <v>25985</v>
      </c>
      <c r="I786" s="12">
        <v>44716</v>
      </c>
      <c r="J786" s="12">
        <v>44746</v>
      </c>
      <c r="K786" s="25">
        <v>10960</v>
      </c>
      <c r="L786" s="23">
        <v>15025</v>
      </c>
      <c r="M786" s="11"/>
      <c r="N786" s="7" t="str">
        <f ca="1">_xlfn.IFNA(VLOOKUP("2"&amp;B786,CountSpecific!E:F,2,0),"")</f>
        <v/>
      </c>
      <c r="O786" s="14" t="str">
        <f ca="1">_xlfn.IFNA(VLOOKUP("3"&amp;B786,CountSpecific!E:F,2,0),"")</f>
        <v/>
      </c>
      <c r="P786" s="7" t="str">
        <f ca="1">_xlfn.IFNA(VLOOKUP("4"&amp;B786,CountSpecific!E:F,2,0),"")</f>
        <v/>
      </c>
    </row>
    <row r="787" spans="1:16" customFormat="1" x14ac:dyDescent="0.25">
      <c r="A787" s="7">
        <v>786</v>
      </c>
      <c r="B787" s="11" t="s">
        <v>802</v>
      </c>
      <c r="C787" s="7" t="s">
        <v>1039</v>
      </c>
      <c r="D787" s="7">
        <v>786</v>
      </c>
      <c r="E787" s="9">
        <v>786</v>
      </c>
      <c r="F787" s="7">
        <v>786</v>
      </c>
      <c r="G787" s="11" t="s">
        <v>1026</v>
      </c>
      <c r="H787" s="20">
        <v>1576256</v>
      </c>
      <c r="I787" s="12">
        <v>44862</v>
      </c>
      <c r="J787" s="12">
        <v>45410</v>
      </c>
      <c r="K787" s="25">
        <v>965408</v>
      </c>
      <c r="L787" s="23">
        <v>610848</v>
      </c>
      <c r="M787" s="11"/>
      <c r="N787" s="7" t="str">
        <f ca="1">_xlfn.IFNA(VLOOKUP("2"&amp;B787,CountSpecific!E:F,2,0),"")</f>
        <v/>
      </c>
      <c r="O787" s="14" t="str">
        <f ca="1">_xlfn.IFNA(VLOOKUP("3"&amp;B787,CountSpecific!E:F,2,0),"")</f>
        <v/>
      </c>
      <c r="P787" s="7" t="str">
        <f ca="1">_xlfn.IFNA(VLOOKUP("4"&amp;B787,CountSpecific!E:F,2,0),"")</f>
        <v/>
      </c>
    </row>
    <row r="788" spans="1:16" customFormat="1" x14ac:dyDescent="0.25">
      <c r="A788" s="7">
        <v>787</v>
      </c>
      <c r="B788" s="11" t="s">
        <v>803</v>
      </c>
      <c r="C788" s="7" t="s">
        <v>1039</v>
      </c>
      <c r="D788" s="7">
        <v>787</v>
      </c>
      <c r="E788" s="7">
        <v>787</v>
      </c>
      <c r="F788" s="7">
        <v>787</v>
      </c>
      <c r="G788" s="11" t="s">
        <v>1027</v>
      </c>
      <c r="H788" s="20">
        <v>15399</v>
      </c>
      <c r="I788" s="12">
        <v>44011</v>
      </c>
      <c r="J788" s="12">
        <v>44255</v>
      </c>
      <c r="K788" s="25">
        <v>2806</v>
      </c>
      <c r="L788" s="23">
        <v>12593</v>
      </c>
      <c r="M788" s="11"/>
      <c r="N788" s="7" t="str">
        <f ca="1">_xlfn.IFNA(VLOOKUP("2"&amp;B788,CountSpecific!E:F,2,0),"")</f>
        <v/>
      </c>
      <c r="O788" s="14" t="str">
        <f ca="1">_xlfn.IFNA(VLOOKUP("3"&amp;B788,CountSpecific!E:F,2,0),"")</f>
        <v/>
      </c>
      <c r="P788" s="7" t="str">
        <f ca="1">_xlfn.IFNA(VLOOKUP("4"&amp;B788,CountSpecific!E:F,2,0),"")</f>
        <v/>
      </c>
    </row>
    <row r="789" spans="1:16" customFormat="1" x14ac:dyDescent="0.25">
      <c r="A789" s="7">
        <v>788</v>
      </c>
      <c r="B789" s="11" t="s">
        <v>804</v>
      </c>
      <c r="C789" s="7" t="s">
        <v>1039</v>
      </c>
      <c r="D789" s="7">
        <v>788</v>
      </c>
      <c r="E789" s="7">
        <v>788</v>
      </c>
      <c r="F789" s="7">
        <v>788</v>
      </c>
      <c r="G789" s="11" t="s">
        <v>1016</v>
      </c>
      <c r="H789" s="20">
        <v>10560</v>
      </c>
      <c r="I789" s="12">
        <v>44308</v>
      </c>
      <c r="J789" s="12">
        <v>44583</v>
      </c>
      <c r="K789" s="25">
        <v>1806</v>
      </c>
      <c r="L789" s="23">
        <v>8754</v>
      </c>
      <c r="M789" s="11"/>
      <c r="N789" s="7" t="str">
        <f ca="1">_xlfn.IFNA(VLOOKUP("2"&amp;B789,CountSpecific!E:F,2,0),"")</f>
        <v/>
      </c>
      <c r="O789" s="14" t="str">
        <f ca="1">_xlfn.IFNA(VLOOKUP("3"&amp;B789,CountSpecific!E:F,2,0),"")</f>
        <v/>
      </c>
      <c r="P789" s="7" t="str">
        <f ca="1">_xlfn.IFNA(VLOOKUP("4"&amp;B789,CountSpecific!E:F,2,0),"")</f>
        <v/>
      </c>
    </row>
    <row r="790" spans="1:16" customFormat="1" x14ac:dyDescent="0.25">
      <c r="A790" s="7">
        <v>789</v>
      </c>
      <c r="B790" s="11" t="s">
        <v>805</v>
      </c>
      <c r="C790" s="7" t="s">
        <v>1039</v>
      </c>
      <c r="D790" s="7">
        <v>789</v>
      </c>
      <c r="E790" s="9">
        <v>789</v>
      </c>
      <c r="F790" s="7">
        <v>789</v>
      </c>
      <c r="G790" s="11" t="s">
        <v>1025</v>
      </c>
      <c r="H790" s="20">
        <v>453766</v>
      </c>
      <c r="I790" s="12">
        <v>45223</v>
      </c>
      <c r="J790" s="12">
        <v>45528</v>
      </c>
      <c r="K790" s="25">
        <v>146863</v>
      </c>
      <c r="L790" s="23">
        <v>306903</v>
      </c>
      <c r="M790" s="11"/>
      <c r="N790" s="7" t="str">
        <f ca="1">_xlfn.IFNA(VLOOKUP("2"&amp;B790,CountSpecific!E:F,2,0),"")</f>
        <v/>
      </c>
      <c r="O790" s="14" t="str">
        <f ca="1">_xlfn.IFNA(VLOOKUP("3"&amp;B790,CountSpecific!E:F,2,0),"")</f>
        <v/>
      </c>
      <c r="P790" s="7" t="str">
        <f ca="1">_xlfn.IFNA(VLOOKUP("4"&amp;B790,CountSpecific!E:F,2,0),"")</f>
        <v/>
      </c>
    </row>
    <row r="791" spans="1:16" customFormat="1" x14ac:dyDescent="0.25">
      <c r="A791" s="7">
        <v>790</v>
      </c>
      <c r="B791" s="11" t="s">
        <v>806</v>
      </c>
      <c r="C791" s="7" t="s">
        <v>1039</v>
      </c>
      <c r="D791" s="7">
        <v>790</v>
      </c>
      <c r="E791" s="7">
        <v>790</v>
      </c>
      <c r="F791" s="7">
        <v>790</v>
      </c>
      <c r="G791" s="11" t="s">
        <v>1022</v>
      </c>
      <c r="H791" s="20">
        <v>15424</v>
      </c>
      <c r="I791" s="12">
        <v>44370</v>
      </c>
      <c r="J791" s="12">
        <v>44553</v>
      </c>
      <c r="K791" s="25">
        <v>12103</v>
      </c>
      <c r="L791" s="23">
        <v>3321</v>
      </c>
      <c r="M791" s="11"/>
      <c r="N791" s="7" t="str">
        <f ca="1">_xlfn.IFNA(VLOOKUP("2"&amp;B791,CountSpecific!E:F,2,0),"")</f>
        <v/>
      </c>
      <c r="O791" s="14" t="str">
        <f ca="1">_xlfn.IFNA(VLOOKUP("3"&amp;B791,CountSpecific!E:F,2,0),"")</f>
        <v/>
      </c>
      <c r="P791" s="7" t="str">
        <f ca="1">_xlfn.IFNA(VLOOKUP("4"&amp;B791,CountSpecific!E:F,2,0),"")</f>
        <v/>
      </c>
    </row>
    <row r="792" spans="1:16" customFormat="1" x14ac:dyDescent="0.25">
      <c r="A792" s="7">
        <v>791</v>
      </c>
      <c r="B792" s="11" t="s">
        <v>807</v>
      </c>
      <c r="C792" s="7" t="s">
        <v>1039</v>
      </c>
      <c r="D792" s="7">
        <v>791</v>
      </c>
      <c r="E792" s="7">
        <v>791</v>
      </c>
      <c r="F792" s="7">
        <v>791</v>
      </c>
      <c r="G792" s="11" t="s">
        <v>1020</v>
      </c>
      <c r="H792" s="20">
        <v>338669</v>
      </c>
      <c r="I792" s="12">
        <v>44394</v>
      </c>
      <c r="J792" s="12">
        <v>44456</v>
      </c>
      <c r="K792" s="25">
        <v>115952</v>
      </c>
      <c r="L792" s="23">
        <v>222717</v>
      </c>
      <c r="M792" s="11"/>
      <c r="N792" s="7" t="str">
        <f ca="1">_xlfn.IFNA(VLOOKUP("2"&amp;B792,CountSpecific!E:F,2,0),"")</f>
        <v/>
      </c>
      <c r="O792" s="14" t="str">
        <f ca="1">_xlfn.IFNA(VLOOKUP("3"&amp;B792,CountSpecific!E:F,2,0),"")</f>
        <v/>
      </c>
      <c r="P792" s="7" t="str">
        <f ca="1">_xlfn.IFNA(VLOOKUP("4"&amp;B792,CountSpecific!E:F,2,0),"")</f>
        <v/>
      </c>
    </row>
    <row r="793" spans="1:16" customFormat="1" x14ac:dyDescent="0.25">
      <c r="A793" s="7">
        <v>792</v>
      </c>
      <c r="B793" s="11" t="s">
        <v>808</v>
      </c>
      <c r="C793" s="7" t="s">
        <v>1039</v>
      </c>
      <c r="D793" s="7">
        <v>792</v>
      </c>
      <c r="E793" s="9">
        <v>792</v>
      </c>
      <c r="F793" s="7">
        <v>792</v>
      </c>
      <c r="G793" s="11" t="s">
        <v>1020</v>
      </c>
      <c r="H793" s="20">
        <v>128607</v>
      </c>
      <c r="I793" s="12">
        <v>43910</v>
      </c>
      <c r="J793" s="12">
        <v>44155</v>
      </c>
      <c r="K793" s="25">
        <v>22198</v>
      </c>
      <c r="L793" s="23">
        <v>106409</v>
      </c>
      <c r="M793" s="11"/>
      <c r="N793" s="7" t="str">
        <f ca="1">_xlfn.IFNA(VLOOKUP("2"&amp;B793,CountSpecific!E:F,2,0),"")</f>
        <v/>
      </c>
      <c r="O793" s="14" t="str">
        <f ca="1">_xlfn.IFNA(VLOOKUP("3"&amp;B793,CountSpecific!E:F,2,0),"")</f>
        <v/>
      </c>
      <c r="P793" s="7" t="str">
        <f ca="1">_xlfn.IFNA(VLOOKUP("4"&amp;B793,CountSpecific!E:F,2,0),"")</f>
        <v/>
      </c>
    </row>
    <row r="794" spans="1:16" customFormat="1" x14ac:dyDescent="0.25">
      <c r="A794" s="7">
        <v>793</v>
      </c>
      <c r="B794" s="11" t="s">
        <v>809</v>
      </c>
      <c r="C794" s="7" t="s">
        <v>1039</v>
      </c>
      <c r="D794" s="7">
        <v>793</v>
      </c>
      <c r="E794" s="7">
        <v>793</v>
      </c>
      <c r="F794" s="7">
        <v>793</v>
      </c>
      <c r="G794" s="11" t="s">
        <v>1016</v>
      </c>
      <c r="H794" s="20">
        <v>28511</v>
      </c>
      <c r="I794" s="12">
        <v>44204</v>
      </c>
      <c r="J794" s="12">
        <v>44477</v>
      </c>
      <c r="K794" s="25">
        <v>16622</v>
      </c>
      <c r="L794" s="23">
        <v>11889</v>
      </c>
      <c r="M794" s="11"/>
      <c r="N794" s="7" t="str">
        <f ca="1">_xlfn.IFNA(VLOOKUP("2"&amp;B794,CountSpecific!E:F,2,0),"")</f>
        <v/>
      </c>
      <c r="O794" s="14" t="str">
        <f ca="1">_xlfn.IFNA(VLOOKUP("3"&amp;B794,CountSpecific!E:F,2,0),"")</f>
        <v/>
      </c>
      <c r="P794" s="7" t="str">
        <f ca="1">_xlfn.IFNA(VLOOKUP("4"&amp;B794,CountSpecific!E:F,2,0),"")</f>
        <v/>
      </c>
    </row>
    <row r="795" spans="1:16" customFormat="1" x14ac:dyDescent="0.25">
      <c r="A795" s="7">
        <v>794</v>
      </c>
      <c r="B795" s="11" t="s">
        <v>810</v>
      </c>
      <c r="C795" s="7" t="s">
        <v>1039</v>
      </c>
      <c r="D795" s="7">
        <v>794</v>
      </c>
      <c r="E795" s="7">
        <v>794</v>
      </c>
      <c r="F795" s="7">
        <v>794</v>
      </c>
      <c r="G795" s="11" t="s">
        <v>1016</v>
      </c>
      <c r="H795" s="20">
        <v>6994</v>
      </c>
      <c r="I795" s="12">
        <v>44553</v>
      </c>
      <c r="J795" s="12">
        <v>45161</v>
      </c>
      <c r="K795" s="25">
        <v>4245</v>
      </c>
      <c r="L795" s="23">
        <v>2749</v>
      </c>
      <c r="M795" s="11"/>
      <c r="N795" s="7" t="str">
        <f ca="1">_xlfn.IFNA(VLOOKUP("2"&amp;B795,CountSpecific!E:F,2,0),"")</f>
        <v/>
      </c>
      <c r="O795" s="14" t="str">
        <f ca="1">_xlfn.IFNA(VLOOKUP("3"&amp;B795,CountSpecific!E:F,2,0),"")</f>
        <v/>
      </c>
      <c r="P795" s="7" t="str">
        <f ca="1">_xlfn.IFNA(VLOOKUP("4"&amp;B795,CountSpecific!E:F,2,0),"")</f>
        <v/>
      </c>
    </row>
    <row r="796" spans="1:16" customFormat="1" x14ac:dyDescent="0.25">
      <c r="A796" s="7">
        <v>795</v>
      </c>
      <c r="B796" s="11" t="s">
        <v>811</v>
      </c>
      <c r="C796" s="7" t="s">
        <v>1039</v>
      </c>
      <c r="D796" s="7">
        <v>795</v>
      </c>
      <c r="E796" s="9">
        <v>795</v>
      </c>
      <c r="F796" s="7">
        <v>795</v>
      </c>
      <c r="G796" s="11" t="s">
        <v>1016</v>
      </c>
      <c r="H796" s="20">
        <v>46186</v>
      </c>
      <c r="I796" s="12">
        <v>44524</v>
      </c>
      <c r="J796" s="12">
        <v>45101</v>
      </c>
      <c r="K796" s="25">
        <v>37138</v>
      </c>
      <c r="L796" s="23">
        <v>9048</v>
      </c>
      <c r="M796" s="11"/>
      <c r="N796" s="7" t="str">
        <f ca="1">_xlfn.IFNA(VLOOKUP("2"&amp;B796,CountSpecific!E:F,2,0),"")</f>
        <v/>
      </c>
      <c r="O796" s="14" t="str">
        <f ca="1">_xlfn.IFNA(VLOOKUP("3"&amp;B796,CountSpecific!E:F,2,0),"")</f>
        <v/>
      </c>
      <c r="P796" s="7" t="str">
        <f ca="1">_xlfn.IFNA(VLOOKUP("4"&amp;B796,CountSpecific!E:F,2,0),"")</f>
        <v/>
      </c>
    </row>
    <row r="797" spans="1:16" customFormat="1" x14ac:dyDescent="0.25">
      <c r="A797" s="7">
        <v>796</v>
      </c>
      <c r="B797" s="11" t="s">
        <v>812</v>
      </c>
      <c r="C797" s="7" t="s">
        <v>1039</v>
      </c>
      <c r="D797" s="7">
        <v>796</v>
      </c>
      <c r="E797" s="7">
        <v>796</v>
      </c>
      <c r="F797" s="7">
        <v>796</v>
      </c>
      <c r="G797" s="11" t="s">
        <v>1016</v>
      </c>
      <c r="H797" s="20">
        <v>34509</v>
      </c>
      <c r="I797" s="12">
        <v>45188</v>
      </c>
      <c r="J797" s="12">
        <v>45735</v>
      </c>
      <c r="K797" s="25">
        <v>21700</v>
      </c>
      <c r="L797" s="23">
        <v>12809</v>
      </c>
      <c r="M797" s="11"/>
      <c r="N797" s="7" t="str">
        <f ca="1">_xlfn.IFNA(VLOOKUP("2"&amp;B797,CountSpecific!E:F,2,0),"")</f>
        <v/>
      </c>
      <c r="O797" s="14" t="str">
        <f ca="1">_xlfn.IFNA(VLOOKUP("3"&amp;B797,CountSpecific!E:F,2,0),"")</f>
        <v/>
      </c>
      <c r="P797" s="7" t="str">
        <f ca="1">_xlfn.IFNA(VLOOKUP("4"&amp;B797,CountSpecific!E:F,2,0),"")</f>
        <v/>
      </c>
    </row>
    <row r="798" spans="1:16" customFormat="1" x14ac:dyDescent="0.25">
      <c r="A798" s="7">
        <v>797</v>
      </c>
      <c r="B798" s="11" t="s">
        <v>813</v>
      </c>
      <c r="C798" s="7" t="s">
        <v>1039</v>
      </c>
      <c r="D798" s="7">
        <v>797</v>
      </c>
      <c r="E798" s="7">
        <v>797</v>
      </c>
      <c r="F798" s="7">
        <v>797</v>
      </c>
      <c r="G798" s="11" t="s">
        <v>1026</v>
      </c>
      <c r="H798" s="20">
        <v>2020670</v>
      </c>
      <c r="I798" s="12">
        <v>45050</v>
      </c>
      <c r="J798" s="12">
        <v>45234</v>
      </c>
      <c r="K798" s="25">
        <v>813472</v>
      </c>
      <c r="L798" s="23">
        <v>1207198</v>
      </c>
      <c r="M798" s="11"/>
      <c r="N798" s="7" t="str">
        <f ca="1">_xlfn.IFNA(VLOOKUP("2"&amp;B798,CountSpecific!E:F,2,0),"")</f>
        <v/>
      </c>
      <c r="O798" s="14" t="str">
        <f ca="1">_xlfn.IFNA(VLOOKUP("3"&amp;B798,CountSpecific!E:F,2,0),"")</f>
        <v/>
      </c>
      <c r="P798" s="7" t="str">
        <f ca="1">_xlfn.IFNA(VLOOKUP("4"&amp;B798,CountSpecific!E:F,2,0),"")</f>
        <v/>
      </c>
    </row>
    <row r="799" spans="1:16" customFormat="1" x14ac:dyDescent="0.25">
      <c r="A799" s="7">
        <v>798</v>
      </c>
      <c r="B799" s="11" t="s">
        <v>814</v>
      </c>
      <c r="C799" s="7" t="s">
        <v>1039</v>
      </c>
      <c r="D799" s="7">
        <v>798</v>
      </c>
      <c r="E799" s="9">
        <v>798</v>
      </c>
      <c r="F799" s="7">
        <v>798</v>
      </c>
      <c r="G799" s="11" t="s">
        <v>1023</v>
      </c>
      <c r="H799" s="20">
        <v>1474</v>
      </c>
      <c r="I799" s="12">
        <v>45716</v>
      </c>
      <c r="J799" s="12">
        <v>46019</v>
      </c>
      <c r="K799" s="25">
        <v>822</v>
      </c>
      <c r="L799" s="23">
        <v>652</v>
      </c>
      <c r="M799" s="11"/>
      <c r="N799" s="7" t="str">
        <f ca="1">_xlfn.IFNA(VLOOKUP("2"&amp;B799,CountSpecific!E:F,2,0),"")</f>
        <v/>
      </c>
      <c r="O799" s="14" t="str">
        <f ca="1">_xlfn.IFNA(VLOOKUP("3"&amp;B799,CountSpecific!E:F,2,0),"")</f>
        <v/>
      </c>
      <c r="P799" s="7" t="str">
        <f ca="1">_xlfn.IFNA(VLOOKUP("4"&amp;B799,CountSpecific!E:F,2,0),"")</f>
        <v/>
      </c>
    </row>
    <row r="800" spans="1:16" customFormat="1" x14ac:dyDescent="0.25">
      <c r="A800" s="7">
        <v>799</v>
      </c>
      <c r="B800" s="11" t="s">
        <v>815</v>
      </c>
      <c r="C800" s="7" t="s">
        <v>1039</v>
      </c>
      <c r="D800" s="7">
        <v>799</v>
      </c>
      <c r="E800" s="7">
        <v>799</v>
      </c>
      <c r="F800" s="7">
        <v>799</v>
      </c>
      <c r="G800" s="11" t="s">
        <v>1025</v>
      </c>
      <c r="H800" s="20">
        <v>163650</v>
      </c>
      <c r="I800" s="12">
        <v>45202</v>
      </c>
      <c r="J800" s="12">
        <v>45538</v>
      </c>
      <c r="K800" s="25">
        <v>9451</v>
      </c>
      <c r="L800" s="23">
        <v>154199</v>
      </c>
      <c r="M800" s="11"/>
      <c r="N800" s="7" t="str">
        <f ca="1">_xlfn.IFNA(VLOOKUP("2"&amp;B800,CountSpecific!E:F,2,0),"")</f>
        <v/>
      </c>
      <c r="O800" s="14" t="str">
        <f ca="1">_xlfn.IFNA(VLOOKUP("3"&amp;B800,CountSpecific!E:F,2,0),"")</f>
        <v/>
      </c>
      <c r="P800" s="7" t="str">
        <f ca="1">_xlfn.IFNA(VLOOKUP("4"&amp;B800,CountSpecific!E:F,2,0),"")</f>
        <v/>
      </c>
    </row>
    <row r="801" spans="1:16" customFormat="1" x14ac:dyDescent="0.25">
      <c r="A801" s="7">
        <v>800</v>
      </c>
      <c r="B801" s="11" t="s">
        <v>816</v>
      </c>
      <c r="C801" s="7" t="s">
        <v>1039</v>
      </c>
      <c r="D801" s="7">
        <v>800</v>
      </c>
      <c r="E801" s="7">
        <v>800</v>
      </c>
      <c r="F801" s="7">
        <v>800</v>
      </c>
      <c r="G801" s="11" t="s">
        <v>1020</v>
      </c>
      <c r="H801" s="20">
        <v>460249</v>
      </c>
      <c r="I801" s="12">
        <v>43906</v>
      </c>
      <c r="J801" s="12">
        <v>44212</v>
      </c>
      <c r="K801" s="25">
        <v>379025</v>
      </c>
      <c r="L801" s="23">
        <v>81224</v>
      </c>
      <c r="M801" s="11"/>
      <c r="N801" s="7" t="str">
        <f ca="1">_xlfn.IFNA(VLOOKUP("2"&amp;B801,CountSpecific!E:F,2,0),"")</f>
        <v/>
      </c>
      <c r="O801" s="14" t="str">
        <f ca="1">_xlfn.IFNA(VLOOKUP("3"&amp;B801,CountSpecific!E:F,2,0),"")</f>
        <v/>
      </c>
      <c r="P801" s="7" t="str">
        <f ca="1">_xlfn.IFNA(VLOOKUP("4"&amp;B801,CountSpecific!E:F,2,0),"")</f>
        <v/>
      </c>
    </row>
    <row r="802" spans="1:16" customFormat="1" x14ac:dyDescent="0.25">
      <c r="A802" s="7">
        <v>801</v>
      </c>
      <c r="B802" s="11" t="s">
        <v>817</v>
      </c>
      <c r="C802" s="7" t="s">
        <v>1039</v>
      </c>
      <c r="D802" s="7">
        <v>801</v>
      </c>
      <c r="E802" s="9">
        <v>801</v>
      </c>
      <c r="F802" s="7">
        <v>801</v>
      </c>
      <c r="G802" s="11" t="s">
        <v>1024</v>
      </c>
      <c r="H802" s="20">
        <v>849933</v>
      </c>
      <c r="I802" s="12">
        <v>45183</v>
      </c>
      <c r="J802" s="12">
        <v>45914</v>
      </c>
      <c r="K802" s="25">
        <v>251026</v>
      </c>
      <c r="L802" s="23">
        <v>598907</v>
      </c>
      <c r="M802" s="11"/>
      <c r="N802" s="7" t="str">
        <f ca="1">_xlfn.IFNA(VLOOKUP("2"&amp;B802,CountSpecific!E:F,2,0),"")</f>
        <v/>
      </c>
      <c r="O802" s="14" t="str">
        <f ca="1">_xlfn.IFNA(VLOOKUP("3"&amp;B802,CountSpecific!E:F,2,0),"")</f>
        <v/>
      </c>
      <c r="P802" s="7" t="str">
        <f ca="1">_xlfn.IFNA(VLOOKUP("4"&amp;B802,CountSpecific!E:F,2,0),"")</f>
        <v/>
      </c>
    </row>
    <row r="803" spans="1:16" customFormat="1" x14ac:dyDescent="0.25">
      <c r="A803" s="7">
        <v>802</v>
      </c>
      <c r="B803" s="11" t="s">
        <v>818</v>
      </c>
      <c r="C803" s="7" t="s">
        <v>1039</v>
      </c>
      <c r="D803" s="7">
        <v>802</v>
      </c>
      <c r="E803" s="7">
        <v>802</v>
      </c>
      <c r="F803" s="7">
        <v>802</v>
      </c>
      <c r="G803" s="11" t="s">
        <v>1022</v>
      </c>
      <c r="H803" s="20">
        <v>7646</v>
      </c>
      <c r="I803" s="12">
        <v>45296</v>
      </c>
      <c r="J803" s="12">
        <v>45905</v>
      </c>
      <c r="K803" s="25">
        <v>4559</v>
      </c>
      <c r="L803" s="23">
        <v>3087</v>
      </c>
      <c r="M803" s="11"/>
      <c r="N803" s="7" t="str">
        <f ca="1">_xlfn.IFNA(VLOOKUP("2"&amp;B803,CountSpecific!E:F,2,0),"")</f>
        <v/>
      </c>
      <c r="O803" s="14" t="str">
        <f ca="1">_xlfn.IFNA(VLOOKUP("3"&amp;B803,CountSpecific!E:F,2,0),"")</f>
        <v/>
      </c>
      <c r="P803" s="7" t="str">
        <f ca="1">_xlfn.IFNA(VLOOKUP("4"&amp;B803,CountSpecific!E:F,2,0),"")</f>
        <v/>
      </c>
    </row>
    <row r="804" spans="1:16" customFormat="1" x14ac:dyDescent="0.25">
      <c r="A804" s="7">
        <v>803</v>
      </c>
      <c r="B804" s="11" t="s">
        <v>819</v>
      </c>
      <c r="C804" s="7" t="s">
        <v>1039</v>
      </c>
      <c r="D804" s="7">
        <v>803</v>
      </c>
      <c r="E804" s="7">
        <v>803</v>
      </c>
      <c r="F804" s="7">
        <v>803</v>
      </c>
      <c r="G804" s="11" t="s">
        <v>1025</v>
      </c>
      <c r="H804" s="20">
        <v>81701</v>
      </c>
      <c r="I804" s="12">
        <v>44910</v>
      </c>
      <c r="J804" s="12">
        <v>45306</v>
      </c>
      <c r="K804" s="25">
        <v>41589</v>
      </c>
      <c r="L804" s="23">
        <v>40112</v>
      </c>
      <c r="M804" s="11"/>
      <c r="N804" s="7" t="str">
        <f ca="1">_xlfn.IFNA(VLOOKUP("2"&amp;B804,CountSpecific!E:F,2,0),"")</f>
        <v/>
      </c>
      <c r="O804" s="14" t="str">
        <f ca="1">_xlfn.IFNA(VLOOKUP("3"&amp;B804,CountSpecific!E:F,2,0),"")</f>
        <v/>
      </c>
      <c r="P804" s="7" t="str">
        <f ca="1">_xlfn.IFNA(VLOOKUP("4"&amp;B804,CountSpecific!E:F,2,0),"")</f>
        <v/>
      </c>
    </row>
    <row r="805" spans="1:16" customFormat="1" x14ac:dyDescent="0.25">
      <c r="A805" s="7">
        <v>804</v>
      </c>
      <c r="B805" s="11" t="s">
        <v>820</v>
      </c>
      <c r="C805" s="7" t="s">
        <v>1039</v>
      </c>
      <c r="D805" s="7">
        <v>804</v>
      </c>
      <c r="E805" s="9">
        <v>804</v>
      </c>
      <c r="F805" s="7">
        <v>804</v>
      </c>
      <c r="G805" s="11" t="s">
        <v>1020</v>
      </c>
      <c r="H805" s="20">
        <v>340596</v>
      </c>
      <c r="I805" s="12">
        <v>44839</v>
      </c>
      <c r="J805" s="12">
        <v>45540</v>
      </c>
      <c r="K805" s="25">
        <v>190652</v>
      </c>
      <c r="L805" s="23">
        <v>149944</v>
      </c>
      <c r="M805" s="11"/>
      <c r="N805" s="7" t="str">
        <f ca="1">_xlfn.IFNA(VLOOKUP("2"&amp;B805,CountSpecific!E:F,2,0),"")</f>
        <v/>
      </c>
      <c r="O805" s="14" t="str">
        <f ca="1">_xlfn.IFNA(VLOOKUP("3"&amp;B805,CountSpecific!E:F,2,0),"")</f>
        <v/>
      </c>
      <c r="P805" s="7" t="str">
        <f ca="1">_xlfn.IFNA(VLOOKUP("4"&amp;B805,CountSpecific!E:F,2,0),"")</f>
        <v/>
      </c>
    </row>
    <row r="806" spans="1:16" customFormat="1" x14ac:dyDescent="0.25">
      <c r="A806" s="7">
        <v>805</v>
      </c>
      <c r="B806" s="11" t="s">
        <v>821</v>
      </c>
      <c r="C806" s="7" t="s">
        <v>1039</v>
      </c>
      <c r="D806" s="7">
        <v>805</v>
      </c>
      <c r="E806" s="7">
        <v>805</v>
      </c>
      <c r="F806" s="7">
        <v>805</v>
      </c>
      <c r="G806" s="11" t="s">
        <v>1023</v>
      </c>
      <c r="H806" s="20">
        <v>299</v>
      </c>
      <c r="I806" s="12">
        <v>45668</v>
      </c>
      <c r="J806" s="12">
        <v>46123</v>
      </c>
      <c r="K806" s="25">
        <v>149</v>
      </c>
      <c r="L806" s="23">
        <v>150</v>
      </c>
      <c r="M806" s="11"/>
      <c r="N806" s="7" t="str">
        <f ca="1">_xlfn.IFNA(VLOOKUP("2"&amp;B806,CountSpecific!E:F,2,0),"")</f>
        <v/>
      </c>
      <c r="O806" s="14" t="str">
        <f ca="1">_xlfn.IFNA(VLOOKUP("3"&amp;B806,CountSpecific!E:F,2,0),"")</f>
        <v/>
      </c>
      <c r="P806" s="7" t="str">
        <f ca="1">_xlfn.IFNA(VLOOKUP("4"&amp;B806,CountSpecific!E:F,2,0),"")</f>
        <v/>
      </c>
    </row>
    <row r="807" spans="1:16" customFormat="1" x14ac:dyDescent="0.25">
      <c r="A807" s="7">
        <v>806</v>
      </c>
      <c r="B807" s="11" t="s">
        <v>822</v>
      </c>
      <c r="C807" s="7" t="s">
        <v>1039</v>
      </c>
      <c r="D807" s="7">
        <v>806</v>
      </c>
      <c r="E807" s="7">
        <v>806</v>
      </c>
      <c r="F807" s="7">
        <v>806</v>
      </c>
      <c r="G807" s="11" t="s">
        <v>1023</v>
      </c>
      <c r="H807" s="20">
        <v>92</v>
      </c>
      <c r="I807" s="12">
        <v>44352</v>
      </c>
      <c r="J807" s="12">
        <v>44382</v>
      </c>
      <c r="K807" s="25">
        <v>4</v>
      </c>
      <c r="L807" s="23">
        <v>88</v>
      </c>
      <c r="M807" s="11"/>
      <c r="N807" s="7" t="str">
        <f ca="1">_xlfn.IFNA(VLOOKUP("2"&amp;B807,CountSpecific!E:F,2,0),"")</f>
        <v/>
      </c>
      <c r="O807" s="14" t="str">
        <f ca="1">_xlfn.IFNA(VLOOKUP("3"&amp;B807,CountSpecific!E:F,2,0),"")</f>
        <v/>
      </c>
      <c r="P807" s="7" t="str">
        <f ca="1">_xlfn.IFNA(VLOOKUP("4"&amp;B807,CountSpecific!E:F,2,0),"")</f>
        <v/>
      </c>
    </row>
    <row r="808" spans="1:16" customFormat="1" x14ac:dyDescent="0.25">
      <c r="A808" s="7">
        <v>807</v>
      </c>
      <c r="B808" s="11" t="s">
        <v>823</v>
      </c>
      <c r="C808" s="7" t="s">
        <v>1039</v>
      </c>
      <c r="D808" s="7">
        <v>807</v>
      </c>
      <c r="E808" s="9">
        <v>807</v>
      </c>
      <c r="F808" s="7">
        <v>807</v>
      </c>
      <c r="G808" s="11" t="s">
        <v>1027</v>
      </c>
      <c r="H808" s="20">
        <v>31074</v>
      </c>
      <c r="I808" s="12">
        <v>45407</v>
      </c>
      <c r="J808" s="12">
        <v>45863</v>
      </c>
      <c r="K808" s="25">
        <v>26062</v>
      </c>
      <c r="L808" s="23">
        <v>5012</v>
      </c>
      <c r="M808" s="11"/>
      <c r="N808" s="7" t="str">
        <f ca="1">_xlfn.IFNA(VLOOKUP("2"&amp;B808,CountSpecific!E:F,2,0),"")</f>
        <v/>
      </c>
      <c r="O808" s="14" t="str">
        <f ca="1">_xlfn.IFNA(VLOOKUP("3"&amp;B808,CountSpecific!E:F,2,0),"")</f>
        <v/>
      </c>
      <c r="P808" s="7" t="str">
        <f ca="1">_xlfn.IFNA(VLOOKUP("4"&amp;B808,CountSpecific!E:F,2,0),"")</f>
        <v/>
      </c>
    </row>
    <row r="809" spans="1:16" customFormat="1" x14ac:dyDescent="0.25">
      <c r="A809" s="7">
        <v>808</v>
      </c>
      <c r="B809" s="11" t="s">
        <v>824</v>
      </c>
      <c r="C809" s="7" t="s">
        <v>1039</v>
      </c>
      <c r="D809" s="7">
        <v>808</v>
      </c>
      <c r="E809" s="7">
        <v>808</v>
      </c>
      <c r="F809" s="7">
        <v>808</v>
      </c>
      <c r="G809" s="11" t="s">
        <v>1025</v>
      </c>
      <c r="H809" s="20">
        <v>268302</v>
      </c>
      <c r="I809" s="12">
        <v>45029</v>
      </c>
      <c r="J809" s="12">
        <v>45395</v>
      </c>
      <c r="K809" s="25">
        <v>64059</v>
      </c>
      <c r="L809" s="23">
        <v>204243</v>
      </c>
      <c r="M809" s="11"/>
      <c r="N809" s="7" t="str">
        <f ca="1">_xlfn.IFNA(VLOOKUP("2"&amp;B809,CountSpecific!E:F,2,0),"")</f>
        <v/>
      </c>
      <c r="O809" s="14" t="str">
        <f ca="1">_xlfn.IFNA(VLOOKUP("3"&amp;B809,CountSpecific!E:F,2,0),"")</f>
        <v/>
      </c>
      <c r="P809" s="7" t="str">
        <f ca="1">_xlfn.IFNA(VLOOKUP("4"&amp;B809,CountSpecific!E:F,2,0),"")</f>
        <v/>
      </c>
    </row>
    <row r="810" spans="1:16" customFormat="1" x14ac:dyDescent="0.25">
      <c r="A810" s="7">
        <v>809</v>
      </c>
      <c r="B810" s="11" t="s">
        <v>825</v>
      </c>
      <c r="C810" s="7" t="s">
        <v>1039</v>
      </c>
      <c r="D810" s="7">
        <v>809</v>
      </c>
      <c r="E810" s="7">
        <v>809</v>
      </c>
      <c r="F810" s="7">
        <v>809</v>
      </c>
      <c r="G810" s="11" t="s">
        <v>1016</v>
      </c>
      <c r="H810" s="20">
        <v>11658</v>
      </c>
      <c r="I810" s="12">
        <v>44394</v>
      </c>
      <c r="J810" s="12">
        <v>45002</v>
      </c>
      <c r="K810" s="25">
        <v>5986</v>
      </c>
      <c r="L810" s="23">
        <v>5672</v>
      </c>
      <c r="M810" s="11"/>
      <c r="N810" s="7" t="str">
        <f ca="1">_xlfn.IFNA(VLOOKUP("2"&amp;B810,CountSpecific!E:F,2,0),"")</f>
        <v/>
      </c>
      <c r="O810" s="14" t="str">
        <f ca="1">_xlfn.IFNA(VLOOKUP("3"&amp;B810,CountSpecific!E:F,2,0),"")</f>
        <v/>
      </c>
      <c r="P810" s="7" t="str">
        <f ca="1">_xlfn.IFNA(VLOOKUP("4"&amp;B810,CountSpecific!E:F,2,0),"")</f>
        <v/>
      </c>
    </row>
    <row r="811" spans="1:16" customFormat="1" x14ac:dyDescent="0.25">
      <c r="A811" s="7">
        <v>810</v>
      </c>
      <c r="B811" s="11" t="s">
        <v>826</v>
      </c>
      <c r="C811" s="7" t="s">
        <v>1039</v>
      </c>
      <c r="D811" s="7">
        <v>810</v>
      </c>
      <c r="E811" s="9">
        <v>810</v>
      </c>
      <c r="F811" s="7">
        <v>810</v>
      </c>
      <c r="G811" s="11" t="s">
        <v>1021</v>
      </c>
      <c r="H811" s="20">
        <v>77879</v>
      </c>
      <c r="I811" s="12">
        <v>44102</v>
      </c>
      <c r="J811" s="12">
        <v>44709</v>
      </c>
      <c r="K811" s="25">
        <v>57319</v>
      </c>
      <c r="L811" s="23">
        <v>20560</v>
      </c>
      <c r="M811" s="11"/>
      <c r="N811" s="7" t="str">
        <f ca="1">_xlfn.IFNA(VLOOKUP("2"&amp;B811,CountSpecific!E:F,2,0),"")</f>
        <v/>
      </c>
      <c r="O811" s="14" t="str">
        <f ca="1">_xlfn.IFNA(VLOOKUP("3"&amp;B811,CountSpecific!E:F,2,0),"")</f>
        <v/>
      </c>
      <c r="P811" s="7" t="str">
        <f ca="1">_xlfn.IFNA(VLOOKUP("4"&amp;B811,CountSpecific!E:F,2,0),"")</f>
        <v/>
      </c>
    </row>
    <row r="812" spans="1:16" customFormat="1" x14ac:dyDescent="0.25">
      <c r="A812" s="7">
        <v>811</v>
      </c>
      <c r="B812" s="11" t="s">
        <v>827</v>
      </c>
      <c r="C812" s="7" t="s">
        <v>1039</v>
      </c>
      <c r="D812" s="7">
        <v>811</v>
      </c>
      <c r="E812" s="7">
        <v>811</v>
      </c>
      <c r="F812" s="7">
        <v>811</v>
      </c>
      <c r="G812" s="11" t="s">
        <v>1020</v>
      </c>
      <c r="H812" s="20">
        <v>174061</v>
      </c>
      <c r="I812" s="12">
        <v>45248</v>
      </c>
      <c r="J812" s="12">
        <v>45522</v>
      </c>
      <c r="K812" s="25">
        <v>158623</v>
      </c>
      <c r="L812" s="23">
        <v>15438</v>
      </c>
      <c r="M812" s="11"/>
      <c r="N812" s="7" t="str">
        <f ca="1">_xlfn.IFNA(VLOOKUP("2"&amp;B812,CountSpecific!E:F,2,0),"")</f>
        <v/>
      </c>
      <c r="O812" s="14" t="str">
        <f ca="1">_xlfn.IFNA(VLOOKUP("3"&amp;B812,CountSpecific!E:F,2,0),"")</f>
        <v/>
      </c>
      <c r="P812" s="7" t="str">
        <f ca="1">_xlfn.IFNA(VLOOKUP("4"&amp;B812,CountSpecific!E:F,2,0),"")</f>
        <v/>
      </c>
    </row>
    <row r="813" spans="1:16" customFormat="1" x14ac:dyDescent="0.25">
      <c r="A813" s="7">
        <v>812</v>
      </c>
      <c r="B813" s="11" t="s">
        <v>828</v>
      </c>
      <c r="C813" s="7" t="s">
        <v>1039</v>
      </c>
      <c r="D813" s="7">
        <v>812</v>
      </c>
      <c r="E813" s="7">
        <v>812</v>
      </c>
      <c r="F813" s="7">
        <v>812</v>
      </c>
      <c r="G813" s="11" t="s">
        <v>1016</v>
      </c>
      <c r="H813" s="20">
        <v>15104</v>
      </c>
      <c r="I813" s="12">
        <v>45147</v>
      </c>
      <c r="J813" s="12">
        <v>45482</v>
      </c>
      <c r="K813" s="25">
        <v>9187</v>
      </c>
      <c r="L813" s="23">
        <v>5917</v>
      </c>
      <c r="M813" s="11"/>
      <c r="N813" s="7" t="str">
        <f ca="1">_xlfn.IFNA(VLOOKUP("2"&amp;B813,CountSpecific!E:F,2,0),"")</f>
        <v/>
      </c>
      <c r="O813" s="14" t="str">
        <f ca="1">_xlfn.IFNA(VLOOKUP("3"&amp;B813,CountSpecific!E:F,2,0),"")</f>
        <v/>
      </c>
      <c r="P813" s="7" t="str">
        <f ca="1">_xlfn.IFNA(VLOOKUP("4"&amp;B813,CountSpecific!E:F,2,0),"")</f>
        <v/>
      </c>
    </row>
    <row r="814" spans="1:16" customFormat="1" x14ac:dyDescent="0.25">
      <c r="A814" s="7">
        <v>813</v>
      </c>
      <c r="B814" s="11" t="s">
        <v>829</v>
      </c>
      <c r="C814" s="7" t="s">
        <v>1039</v>
      </c>
      <c r="D814" s="7">
        <v>813</v>
      </c>
      <c r="E814" s="9">
        <v>813</v>
      </c>
      <c r="F814" s="7">
        <v>813</v>
      </c>
      <c r="G814" s="11" t="s">
        <v>1022</v>
      </c>
      <c r="H814" s="20">
        <v>26167</v>
      </c>
      <c r="I814" s="12">
        <v>44202</v>
      </c>
      <c r="J814" s="12">
        <v>44414</v>
      </c>
      <c r="K814" s="25">
        <v>18397</v>
      </c>
      <c r="L814" s="23">
        <v>7770</v>
      </c>
      <c r="M814" s="11"/>
      <c r="N814" s="7" t="str">
        <f ca="1">_xlfn.IFNA(VLOOKUP("2"&amp;B814,CountSpecific!E:F,2,0),"")</f>
        <v/>
      </c>
      <c r="O814" s="14" t="str">
        <f ca="1">_xlfn.IFNA(VLOOKUP("3"&amp;B814,CountSpecific!E:F,2,0),"")</f>
        <v/>
      </c>
      <c r="P814" s="7" t="str">
        <f ca="1">_xlfn.IFNA(VLOOKUP("4"&amp;B814,CountSpecific!E:F,2,0),"")</f>
        <v/>
      </c>
    </row>
    <row r="815" spans="1:16" customFormat="1" x14ac:dyDescent="0.25">
      <c r="A815" s="7">
        <v>814</v>
      </c>
      <c r="B815" s="11" t="s">
        <v>830</v>
      </c>
      <c r="C815" s="7" t="s">
        <v>1039</v>
      </c>
      <c r="D815" s="7">
        <v>814</v>
      </c>
      <c r="E815" s="7">
        <v>814</v>
      </c>
      <c r="F815" s="7">
        <v>814</v>
      </c>
      <c r="G815" s="11" t="s">
        <v>1016</v>
      </c>
      <c r="H815" s="20">
        <v>23952</v>
      </c>
      <c r="I815" s="12">
        <v>45342</v>
      </c>
      <c r="J815" s="12">
        <v>45402</v>
      </c>
      <c r="K815" s="25">
        <v>13655</v>
      </c>
      <c r="L815" s="23">
        <v>10297</v>
      </c>
      <c r="M815" s="11"/>
      <c r="N815" s="7" t="str">
        <f ca="1">_xlfn.IFNA(VLOOKUP("2"&amp;B815,CountSpecific!E:F,2,0),"")</f>
        <v/>
      </c>
      <c r="O815" s="14" t="str">
        <f ca="1">_xlfn.IFNA(VLOOKUP("3"&amp;B815,CountSpecific!E:F,2,0),"")</f>
        <v/>
      </c>
      <c r="P815" s="7" t="str">
        <f ca="1">_xlfn.IFNA(VLOOKUP("4"&amp;B815,CountSpecific!E:F,2,0),"")</f>
        <v/>
      </c>
    </row>
    <row r="816" spans="1:16" customFormat="1" x14ac:dyDescent="0.25">
      <c r="A816" s="7">
        <v>815</v>
      </c>
      <c r="B816" s="11" t="s">
        <v>338</v>
      </c>
      <c r="C816" s="7" t="s">
        <v>1039</v>
      </c>
      <c r="D816" s="7">
        <v>815</v>
      </c>
      <c r="E816" s="7">
        <v>815</v>
      </c>
      <c r="F816" s="7">
        <v>815</v>
      </c>
      <c r="G816" s="11" t="s">
        <v>1023</v>
      </c>
      <c r="H816" s="20">
        <v>1115</v>
      </c>
      <c r="I816" s="12">
        <v>44111</v>
      </c>
      <c r="J816" s="12">
        <v>44719</v>
      </c>
      <c r="K816" s="25">
        <v>168</v>
      </c>
      <c r="L816" s="23">
        <v>947</v>
      </c>
      <c r="M816" s="11"/>
      <c r="N816" s="7" t="str">
        <f ca="1">_xlfn.IFNA(VLOOKUP("2"&amp;B816,CountSpecific!E:F,2,0),"")</f>
        <v/>
      </c>
      <c r="O816" s="14" t="str">
        <f ca="1">_xlfn.IFNA(VLOOKUP("3"&amp;B816,CountSpecific!E:F,2,0),"")</f>
        <v/>
      </c>
      <c r="P816" s="7" t="str">
        <f ca="1">_xlfn.IFNA(VLOOKUP("4"&amp;B816,CountSpecific!E:F,2,0),"")</f>
        <v/>
      </c>
    </row>
    <row r="817" spans="1:16" customFormat="1" x14ac:dyDescent="0.25">
      <c r="A817" s="7">
        <v>816</v>
      </c>
      <c r="B817" s="11" t="s">
        <v>831</v>
      </c>
      <c r="C817" s="7" t="s">
        <v>1039</v>
      </c>
      <c r="D817" s="7">
        <v>816</v>
      </c>
      <c r="E817" s="9">
        <v>816</v>
      </c>
      <c r="F817" s="7">
        <v>816</v>
      </c>
      <c r="G817" s="11" t="s">
        <v>1025</v>
      </c>
      <c r="H817" s="20">
        <v>214094</v>
      </c>
      <c r="I817" s="12">
        <v>44579</v>
      </c>
      <c r="J817" s="12">
        <v>45278</v>
      </c>
      <c r="K817" s="25">
        <v>124884</v>
      </c>
      <c r="L817" s="23">
        <v>89210</v>
      </c>
      <c r="M817" s="11"/>
      <c r="N817" s="7" t="str">
        <f ca="1">_xlfn.IFNA(VLOOKUP("2"&amp;B817,CountSpecific!E:F,2,0),"")</f>
        <v/>
      </c>
      <c r="O817" s="14" t="str">
        <f ca="1">_xlfn.IFNA(VLOOKUP("3"&amp;B817,CountSpecific!E:F,2,0),"")</f>
        <v/>
      </c>
      <c r="P817" s="7" t="str">
        <f ca="1">_xlfn.IFNA(VLOOKUP("4"&amp;B817,CountSpecific!E:F,2,0),"")</f>
        <v/>
      </c>
    </row>
    <row r="818" spans="1:16" customFormat="1" x14ac:dyDescent="0.25">
      <c r="A818" s="7">
        <v>817</v>
      </c>
      <c r="B818" s="11" t="s">
        <v>832</v>
      </c>
      <c r="C818" s="7" t="s">
        <v>1039</v>
      </c>
      <c r="D818" s="7">
        <v>817</v>
      </c>
      <c r="E818" s="7">
        <v>817</v>
      </c>
      <c r="F818" s="7">
        <v>817</v>
      </c>
      <c r="G818" s="11" t="s">
        <v>1023</v>
      </c>
      <c r="H818" s="20">
        <v>923</v>
      </c>
      <c r="I818" s="12">
        <v>45283</v>
      </c>
      <c r="J818" s="12">
        <v>45680</v>
      </c>
      <c r="K818" s="25">
        <v>366</v>
      </c>
      <c r="L818" s="23">
        <v>557</v>
      </c>
      <c r="M818" s="11"/>
      <c r="N818" s="7" t="str">
        <f ca="1">_xlfn.IFNA(VLOOKUP("2"&amp;B818,CountSpecific!E:F,2,0),"")</f>
        <v/>
      </c>
      <c r="O818" s="14" t="str">
        <f ca="1">_xlfn.IFNA(VLOOKUP("3"&amp;B818,CountSpecific!E:F,2,0),"")</f>
        <v/>
      </c>
      <c r="P818" s="7" t="str">
        <f ca="1">_xlfn.IFNA(VLOOKUP("4"&amp;B818,CountSpecific!E:F,2,0),"")</f>
        <v/>
      </c>
    </row>
    <row r="819" spans="1:16" customFormat="1" x14ac:dyDescent="0.25">
      <c r="A819" s="7">
        <v>818</v>
      </c>
      <c r="B819" s="11" t="s">
        <v>833</v>
      </c>
      <c r="C819" s="7" t="s">
        <v>1039</v>
      </c>
      <c r="D819" s="7">
        <v>818</v>
      </c>
      <c r="E819" s="7">
        <v>818</v>
      </c>
      <c r="F819" s="7">
        <v>818</v>
      </c>
      <c r="G819" s="11" t="s">
        <v>1022</v>
      </c>
      <c r="H819" s="20">
        <v>18049</v>
      </c>
      <c r="I819" s="12">
        <v>45048</v>
      </c>
      <c r="J819" s="12">
        <v>45537</v>
      </c>
      <c r="K819" s="25">
        <v>9521</v>
      </c>
      <c r="L819" s="23">
        <v>8528</v>
      </c>
      <c r="M819" s="11"/>
      <c r="N819" s="7" t="str">
        <f ca="1">_xlfn.IFNA(VLOOKUP("2"&amp;B819,CountSpecific!E:F,2,0),"")</f>
        <v/>
      </c>
      <c r="O819" s="14" t="str">
        <f ca="1">_xlfn.IFNA(VLOOKUP("3"&amp;B819,CountSpecific!E:F,2,0),"")</f>
        <v/>
      </c>
      <c r="P819" s="7" t="str">
        <f ca="1">_xlfn.IFNA(VLOOKUP("4"&amp;B819,CountSpecific!E:F,2,0),"")</f>
        <v/>
      </c>
    </row>
    <row r="820" spans="1:16" customFormat="1" x14ac:dyDescent="0.25">
      <c r="A820" s="7">
        <v>819</v>
      </c>
      <c r="B820" s="11" t="s">
        <v>834</v>
      </c>
      <c r="C820" s="7" t="s">
        <v>1039</v>
      </c>
      <c r="D820" s="7">
        <v>819</v>
      </c>
      <c r="E820" s="9">
        <v>819</v>
      </c>
      <c r="F820" s="7">
        <v>819</v>
      </c>
      <c r="G820" s="11" t="s">
        <v>1021</v>
      </c>
      <c r="H820" s="20">
        <v>6539</v>
      </c>
      <c r="I820" s="12">
        <v>45458</v>
      </c>
      <c r="J820" s="12">
        <v>45884</v>
      </c>
      <c r="K820" s="25">
        <v>2510</v>
      </c>
      <c r="L820" s="23">
        <v>4029</v>
      </c>
      <c r="M820" s="11"/>
      <c r="N820" s="7" t="str">
        <f ca="1">_xlfn.IFNA(VLOOKUP("2"&amp;B820,CountSpecific!E:F,2,0),"")</f>
        <v/>
      </c>
      <c r="O820" s="14" t="str">
        <f ca="1">_xlfn.IFNA(VLOOKUP("3"&amp;B820,CountSpecific!E:F,2,0),"")</f>
        <v/>
      </c>
      <c r="P820" s="7" t="str">
        <f ca="1">_xlfn.IFNA(VLOOKUP("4"&amp;B820,CountSpecific!E:F,2,0),"")</f>
        <v/>
      </c>
    </row>
    <row r="821" spans="1:16" customFormat="1" x14ac:dyDescent="0.25">
      <c r="A821" s="7">
        <v>820</v>
      </c>
      <c r="B821" s="11" t="s">
        <v>835</v>
      </c>
      <c r="C821" s="7" t="s">
        <v>1039</v>
      </c>
      <c r="D821" s="7">
        <v>820</v>
      </c>
      <c r="E821" s="7">
        <v>820</v>
      </c>
      <c r="F821" s="7">
        <v>820</v>
      </c>
      <c r="G821" s="11" t="s">
        <v>1023</v>
      </c>
      <c r="H821" s="20">
        <v>757</v>
      </c>
      <c r="I821" s="12">
        <v>44761</v>
      </c>
      <c r="J821" s="12">
        <v>44853</v>
      </c>
      <c r="K821" s="25">
        <v>461</v>
      </c>
      <c r="L821" s="23">
        <v>296</v>
      </c>
      <c r="M821" s="11"/>
      <c r="N821" s="7" t="str">
        <f ca="1">_xlfn.IFNA(VLOOKUP("2"&amp;B821,CountSpecific!E:F,2,0),"")</f>
        <v/>
      </c>
      <c r="O821" s="14" t="str">
        <f ca="1">_xlfn.IFNA(VLOOKUP("3"&amp;B821,CountSpecific!E:F,2,0),"")</f>
        <v/>
      </c>
      <c r="P821" s="7" t="str">
        <f ca="1">_xlfn.IFNA(VLOOKUP("4"&amp;B821,CountSpecific!E:F,2,0),"")</f>
        <v/>
      </c>
    </row>
    <row r="822" spans="1:16" customFormat="1" x14ac:dyDescent="0.25">
      <c r="A822" s="7">
        <v>821</v>
      </c>
      <c r="B822" s="11" t="s">
        <v>836</v>
      </c>
      <c r="C822" s="7" t="s">
        <v>1039</v>
      </c>
      <c r="D822" s="7">
        <v>821</v>
      </c>
      <c r="E822" s="7">
        <v>821</v>
      </c>
      <c r="F822" s="7">
        <v>821</v>
      </c>
      <c r="G822" s="11" t="s">
        <v>1025</v>
      </c>
      <c r="H822" s="20">
        <v>400810</v>
      </c>
      <c r="I822" s="12">
        <v>45518</v>
      </c>
      <c r="J822" s="12">
        <v>45671</v>
      </c>
      <c r="K822" s="25">
        <v>362564</v>
      </c>
      <c r="L822" s="23">
        <v>38246</v>
      </c>
      <c r="M822" s="11"/>
      <c r="N822" s="7" t="str">
        <f ca="1">_xlfn.IFNA(VLOOKUP("2"&amp;B822,CountSpecific!E:F,2,0),"")</f>
        <v/>
      </c>
      <c r="O822" s="14" t="str">
        <f ca="1">_xlfn.IFNA(VLOOKUP("3"&amp;B822,CountSpecific!E:F,2,0),"")</f>
        <v/>
      </c>
      <c r="P822" s="7" t="str">
        <f ca="1">_xlfn.IFNA(VLOOKUP("4"&amp;B822,CountSpecific!E:F,2,0),"")</f>
        <v/>
      </c>
    </row>
    <row r="823" spans="1:16" customFormat="1" x14ac:dyDescent="0.25">
      <c r="A823" s="7">
        <v>822</v>
      </c>
      <c r="B823" s="11" t="s">
        <v>837</v>
      </c>
      <c r="C823" s="7" t="s">
        <v>1039</v>
      </c>
      <c r="D823" s="7">
        <v>822</v>
      </c>
      <c r="E823" s="9">
        <v>822</v>
      </c>
      <c r="F823" s="7">
        <v>822</v>
      </c>
      <c r="G823" s="11" t="s">
        <v>1020</v>
      </c>
      <c r="H823" s="20">
        <v>249159</v>
      </c>
      <c r="I823" s="12">
        <v>44424</v>
      </c>
      <c r="J823" s="12">
        <v>44608</v>
      </c>
      <c r="K823" s="25">
        <v>129142</v>
      </c>
      <c r="L823" s="23">
        <v>120017</v>
      </c>
      <c r="M823" s="11"/>
      <c r="N823" s="7" t="str">
        <f ca="1">_xlfn.IFNA(VLOOKUP("2"&amp;B823,CountSpecific!E:F,2,0),"")</f>
        <v/>
      </c>
      <c r="O823" s="14" t="str">
        <f ca="1">_xlfn.IFNA(VLOOKUP("3"&amp;B823,CountSpecific!E:F,2,0),"")</f>
        <v/>
      </c>
      <c r="P823" s="7" t="str">
        <f ca="1">_xlfn.IFNA(VLOOKUP("4"&amp;B823,CountSpecific!E:F,2,0),"")</f>
        <v/>
      </c>
    </row>
    <row r="824" spans="1:16" customFormat="1" x14ac:dyDescent="0.25">
      <c r="A824" s="7">
        <v>823</v>
      </c>
      <c r="B824" s="11" t="s">
        <v>838</v>
      </c>
      <c r="C824" s="7" t="s">
        <v>1039</v>
      </c>
      <c r="D824" s="7">
        <v>823</v>
      </c>
      <c r="E824" s="7">
        <v>823</v>
      </c>
      <c r="F824" s="7">
        <v>823</v>
      </c>
      <c r="G824" s="11" t="s">
        <v>1027</v>
      </c>
      <c r="H824" s="20">
        <v>29178</v>
      </c>
      <c r="I824" s="12">
        <v>44738</v>
      </c>
      <c r="J824" s="12">
        <v>45377</v>
      </c>
      <c r="K824" s="25">
        <v>150</v>
      </c>
      <c r="L824" s="23">
        <v>29028</v>
      </c>
      <c r="M824" s="11"/>
      <c r="N824" s="7" t="str">
        <f ca="1">_xlfn.IFNA(VLOOKUP("2"&amp;B824,CountSpecific!E:F,2,0),"")</f>
        <v/>
      </c>
      <c r="O824" s="14" t="str">
        <f ca="1">_xlfn.IFNA(VLOOKUP("3"&amp;B824,CountSpecific!E:F,2,0),"")</f>
        <v/>
      </c>
      <c r="P824" s="7" t="str">
        <f ca="1">_xlfn.IFNA(VLOOKUP("4"&amp;B824,CountSpecific!E:F,2,0),"")</f>
        <v/>
      </c>
    </row>
    <row r="825" spans="1:16" customFormat="1" x14ac:dyDescent="0.25">
      <c r="A825" s="7">
        <v>824</v>
      </c>
      <c r="B825" s="11" t="s">
        <v>839</v>
      </c>
      <c r="C825" s="7" t="s">
        <v>1039</v>
      </c>
      <c r="D825" s="7">
        <v>824</v>
      </c>
      <c r="E825" s="7">
        <v>824</v>
      </c>
      <c r="F825" s="7">
        <v>824</v>
      </c>
      <c r="G825" s="11" t="s">
        <v>1026</v>
      </c>
      <c r="H825" s="20">
        <v>1483314</v>
      </c>
      <c r="I825" s="12">
        <v>45558</v>
      </c>
      <c r="J825" s="12">
        <v>46257</v>
      </c>
      <c r="K825" s="25">
        <v>450171</v>
      </c>
      <c r="L825" s="23">
        <v>1033143</v>
      </c>
      <c r="M825" s="11"/>
      <c r="N825" s="7" t="str">
        <f ca="1">_xlfn.IFNA(VLOOKUP("2"&amp;B825,CountSpecific!E:F,2,0),"")</f>
        <v/>
      </c>
      <c r="O825" s="14" t="str">
        <f ca="1">_xlfn.IFNA(VLOOKUP("3"&amp;B825,CountSpecific!E:F,2,0),"")</f>
        <v/>
      </c>
      <c r="P825" s="7" t="str">
        <f ca="1">_xlfn.IFNA(VLOOKUP("4"&amp;B825,CountSpecific!E:F,2,0),"")</f>
        <v/>
      </c>
    </row>
    <row r="826" spans="1:16" customFormat="1" x14ac:dyDescent="0.25">
      <c r="A826" s="7">
        <v>825</v>
      </c>
      <c r="B826" s="11" t="s">
        <v>840</v>
      </c>
      <c r="C826" s="7" t="s">
        <v>1039</v>
      </c>
      <c r="D826" s="7">
        <v>825</v>
      </c>
      <c r="E826" s="9">
        <v>825</v>
      </c>
      <c r="F826" s="7">
        <v>825</v>
      </c>
      <c r="G826" s="11" t="s">
        <v>1024</v>
      </c>
      <c r="H826" s="20">
        <v>523327</v>
      </c>
      <c r="I826" s="12">
        <v>44543</v>
      </c>
      <c r="J826" s="12">
        <v>44847</v>
      </c>
      <c r="K826" s="25">
        <v>69053</v>
      </c>
      <c r="L826" s="23">
        <v>454274</v>
      </c>
      <c r="M826" s="11"/>
      <c r="N826" s="7" t="str">
        <f ca="1">_xlfn.IFNA(VLOOKUP("2"&amp;B826,CountSpecific!E:F,2,0),"")</f>
        <v/>
      </c>
      <c r="O826" s="14" t="str">
        <f ca="1">_xlfn.IFNA(VLOOKUP("3"&amp;B826,CountSpecific!E:F,2,0),"")</f>
        <v/>
      </c>
      <c r="P826" s="7" t="str">
        <f ca="1">_xlfn.IFNA(VLOOKUP("4"&amp;B826,CountSpecific!E:F,2,0),"")</f>
        <v/>
      </c>
    </row>
    <row r="827" spans="1:16" customFormat="1" x14ac:dyDescent="0.25">
      <c r="A827" s="7">
        <v>826</v>
      </c>
      <c r="B827" s="11" t="s">
        <v>841</v>
      </c>
      <c r="C827" s="7" t="s">
        <v>1039</v>
      </c>
      <c r="D827" s="7">
        <v>826</v>
      </c>
      <c r="E827" s="7">
        <v>826</v>
      </c>
      <c r="F827" s="7">
        <v>826</v>
      </c>
      <c r="G827" s="11" t="s">
        <v>1022</v>
      </c>
      <c r="H827" s="20">
        <v>17240</v>
      </c>
      <c r="I827" s="12">
        <v>44941</v>
      </c>
      <c r="J827" s="12">
        <v>45641</v>
      </c>
      <c r="K827" s="25">
        <v>9245</v>
      </c>
      <c r="L827" s="23">
        <v>7995</v>
      </c>
      <c r="M827" s="11"/>
      <c r="N827" s="7" t="str">
        <f ca="1">_xlfn.IFNA(VLOOKUP("2"&amp;B827,CountSpecific!E:F,2,0),"")</f>
        <v/>
      </c>
      <c r="O827" s="14" t="str">
        <f ca="1">_xlfn.IFNA(VLOOKUP("3"&amp;B827,CountSpecific!E:F,2,0),"")</f>
        <v/>
      </c>
      <c r="P827" s="7" t="str">
        <f ca="1">_xlfn.IFNA(VLOOKUP("4"&amp;B827,CountSpecific!E:F,2,0),"")</f>
        <v/>
      </c>
    </row>
    <row r="828" spans="1:16" customFormat="1" x14ac:dyDescent="0.25">
      <c r="A828" s="7">
        <v>827</v>
      </c>
      <c r="B828" s="11" t="s">
        <v>842</v>
      </c>
      <c r="C828" s="7" t="s">
        <v>1039</v>
      </c>
      <c r="D828" s="7">
        <v>827</v>
      </c>
      <c r="E828" s="7">
        <v>827</v>
      </c>
      <c r="F828" s="7">
        <v>827</v>
      </c>
      <c r="G828" s="11" t="s">
        <v>1025</v>
      </c>
      <c r="H828" s="20">
        <v>320729</v>
      </c>
      <c r="I828" s="12">
        <v>44829</v>
      </c>
      <c r="J828" s="12">
        <v>45498</v>
      </c>
      <c r="K828" s="25">
        <v>48024</v>
      </c>
      <c r="L828" s="23">
        <v>272705</v>
      </c>
      <c r="M828" s="11"/>
      <c r="N828" s="7" t="str">
        <f ca="1">_xlfn.IFNA(VLOOKUP("2"&amp;B828,CountSpecific!E:F,2,0),"")</f>
        <v/>
      </c>
      <c r="O828" s="14" t="str">
        <f ca="1">_xlfn.IFNA(VLOOKUP("3"&amp;B828,CountSpecific!E:F,2,0),"")</f>
        <v/>
      </c>
      <c r="P828" s="7" t="str">
        <f ca="1">_xlfn.IFNA(VLOOKUP("4"&amp;B828,CountSpecific!E:F,2,0),"")</f>
        <v/>
      </c>
    </row>
    <row r="829" spans="1:16" customFormat="1" x14ac:dyDescent="0.25">
      <c r="A829" s="7">
        <v>828</v>
      </c>
      <c r="B829" s="11" t="s">
        <v>843</v>
      </c>
      <c r="C829" s="7" t="s">
        <v>1039</v>
      </c>
      <c r="D829" s="7">
        <v>828</v>
      </c>
      <c r="E829" s="9">
        <v>828</v>
      </c>
      <c r="F829" s="7">
        <v>828</v>
      </c>
      <c r="G829" s="11" t="s">
        <v>1022</v>
      </c>
      <c r="H829" s="20">
        <v>16674</v>
      </c>
      <c r="I829" s="12">
        <v>44190</v>
      </c>
      <c r="J829" s="12">
        <v>44617</v>
      </c>
      <c r="K829" s="25">
        <v>10433</v>
      </c>
      <c r="L829" s="23">
        <v>6241</v>
      </c>
      <c r="M829" s="11"/>
      <c r="N829" s="7" t="str">
        <f ca="1">_xlfn.IFNA(VLOOKUP("2"&amp;B829,CountSpecific!E:F,2,0),"")</f>
        <v/>
      </c>
      <c r="O829" s="14" t="str">
        <f ca="1">_xlfn.IFNA(VLOOKUP("3"&amp;B829,CountSpecific!E:F,2,0),"")</f>
        <v/>
      </c>
      <c r="P829" s="7" t="str">
        <f ca="1">_xlfn.IFNA(VLOOKUP("4"&amp;B829,CountSpecific!E:F,2,0),"")</f>
        <v/>
      </c>
    </row>
    <row r="830" spans="1:16" customFormat="1" x14ac:dyDescent="0.25">
      <c r="A830" s="7">
        <v>829</v>
      </c>
      <c r="B830" s="11" t="s">
        <v>844</v>
      </c>
      <c r="C830" s="7" t="s">
        <v>1039</v>
      </c>
      <c r="D830" s="7">
        <v>829</v>
      </c>
      <c r="E830" s="7">
        <v>829</v>
      </c>
      <c r="F830" s="7">
        <v>829</v>
      </c>
      <c r="G830" s="11" t="s">
        <v>1024</v>
      </c>
      <c r="H830" s="20">
        <v>646912</v>
      </c>
      <c r="I830" s="12">
        <v>44552</v>
      </c>
      <c r="J830" s="12">
        <v>44979</v>
      </c>
      <c r="K830" s="25">
        <v>249605</v>
      </c>
      <c r="L830" s="23">
        <v>397307</v>
      </c>
      <c r="M830" s="11"/>
      <c r="N830" s="7" t="str">
        <f ca="1">_xlfn.IFNA(VLOOKUP("2"&amp;B830,CountSpecific!E:F,2,0),"")</f>
        <v/>
      </c>
      <c r="O830" s="14" t="str">
        <f ca="1">_xlfn.IFNA(VLOOKUP("3"&amp;B830,CountSpecific!E:F,2,0),"")</f>
        <v/>
      </c>
      <c r="P830" s="7" t="str">
        <f ca="1">_xlfn.IFNA(VLOOKUP("4"&amp;B830,CountSpecific!E:F,2,0),"")</f>
        <v/>
      </c>
    </row>
    <row r="831" spans="1:16" customFormat="1" x14ac:dyDescent="0.25">
      <c r="A831" s="7">
        <v>830</v>
      </c>
      <c r="B831" s="11" t="s">
        <v>845</v>
      </c>
      <c r="C831" s="7" t="s">
        <v>1039</v>
      </c>
      <c r="D831" s="7">
        <v>830</v>
      </c>
      <c r="E831" s="7">
        <v>830</v>
      </c>
      <c r="F831" s="7">
        <v>830</v>
      </c>
      <c r="G831" s="11" t="s">
        <v>1026</v>
      </c>
      <c r="H831" s="20">
        <v>3975290</v>
      </c>
      <c r="I831" s="12">
        <v>45323</v>
      </c>
      <c r="J831" s="12">
        <v>45962</v>
      </c>
      <c r="K831" s="25">
        <v>1217455</v>
      </c>
      <c r="L831" s="23">
        <v>2757835</v>
      </c>
      <c r="M831" s="11"/>
      <c r="N831" s="7" t="str">
        <f ca="1">_xlfn.IFNA(VLOOKUP("2"&amp;B831,CountSpecific!E:F,2,0),"")</f>
        <v/>
      </c>
      <c r="O831" s="14" t="str">
        <f ca="1">_xlfn.IFNA(VLOOKUP("3"&amp;B831,CountSpecific!E:F,2,0),"")</f>
        <v/>
      </c>
      <c r="P831" s="7" t="str">
        <f ca="1">_xlfn.IFNA(VLOOKUP("4"&amp;B831,CountSpecific!E:F,2,0),"")</f>
        <v/>
      </c>
    </row>
    <row r="832" spans="1:16" customFormat="1" x14ac:dyDescent="0.25">
      <c r="A832" s="7">
        <v>831</v>
      </c>
      <c r="B832" s="11" t="s">
        <v>846</v>
      </c>
      <c r="C832" s="7" t="s">
        <v>1039</v>
      </c>
      <c r="D832" s="7">
        <v>831</v>
      </c>
      <c r="E832" s="9">
        <v>831</v>
      </c>
      <c r="F832" s="7">
        <v>831</v>
      </c>
      <c r="G832" s="11" t="s">
        <v>1020</v>
      </c>
      <c r="H832" s="20">
        <v>436773</v>
      </c>
      <c r="I832" s="12">
        <v>45073</v>
      </c>
      <c r="J832" s="12">
        <v>45409</v>
      </c>
      <c r="K832" s="25">
        <v>38374</v>
      </c>
      <c r="L832" s="23">
        <v>398399</v>
      </c>
      <c r="M832" s="11"/>
      <c r="N832" s="7" t="str">
        <f ca="1">_xlfn.IFNA(VLOOKUP("2"&amp;B832,CountSpecific!E:F,2,0),"")</f>
        <v/>
      </c>
      <c r="O832" s="14" t="str">
        <f ca="1">_xlfn.IFNA(VLOOKUP("3"&amp;B832,CountSpecific!E:F,2,0),"")</f>
        <v/>
      </c>
      <c r="P832" s="7" t="str">
        <f ca="1">_xlfn.IFNA(VLOOKUP("4"&amp;B832,CountSpecific!E:F,2,0),"")</f>
        <v/>
      </c>
    </row>
    <row r="833" spans="1:16" customFormat="1" x14ac:dyDescent="0.25">
      <c r="A833" s="7">
        <v>832</v>
      </c>
      <c r="B833" s="11" t="s">
        <v>847</v>
      </c>
      <c r="C833" s="7" t="s">
        <v>1039</v>
      </c>
      <c r="D833" s="7">
        <v>832</v>
      </c>
      <c r="E833" s="7">
        <v>832</v>
      </c>
      <c r="F833" s="7">
        <v>832</v>
      </c>
      <c r="G833" s="11" t="s">
        <v>1023</v>
      </c>
      <c r="H833" s="20">
        <v>1346</v>
      </c>
      <c r="I833" s="12">
        <v>44284</v>
      </c>
      <c r="J833" s="12">
        <v>44468</v>
      </c>
      <c r="K833" s="25">
        <v>749</v>
      </c>
      <c r="L833" s="23">
        <v>597</v>
      </c>
      <c r="M833" s="11"/>
      <c r="N833" s="7" t="str">
        <f ca="1">_xlfn.IFNA(VLOOKUP("2"&amp;B833,CountSpecific!E:F,2,0),"")</f>
        <v/>
      </c>
      <c r="O833" s="14" t="str">
        <f ca="1">_xlfn.IFNA(VLOOKUP("3"&amp;B833,CountSpecific!E:F,2,0),"")</f>
        <v/>
      </c>
      <c r="P833" s="7" t="str">
        <f ca="1">_xlfn.IFNA(VLOOKUP("4"&amp;B833,CountSpecific!E:F,2,0),"")</f>
        <v/>
      </c>
    </row>
    <row r="834" spans="1:16" customFormat="1" x14ac:dyDescent="0.25">
      <c r="A834" s="7">
        <v>833</v>
      </c>
      <c r="B834" s="11" t="s">
        <v>848</v>
      </c>
      <c r="C834" s="7" t="s">
        <v>1039</v>
      </c>
      <c r="D834" s="7">
        <v>833</v>
      </c>
      <c r="E834" s="7">
        <v>833</v>
      </c>
      <c r="F834" s="7">
        <v>833</v>
      </c>
      <c r="G834" s="11" t="s">
        <v>1025</v>
      </c>
      <c r="H834" s="20">
        <v>131092</v>
      </c>
      <c r="I834" s="12">
        <v>45150</v>
      </c>
      <c r="J834" s="12">
        <v>45728</v>
      </c>
      <c r="K834" s="25">
        <v>18924</v>
      </c>
      <c r="L834" s="23">
        <v>112168</v>
      </c>
      <c r="M834" s="11"/>
      <c r="N834" s="7" t="str">
        <f ca="1">_xlfn.IFNA(VLOOKUP("2"&amp;B834,CountSpecific!E:F,2,0),"")</f>
        <v/>
      </c>
      <c r="O834" s="14" t="str">
        <f ca="1">_xlfn.IFNA(VLOOKUP("3"&amp;B834,CountSpecific!E:F,2,0),"")</f>
        <v/>
      </c>
      <c r="P834" s="7" t="str">
        <f ca="1">_xlfn.IFNA(VLOOKUP("4"&amp;B834,CountSpecific!E:F,2,0),"")</f>
        <v/>
      </c>
    </row>
    <row r="835" spans="1:16" customFormat="1" x14ac:dyDescent="0.25">
      <c r="A835" s="7">
        <v>834</v>
      </c>
      <c r="B835" s="11" t="s">
        <v>849</v>
      </c>
      <c r="C835" s="7" t="s">
        <v>1039</v>
      </c>
      <c r="D835" s="7">
        <v>834</v>
      </c>
      <c r="E835" s="9">
        <v>834</v>
      </c>
      <c r="F835" s="7">
        <v>834</v>
      </c>
      <c r="G835" s="11" t="s">
        <v>1025</v>
      </c>
      <c r="H835" s="20">
        <v>115583</v>
      </c>
      <c r="I835" s="12">
        <v>44534</v>
      </c>
      <c r="J835" s="12">
        <v>44838</v>
      </c>
      <c r="K835" s="25">
        <v>101235</v>
      </c>
      <c r="L835" s="23">
        <v>14348</v>
      </c>
      <c r="M835" s="11"/>
      <c r="N835" s="7" t="str">
        <f ca="1">_xlfn.IFNA(VLOOKUP("2"&amp;B835,CountSpecific!E:F,2,0),"")</f>
        <v/>
      </c>
      <c r="O835" s="14" t="str">
        <f ca="1">_xlfn.IFNA(VLOOKUP("3"&amp;B835,CountSpecific!E:F,2,0),"")</f>
        <v/>
      </c>
      <c r="P835" s="7" t="str">
        <f ca="1">_xlfn.IFNA(VLOOKUP("4"&amp;B835,CountSpecific!E:F,2,0),"")</f>
        <v/>
      </c>
    </row>
    <row r="836" spans="1:16" customFormat="1" x14ac:dyDescent="0.25">
      <c r="A836" s="7">
        <v>835</v>
      </c>
      <c r="B836" s="11" t="s">
        <v>850</v>
      </c>
      <c r="C836" s="7" t="s">
        <v>1039</v>
      </c>
      <c r="D836" s="7">
        <v>835</v>
      </c>
      <c r="E836" s="7">
        <v>835</v>
      </c>
      <c r="F836" s="7">
        <v>835</v>
      </c>
      <c r="G836" s="11" t="s">
        <v>1026</v>
      </c>
      <c r="H836" s="20">
        <v>3740478</v>
      </c>
      <c r="I836" s="12">
        <v>44357</v>
      </c>
      <c r="J836" s="12">
        <v>44967</v>
      </c>
      <c r="K836" s="25">
        <v>95278</v>
      </c>
      <c r="L836" s="23">
        <v>3645200</v>
      </c>
      <c r="M836" s="11"/>
      <c r="N836" s="7" t="str">
        <f ca="1">_xlfn.IFNA(VLOOKUP("2"&amp;B836,CountSpecific!E:F,2,0),"")</f>
        <v/>
      </c>
      <c r="O836" s="14" t="str">
        <f ca="1">_xlfn.IFNA(VLOOKUP("3"&amp;B836,CountSpecific!E:F,2,0),"")</f>
        <v/>
      </c>
      <c r="P836" s="7" t="str">
        <f ca="1">_xlfn.IFNA(VLOOKUP("4"&amp;B836,CountSpecific!E:F,2,0),"")</f>
        <v/>
      </c>
    </row>
    <row r="837" spans="1:16" customFormat="1" x14ac:dyDescent="0.25">
      <c r="A837" s="7">
        <v>836</v>
      </c>
      <c r="B837" s="11" t="s">
        <v>851</v>
      </c>
      <c r="C837" s="7" t="s">
        <v>1039</v>
      </c>
      <c r="D837" s="7">
        <v>836</v>
      </c>
      <c r="E837" s="7">
        <v>836</v>
      </c>
      <c r="F837" s="7">
        <v>836</v>
      </c>
      <c r="G837" s="11" t="s">
        <v>1020</v>
      </c>
      <c r="H837" s="20">
        <v>384844</v>
      </c>
      <c r="I837" s="12">
        <v>44838</v>
      </c>
      <c r="J837" s="12">
        <v>45355</v>
      </c>
      <c r="K837" s="25">
        <v>238400</v>
      </c>
      <c r="L837" s="23">
        <v>146444</v>
      </c>
      <c r="M837" s="11"/>
      <c r="N837" s="7" t="str">
        <f ca="1">_xlfn.IFNA(VLOOKUP("2"&amp;B837,CountSpecific!E:F,2,0),"")</f>
        <v/>
      </c>
      <c r="O837" s="14" t="str">
        <f ca="1">_xlfn.IFNA(VLOOKUP("3"&amp;B837,CountSpecific!E:F,2,0),"")</f>
        <v/>
      </c>
      <c r="P837" s="7" t="str">
        <f ca="1">_xlfn.IFNA(VLOOKUP("4"&amp;B837,CountSpecific!E:F,2,0),"")</f>
        <v/>
      </c>
    </row>
    <row r="838" spans="1:16" customFormat="1" x14ac:dyDescent="0.25">
      <c r="A838" s="7">
        <v>837</v>
      </c>
      <c r="B838" s="11" t="s">
        <v>852</v>
      </c>
      <c r="C838" s="7" t="s">
        <v>1039</v>
      </c>
      <c r="D838" s="7">
        <v>837</v>
      </c>
      <c r="E838" s="9">
        <v>837</v>
      </c>
      <c r="F838" s="7">
        <v>837</v>
      </c>
      <c r="G838" s="11" t="s">
        <v>1026</v>
      </c>
      <c r="H838" s="20">
        <v>1538197</v>
      </c>
      <c r="I838" s="12">
        <v>45673</v>
      </c>
      <c r="J838" s="12">
        <v>46158</v>
      </c>
      <c r="K838" s="25">
        <v>224445</v>
      </c>
      <c r="L838" s="23">
        <v>1313752</v>
      </c>
      <c r="M838" s="11"/>
      <c r="N838" s="7" t="str">
        <f ca="1">_xlfn.IFNA(VLOOKUP("2"&amp;B838,CountSpecific!E:F,2,0),"")</f>
        <v/>
      </c>
      <c r="O838" s="14" t="str">
        <f ca="1">_xlfn.IFNA(VLOOKUP("3"&amp;B838,CountSpecific!E:F,2,0),"")</f>
        <v/>
      </c>
      <c r="P838" s="7" t="str">
        <f ca="1">_xlfn.IFNA(VLOOKUP("4"&amp;B838,CountSpecific!E:F,2,0),"")</f>
        <v/>
      </c>
    </row>
    <row r="839" spans="1:16" customFormat="1" x14ac:dyDescent="0.25">
      <c r="A839" s="7">
        <v>838</v>
      </c>
      <c r="B839" s="11" t="s">
        <v>853</v>
      </c>
      <c r="C839" s="7" t="s">
        <v>1039</v>
      </c>
      <c r="D839" s="7">
        <v>838</v>
      </c>
      <c r="E839" s="7">
        <v>838</v>
      </c>
      <c r="F839" s="7">
        <v>838</v>
      </c>
      <c r="G839" s="11" t="s">
        <v>1025</v>
      </c>
      <c r="H839" s="20">
        <v>470386</v>
      </c>
      <c r="I839" s="12">
        <v>44587</v>
      </c>
      <c r="J839" s="12">
        <v>45103</v>
      </c>
      <c r="K839" s="25">
        <v>207668</v>
      </c>
      <c r="L839" s="23">
        <v>262718</v>
      </c>
      <c r="M839" s="11"/>
      <c r="N839" s="7" t="str">
        <f ca="1">_xlfn.IFNA(VLOOKUP("2"&amp;B839,CountSpecific!E:F,2,0),"")</f>
        <v/>
      </c>
      <c r="O839" s="14" t="str">
        <f ca="1">_xlfn.IFNA(VLOOKUP("3"&amp;B839,CountSpecific!E:F,2,0),"")</f>
        <v/>
      </c>
      <c r="P839" s="7" t="str">
        <f ca="1">_xlfn.IFNA(VLOOKUP("4"&amp;B839,CountSpecific!E:F,2,0),"")</f>
        <v/>
      </c>
    </row>
    <row r="840" spans="1:16" customFormat="1" x14ac:dyDescent="0.25">
      <c r="A840" s="7">
        <v>839</v>
      </c>
      <c r="B840" s="11" t="s">
        <v>854</v>
      </c>
      <c r="C840" s="7" t="s">
        <v>1039</v>
      </c>
      <c r="D840" s="7">
        <v>839</v>
      </c>
      <c r="E840" s="7">
        <v>839</v>
      </c>
      <c r="F840" s="7">
        <v>839</v>
      </c>
      <c r="G840" s="11" t="s">
        <v>1016</v>
      </c>
      <c r="H840" s="20">
        <v>31620</v>
      </c>
      <c r="I840" s="12">
        <v>45589</v>
      </c>
      <c r="J840" s="12">
        <v>45862</v>
      </c>
      <c r="K840" s="25">
        <v>2088</v>
      </c>
      <c r="L840" s="23">
        <v>29532</v>
      </c>
      <c r="M840" s="11"/>
      <c r="N840" s="7" t="str">
        <f ca="1">_xlfn.IFNA(VLOOKUP("2"&amp;B840,CountSpecific!E:F,2,0),"")</f>
        <v/>
      </c>
      <c r="O840" s="14" t="str">
        <f ca="1">_xlfn.IFNA(VLOOKUP("3"&amp;B840,CountSpecific!E:F,2,0),"")</f>
        <v/>
      </c>
      <c r="P840" s="7" t="str">
        <f ca="1">_xlfn.IFNA(VLOOKUP("4"&amp;B840,CountSpecific!E:F,2,0),"")</f>
        <v/>
      </c>
    </row>
    <row r="841" spans="1:16" customFormat="1" x14ac:dyDescent="0.25">
      <c r="A841" s="7">
        <v>840</v>
      </c>
      <c r="B841" s="11" t="s">
        <v>855</v>
      </c>
      <c r="C841" s="7" t="s">
        <v>1039</v>
      </c>
      <c r="D841" s="7">
        <v>840</v>
      </c>
      <c r="E841" s="9">
        <v>840</v>
      </c>
      <c r="F841" s="7">
        <v>840</v>
      </c>
      <c r="G841" s="11" t="s">
        <v>1023</v>
      </c>
      <c r="H841" s="20">
        <v>1375</v>
      </c>
      <c r="I841" s="12">
        <v>44307</v>
      </c>
      <c r="J841" s="12">
        <v>44855</v>
      </c>
      <c r="K841" s="25">
        <v>614</v>
      </c>
      <c r="L841" s="23">
        <v>761</v>
      </c>
      <c r="M841" s="11"/>
      <c r="N841" s="7" t="str">
        <f ca="1">_xlfn.IFNA(VLOOKUP("2"&amp;B841,CountSpecific!E:F,2,0),"")</f>
        <v/>
      </c>
      <c r="O841" s="14" t="str">
        <f ca="1">_xlfn.IFNA(VLOOKUP("3"&amp;B841,CountSpecific!E:F,2,0),"")</f>
        <v/>
      </c>
      <c r="P841" s="7" t="str">
        <f ca="1">_xlfn.IFNA(VLOOKUP("4"&amp;B841,CountSpecific!E:F,2,0),"")</f>
        <v/>
      </c>
    </row>
    <row r="842" spans="1:16" customFormat="1" x14ac:dyDescent="0.25">
      <c r="A842" s="7">
        <v>841</v>
      </c>
      <c r="B842" s="11" t="s">
        <v>856</v>
      </c>
      <c r="C842" s="7" t="s">
        <v>1039</v>
      </c>
      <c r="D842" s="7">
        <v>841</v>
      </c>
      <c r="E842" s="7">
        <v>841</v>
      </c>
      <c r="F842" s="7">
        <v>841</v>
      </c>
      <c r="G842" s="11" t="s">
        <v>1022</v>
      </c>
      <c r="H842" s="20">
        <v>32901</v>
      </c>
      <c r="I842" s="12">
        <v>44784</v>
      </c>
      <c r="J842" s="12">
        <v>45515</v>
      </c>
      <c r="K842" s="25">
        <v>14709</v>
      </c>
      <c r="L842" s="23">
        <v>18192</v>
      </c>
      <c r="M842" s="11"/>
      <c r="N842" s="7" t="str">
        <f ca="1">_xlfn.IFNA(VLOOKUP("2"&amp;B842,CountSpecific!E:F,2,0),"")</f>
        <v/>
      </c>
      <c r="O842" s="14" t="str">
        <f ca="1">_xlfn.IFNA(VLOOKUP("3"&amp;B842,CountSpecific!E:F,2,0),"")</f>
        <v/>
      </c>
      <c r="P842" s="7" t="str">
        <f ca="1">_xlfn.IFNA(VLOOKUP("4"&amp;B842,CountSpecific!E:F,2,0),"")</f>
        <v/>
      </c>
    </row>
    <row r="843" spans="1:16" customFormat="1" x14ac:dyDescent="0.25">
      <c r="A843" s="7">
        <v>842</v>
      </c>
      <c r="B843" s="11" t="s">
        <v>857</v>
      </c>
      <c r="C843" s="7" t="s">
        <v>1039</v>
      </c>
      <c r="D843" s="7">
        <v>842</v>
      </c>
      <c r="E843" s="7">
        <v>842</v>
      </c>
      <c r="F843" s="7">
        <v>842</v>
      </c>
      <c r="G843" s="11" t="s">
        <v>1025</v>
      </c>
      <c r="H843" s="20">
        <v>331958</v>
      </c>
      <c r="I843" s="12">
        <v>44483</v>
      </c>
      <c r="J843" s="12">
        <v>44514</v>
      </c>
      <c r="K843" s="25">
        <v>307731</v>
      </c>
      <c r="L843" s="23">
        <v>24227</v>
      </c>
      <c r="M843" s="11"/>
      <c r="N843" s="7" t="str">
        <f ca="1">_xlfn.IFNA(VLOOKUP("2"&amp;B843,CountSpecific!E:F,2,0),"")</f>
        <v/>
      </c>
      <c r="O843" s="14" t="str">
        <f ca="1">_xlfn.IFNA(VLOOKUP("3"&amp;B843,CountSpecific!E:F,2,0),"")</f>
        <v/>
      </c>
      <c r="P843" s="7" t="str">
        <f ca="1">_xlfn.IFNA(VLOOKUP("4"&amp;B843,CountSpecific!E:F,2,0),"")</f>
        <v/>
      </c>
    </row>
    <row r="844" spans="1:16" customFormat="1" x14ac:dyDescent="0.25">
      <c r="A844" s="7">
        <v>843</v>
      </c>
      <c r="B844" s="11" t="s">
        <v>858</v>
      </c>
      <c r="C844" s="7" t="s">
        <v>1039</v>
      </c>
      <c r="D844" s="7">
        <v>843</v>
      </c>
      <c r="E844" s="9">
        <v>843</v>
      </c>
      <c r="F844" s="7">
        <v>843</v>
      </c>
      <c r="G844" s="11" t="s">
        <v>1023</v>
      </c>
      <c r="H844" s="20">
        <v>155</v>
      </c>
      <c r="I844" s="12">
        <v>45161</v>
      </c>
      <c r="J844" s="12">
        <v>45283</v>
      </c>
      <c r="K844" s="25">
        <v>46</v>
      </c>
      <c r="L844" s="23">
        <v>109</v>
      </c>
      <c r="M844" s="11"/>
      <c r="N844" s="7" t="str">
        <f ca="1">_xlfn.IFNA(VLOOKUP("2"&amp;B844,CountSpecific!E:F,2,0),"")</f>
        <v/>
      </c>
      <c r="O844" s="14" t="str">
        <f ca="1">_xlfn.IFNA(VLOOKUP("3"&amp;B844,CountSpecific!E:F,2,0),"")</f>
        <v/>
      </c>
      <c r="P844" s="7" t="str">
        <f ca="1">_xlfn.IFNA(VLOOKUP("4"&amp;B844,CountSpecific!E:F,2,0),"")</f>
        <v/>
      </c>
    </row>
    <row r="845" spans="1:16" customFormat="1" x14ac:dyDescent="0.25">
      <c r="A845" s="7">
        <v>844</v>
      </c>
      <c r="B845" s="11" t="s">
        <v>859</v>
      </c>
      <c r="C845" s="7" t="s">
        <v>1039</v>
      </c>
      <c r="D845" s="7">
        <v>844</v>
      </c>
      <c r="E845" s="7">
        <v>844</v>
      </c>
      <c r="F845" s="7">
        <v>844</v>
      </c>
      <c r="G845" s="11" t="s">
        <v>1022</v>
      </c>
      <c r="H845" s="20">
        <v>32283</v>
      </c>
      <c r="I845" s="12">
        <v>44174</v>
      </c>
      <c r="J845" s="12">
        <v>44356</v>
      </c>
      <c r="K845" s="25">
        <v>3816</v>
      </c>
      <c r="L845" s="23">
        <v>28467</v>
      </c>
      <c r="M845" s="11"/>
      <c r="N845" s="7" t="str">
        <f ca="1">_xlfn.IFNA(VLOOKUP("2"&amp;B845,CountSpecific!E:F,2,0),"")</f>
        <v/>
      </c>
      <c r="O845" s="14" t="str">
        <f ca="1">_xlfn.IFNA(VLOOKUP("3"&amp;B845,CountSpecific!E:F,2,0),"")</f>
        <v/>
      </c>
      <c r="P845" s="7" t="str">
        <f ca="1">_xlfn.IFNA(VLOOKUP("4"&amp;B845,CountSpecific!E:F,2,0),"")</f>
        <v/>
      </c>
    </row>
    <row r="846" spans="1:16" customFormat="1" x14ac:dyDescent="0.25">
      <c r="A846" s="7">
        <v>845</v>
      </c>
      <c r="B846" s="11" t="s">
        <v>860</v>
      </c>
      <c r="C846" s="7" t="s">
        <v>1039</v>
      </c>
      <c r="D846" s="7">
        <v>845</v>
      </c>
      <c r="E846" s="7">
        <v>845</v>
      </c>
      <c r="F846" s="7">
        <v>845</v>
      </c>
      <c r="G846" s="11" t="s">
        <v>1020</v>
      </c>
      <c r="H846" s="20">
        <v>224512</v>
      </c>
      <c r="I846" s="12">
        <v>45435</v>
      </c>
      <c r="J846" s="12">
        <v>45466</v>
      </c>
      <c r="K846" s="25">
        <v>161471</v>
      </c>
      <c r="L846" s="23">
        <v>63041</v>
      </c>
      <c r="M846" s="11"/>
      <c r="N846" s="7" t="str">
        <f ca="1">_xlfn.IFNA(VLOOKUP("2"&amp;B846,CountSpecific!E:F,2,0),"")</f>
        <v/>
      </c>
      <c r="O846" s="14" t="str">
        <f ca="1">_xlfn.IFNA(VLOOKUP("3"&amp;B846,CountSpecific!E:F,2,0),"")</f>
        <v/>
      </c>
      <c r="P846" s="7" t="str">
        <f ca="1">_xlfn.IFNA(VLOOKUP("4"&amp;B846,CountSpecific!E:F,2,0),"")</f>
        <v/>
      </c>
    </row>
    <row r="847" spans="1:16" customFormat="1" x14ac:dyDescent="0.25">
      <c r="A847" s="7">
        <v>846</v>
      </c>
      <c r="B847" s="11" t="s">
        <v>861</v>
      </c>
      <c r="C847" s="7" t="s">
        <v>1039</v>
      </c>
      <c r="D847" s="7">
        <v>846</v>
      </c>
      <c r="E847" s="9">
        <v>846</v>
      </c>
      <c r="F847" s="7">
        <v>846</v>
      </c>
      <c r="G847" s="11" t="s">
        <v>1023</v>
      </c>
      <c r="H847" s="20">
        <v>213</v>
      </c>
      <c r="I847" s="12">
        <v>44659</v>
      </c>
      <c r="J847" s="12">
        <v>45238</v>
      </c>
      <c r="K847" s="25">
        <v>66</v>
      </c>
      <c r="L847" s="23">
        <v>147</v>
      </c>
      <c r="M847" s="11"/>
      <c r="N847" s="7" t="str">
        <f ca="1">_xlfn.IFNA(VLOOKUP("2"&amp;B847,CountSpecific!E:F,2,0),"")</f>
        <v/>
      </c>
      <c r="O847" s="14" t="str">
        <f ca="1">_xlfn.IFNA(VLOOKUP("3"&amp;B847,CountSpecific!E:F,2,0),"")</f>
        <v/>
      </c>
      <c r="P847" s="7" t="str">
        <f ca="1">_xlfn.IFNA(VLOOKUP("4"&amp;B847,CountSpecific!E:F,2,0),"")</f>
        <v/>
      </c>
    </row>
    <row r="848" spans="1:16" customFormat="1" x14ac:dyDescent="0.25">
      <c r="A848" s="7">
        <v>847</v>
      </c>
      <c r="B848" s="11" t="s">
        <v>862</v>
      </c>
      <c r="C848" s="7" t="s">
        <v>1039</v>
      </c>
      <c r="D848" s="7">
        <v>847</v>
      </c>
      <c r="E848" s="7">
        <v>847</v>
      </c>
      <c r="F848" s="7">
        <v>847</v>
      </c>
      <c r="G848" s="11" t="s">
        <v>1016</v>
      </c>
      <c r="H848" s="20">
        <v>1628</v>
      </c>
      <c r="I848" s="12">
        <v>45611</v>
      </c>
      <c r="J848" s="12">
        <v>45976</v>
      </c>
      <c r="K848" s="25">
        <v>199</v>
      </c>
      <c r="L848" s="23">
        <v>1429</v>
      </c>
      <c r="M848" s="11"/>
      <c r="N848" s="7" t="str">
        <f ca="1">_xlfn.IFNA(VLOOKUP("2"&amp;B848,CountSpecific!E:F,2,0),"")</f>
        <v/>
      </c>
      <c r="O848" s="14" t="str">
        <f ca="1">_xlfn.IFNA(VLOOKUP("3"&amp;B848,CountSpecific!E:F,2,0),"")</f>
        <v/>
      </c>
      <c r="P848" s="7" t="str">
        <f ca="1">_xlfn.IFNA(VLOOKUP("4"&amp;B848,CountSpecific!E:F,2,0),"")</f>
        <v/>
      </c>
    </row>
    <row r="849" spans="1:16" customFormat="1" x14ac:dyDescent="0.25">
      <c r="A849" s="7">
        <v>848</v>
      </c>
      <c r="B849" s="11" t="s">
        <v>863</v>
      </c>
      <c r="C849" s="7" t="s">
        <v>1039</v>
      </c>
      <c r="D849" s="7">
        <v>848</v>
      </c>
      <c r="E849" s="7">
        <v>848</v>
      </c>
      <c r="F849" s="7">
        <v>848</v>
      </c>
      <c r="G849" s="11" t="s">
        <v>1024</v>
      </c>
      <c r="H849" s="20">
        <v>742334</v>
      </c>
      <c r="I849" s="12">
        <v>45337</v>
      </c>
      <c r="J849" s="12">
        <v>46006</v>
      </c>
      <c r="K849" s="25">
        <v>1170</v>
      </c>
      <c r="L849" s="23">
        <v>741164</v>
      </c>
      <c r="M849" s="11"/>
      <c r="N849" s="7" t="str">
        <f ca="1">_xlfn.IFNA(VLOOKUP("2"&amp;B849,CountSpecific!E:F,2,0),"")</f>
        <v/>
      </c>
      <c r="O849" s="14" t="str">
        <f ca="1">_xlfn.IFNA(VLOOKUP("3"&amp;B849,CountSpecific!E:F,2,0),"")</f>
        <v/>
      </c>
      <c r="P849" s="7" t="str">
        <f ca="1">_xlfn.IFNA(VLOOKUP("4"&amp;B849,CountSpecific!E:F,2,0),"")</f>
        <v/>
      </c>
    </row>
    <row r="850" spans="1:16" customFormat="1" x14ac:dyDescent="0.25">
      <c r="A850" s="7">
        <v>849</v>
      </c>
      <c r="B850" s="11" t="s">
        <v>864</v>
      </c>
      <c r="C850" s="7" t="s">
        <v>1039</v>
      </c>
      <c r="D850" s="7">
        <v>849</v>
      </c>
      <c r="E850" s="9">
        <v>849</v>
      </c>
      <c r="F850" s="7">
        <v>849</v>
      </c>
      <c r="G850" s="11" t="s">
        <v>1026</v>
      </c>
      <c r="H850" s="20">
        <v>889777</v>
      </c>
      <c r="I850" s="12">
        <v>45648</v>
      </c>
      <c r="J850" s="12">
        <v>45738</v>
      </c>
      <c r="K850" s="25">
        <v>864767</v>
      </c>
      <c r="L850" s="23">
        <v>25010</v>
      </c>
      <c r="M850" s="11"/>
      <c r="N850" s="7" t="str">
        <f ca="1">_xlfn.IFNA(VLOOKUP("2"&amp;B850,CountSpecific!E:F,2,0),"")</f>
        <v/>
      </c>
      <c r="O850" s="14" t="str">
        <f ca="1">_xlfn.IFNA(VLOOKUP("3"&amp;B850,CountSpecific!E:F,2,0),"")</f>
        <v/>
      </c>
      <c r="P850" s="7" t="str">
        <f ca="1">_xlfn.IFNA(VLOOKUP("4"&amp;B850,CountSpecific!E:F,2,0),"")</f>
        <v/>
      </c>
    </row>
    <row r="851" spans="1:16" customFormat="1" x14ac:dyDescent="0.25">
      <c r="A851" s="7">
        <v>850</v>
      </c>
      <c r="B851" s="11" t="s">
        <v>865</v>
      </c>
      <c r="C851" s="7" t="s">
        <v>1039</v>
      </c>
      <c r="D851" s="7">
        <v>850</v>
      </c>
      <c r="E851" s="7">
        <v>850</v>
      </c>
      <c r="F851" s="7">
        <v>850</v>
      </c>
      <c r="G851" s="11" t="s">
        <v>1021</v>
      </c>
      <c r="H851" s="20">
        <v>16488</v>
      </c>
      <c r="I851" s="12">
        <v>44955</v>
      </c>
      <c r="J851" s="12">
        <v>44985</v>
      </c>
      <c r="K851" s="25">
        <v>5381</v>
      </c>
      <c r="L851" s="23">
        <v>11107</v>
      </c>
      <c r="M851" s="11"/>
      <c r="N851" s="7" t="str">
        <f ca="1">_xlfn.IFNA(VLOOKUP("2"&amp;B851,CountSpecific!E:F,2,0),"")</f>
        <v/>
      </c>
      <c r="O851" s="14" t="str">
        <f ca="1">_xlfn.IFNA(VLOOKUP("3"&amp;B851,CountSpecific!E:F,2,0),"")</f>
        <v/>
      </c>
      <c r="P851" s="7" t="str">
        <f ca="1">_xlfn.IFNA(VLOOKUP("4"&amp;B851,CountSpecific!E:F,2,0),"")</f>
        <v/>
      </c>
    </row>
    <row r="852" spans="1:16" customFormat="1" x14ac:dyDescent="0.25">
      <c r="A852" s="7">
        <v>851</v>
      </c>
      <c r="B852" s="11" t="s">
        <v>866</v>
      </c>
      <c r="C852" s="7" t="s">
        <v>1039</v>
      </c>
      <c r="D852" s="7">
        <v>851</v>
      </c>
      <c r="E852" s="7">
        <v>851</v>
      </c>
      <c r="F852" s="7">
        <v>851</v>
      </c>
      <c r="G852" s="11" t="s">
        <v>1021</v>
      </c>
      <c r="H852" s="20">
        <v>88998</v>
      </c>
      <c r="I852" s="12">
        <v>44326</v>
      </c>
      <c r="J852" s="12">
        <v>44752</v>
      </c>
      <c r="K852" s="25">
        <v>28245</v>
      </c>
      <c r="L852" s="23">
        <v>60753</v>
      </c>
      <c r="M852" s="11"/>
      <c r="N852" s="7" t="str">
        <f ca="1">_xlfn.IFNA(VLOOKUP("2"&amp;B852,CountSpecific!E:F,2,0),"")</f>
        <v/>
      </c>
      <c r="O852" s="14" t="str">
        <f ca="1">_xlfn.IFNA(VLOOKUP("3"&amp;B852,CountSpecific!E:F,2,0),"")</f>
        <v/>
      </c>
      <c r="P852" s="7" t="str">
        <f ca="1">_xlfn.IFNA(VLOOKUP("4"&amp;B852,CountSpecific!E:F,2,0),"")</f>
        <v/>
      </c>
    </row>
    <row r="853" spans="1:16" customFormat="1" x14ac:dyDescent="0.25">
      <c r="A853" s="7">
        <v>852</v>
      </c>
      <c r="B853" s="11" t="s">
        <v>867</v>
      </c>
      <c r="C853" s="7" t="s">
        <v>1039</v>
      </c>
      <c r="D853" s="7">
        <v>852</v>
      </c>
      <c r="E853" s="9">
        <v>852</v>
      </c>
      <c r="F853" s="7">
        <v>852</v>
      </c>
      <c r="G853" s="11" t="s">
        <v>1027</v>
      </c>
      <c r="H853" s="20">
        <v>41237</v>
      </c>
      <c r="I853" s="12">
        <v>45648</v>
      </c>
      <c r="J853" s="12">
        <v>45769</v>
      </c>
      <c r="K853" s="25">
        <v>26725</v>
      </c>
      <c r="L853" s="23">
        <v>14512</v>
      </c>
      <c r="M853" s="11"/>
      <c r="N853" s="7" t="str">
        <f ca="1">_xlfn.IFNA(VLOOKUP("2"&amp;B853,CountSpecific!E:F,2,0),"")</f>
        <v/>
      </c>
      <c r="O853" s="14" t="str">
        <f ca="1">_xlfn.IFNA(VLOOKUP("3"&amp;B853,CountSpecific!E:F,2,0),"")</f>
        <v/>
      </c>
      <c r="P853" s="7" t="str">
        <f ca="1">_xlfn.IFNA(VLOOKUP("4"&amp;B853,CountSpecific!E:F,2,0),"")</f>
        <v/>
      </c>
    </row>
    <row r="854" spans="1:16" customFormat="1" x14ac:dyDescent="0.25">
      <c r="A854" s="7">
        <v>853</v>
      </c>
      <c r="B854" s="11" t="s">
        <v>868</v>
      </c>
      <c r="C854" s="7" t="s">
        <v>1039</v>
      </c>
      <c r="D854" s="7">
        <v>853</v>
      </c>
      <c r="E854" s="7">
        <v>853</v>
      </c>
      <c r="F854" s="7">
        <v>853</v>
      </c>
      <c r="G854" s="11" t="s">
        <v>1027</v>
      </c>
      <c r="H854" s="20">
        <v>35256</v>
      </c>
      <c r="I854" s="12">
        <v>45511</v>
      </c>
      <c r="J854" s="12">
        <v>45784</v>
      </c>
      <c r="K854" s="25">
        <v>10421</v>
      </c>
      <c r="L854" s="23">
        <v>24835</v>
      </c>
      <c r="M854" s="11"/>
      <c r="N854" s="7" t="str">
        <f ca="1">_xlfn.IFNA(VLOOKUP("2"&amp;B854,CountSpecific!E:F,2,0),"")</f>
        <v/>
      </c>
      <c r="O854" s="14" t="str">
        <f ca="1">_xlfn.IFNA(VLOOKUP("3"&amp;B854,CountSpecific!E:F,2,0),"")</f>
        <v/>
      </c>
      <c r="P854" s="7" t="str">
        <f ca="1">_xlfn.IFNA(VLOOKUP("4"&amp;B854,CountSpecific!E:F,2,0),"")</f>
        <v/>
      </c>
    </row>
    <row r="855" spans="1:16" customFormat="1" x14ac:dyDescent="0.25">
      <c r="A855" s="7">
        <v>854</v>
      </c>
      <c r="B855" s="11" t="s">
        <v>869</v>
      </c>
      <c r="C855" s="7" t="s">
        <v>1039</v>
      </c>
      <c r="D855" s="7">
        <v>854</v>
      </c>
      <c r="E855" s="7">
        <v>854</v>
      </c>
      <c r="F855" s="7">
        <v>854</v>
      </c>
      <c r="G855" s="11" t="s">
        <v>1025</v>
      </c>
      <c r="H855" s="20">
        <v>404087</v>
      </c>
      <c r="I855" s="12">
        <v>45478</v>
      </c>
      <c r="J855" s="12">
        <v>45601</v>
      </c>
      <c r="K855" s="25">
        <v>11104</v>
      </c>
      <c r="L855" s="23">
        <v>392983</v>
      </c>
      <c r="M855" s="11"/>
      <c r="N855" s="7" t="str">
        <f ca="1">_xlfn.IFNA(VLOOKUP("2"&amp;B855,CountSpecific!E:F,2,0),"")</f>
        <v/>
      </c>
      <c r="O855" s="14" t="str">
        <f ca="1">_xlfn.IFNA(VLOOKUP("3"&amp;B855,CountSpecific!E:F,2,0),"")</f>
        <v/>
      </c>
      <c r="P855" s="7" t="str">
        <f ca="1">_xlfn.IFNA(VLOOKUP("4"&amp;B855,CountSpecific!E:F,2,0),"")</f>
        <v/>
      </c>
    </row>
    <row r="856" spans="1:16" customFormat="1" x14ac:dyDescent="0.25">
      <c r="A856" s="7">
        <v>855</v>
      </c>
      <c r="B856" s="11" t="s">
        <v>870</v>
      </c>
      <c r="C856" s="7" t="s">
        <v>1039</v>
      </c>
      <c r="D856" s="7">
        <v>855</v>
      </c>
      <c r="E856" s="9">
        <v>855</v>
      </c>
      <c r="F856" s="7">
        <v>855</v>
      </c>
      <c r="G856" s="11" t="s">
        <v>1021</v>
      </c>
      <c r="H856" s="20">
        <v>67761</v>
      </c>
      <c r="I856" s="12">
        <v>44618</v>
      </c>
      <c r="J856" s="12">
        <v>44677</v>
      </c>
      <c r="K856" s="25">
        <v>59737</v>
      </c>
      <c r="L856" s="23">
        <v>8024</v>
      </c>
      <c r="M856" s="11"/>
      <c r="N856" s="7" t="str">
        <f ca="1">_xlfn.IFNA(VLOOKUP("2"&amp;B856,CountSpecific!E:F,2,0),"")</f>
        <v/>
      </c>
      <c r="O856" s="14" t="str">
        <f ca="1">_xlfn.IFNA(VLOOKUP("3"&amp;B856,CountSpecific!E:F,2,0),"")</f>
        <v/>
      </c>
      <c r="P856" s="7" t="str">
        <f ca="1">_xlfn.IFNA(VLOOKUP("4"&amp;B856,CountSpecific!E:F,2,0),"")</f>
        <v/>
      </c>
    </row>
    <row r="857" spans="1:16" customFormat="1" x14ac:dyDescent="0.25">
      <c r="A857" s="7">
        <v>856</v>
      </c>
      <c r="B857" s="11" t="s">
        <v>871</v>
      </c>
      <c r="C857" s="7" t="s">
        <v>1039</v>
      </c>
      <c r="D857" s="7">
        <v>856</v>
      </c>
      <c r="E857" s="7">
        <v>856</v>
      </c>
      <c r="F857" s="7">
        <v>856</v>
      </c>
      <c r="G857" s="11" t="s">
        <v>1016</v>
      </c>
      <c r="H857" s="20">
        <v>44854</v>
      </c>
      <c r="I857" s="12">
        <v>45671</v>
      </c>
      <c r="J857" s="12">
        <v>46340</v>
      </c>
      <c r="K857" s="25">
        <v>10413</v>
      </c>
      <c r="L857" s="23">
        <v>34441</v>
      </c>
      <c r="M857" s="11"/>
      <c r="N857" s="7" t="str">
        <f ca="1">_xlfn.IFNA(VLOOKUP("2"&amp;B857,CountSpecific!E:F,2,0),"")</f>
        <v/>
      </c>
      <c r="O857" s="14" t="str">
        <f ca="1">_xlfn.IFNA(VLOOKUP("3"&amp;B857,CountSpecific!E:F,2,0),"")</f>
        <v/>
      </c>
      <c r="P857" s="7" t="str">
        <f ca="1">_xlfn.IFNA(VLOOKUP("4"&amp;B857,CountSpecific!E:F,2,0),"")</f>
        <v/>
      </c>
    </row>
    <row r="858" spans="1:16" customFormat="1" x14ac:dyDescent="0.25">
      <c r="A858" s="7">
        <v>857</v>
      </c>
      <c r="B858" s="11" t="s">
        <v>872</v>
      </c>
      <c r="C858" s="7" t="s">
        <v>1039</v>
      </c>
      <c r="D858" s="7">
        <v>857</v>
      </c>
      <c r="E858" s="7">
        <v>857</v>
      </c>
      <c r="F858" s="7">
        <v>857</v>
      </c>
      <c r="G858" s="11" t="s">
        <v>1024</v>
      </c>
      <c r="H858" s="20">
        <v>190170</v>
      </c>
      <c r="I858" s="12">
        <v>43864</v>
      </c>
      <c r="J858" s="12">
        <v>44533</v>
      </c>
      <c r="K858" s="25">
        <v>186680</v>
      </c>
      <c r="L858" s="23">
        <v>3490</v>
      </c>
      <c r="M858" s="11"/>
      <c r="N858" s="7" t="str">
        <f ca="1">_xlfn.IFNA(VLOOKUP("2"&amp;B858,CountSpecific!E:F,2,0),"")</f>
        <v/>
      </c>
      <c r="O858" s="14" t="str">
        <f ca="1">_xlfn.IFNA(VLOOKUP("3"&amp;B858,CountSpecific!E:F,2,0),"")</f>
        <v/>
      </c>
      <c r="P858" s="7" t="str">
        <f ca="1">_xlfn.IFNA(VLOOKUP("4"&amp;B858,CountSpecific!E:F,2,0),"")</f>
        <v/>
      </c>
    </row>
    <row r="859" spans="1:16" customFormat="1" x14ac:dyDescent="0.25">
      <c r="A859" s="7">
        <v>858</v>
      </c>
      <c r="B859" s="11" t="s">
        <v>873</v>
      </c>
      <c r="C859" s="7" t="s">
        <v>1039</v>
      </c>
      <c r="D859" s="7">
        <v>858</v>
      </c>
      <c r="E859" s="9">
        <v>858</v>
      </c>
      <c r="F859" s="7">
        <v>858</v>
      </c>
      <c r="G859" s="11" t="s">
        <v>1024</v>
      </c>
      <c r="H859" s="20">
        <v>955996</v>
      </c>
      <c r="I859" s="12">
        <v>44010</v>
      </c>
      <c r="J859" s="12">
        <v>44497</v>
      </c>
      <c r="K859" s="25">
        <v>243851</v>
      </c>
      <c r="L859" s="23">
        <v>712145</v>
      </c>
      <c r="M859" s="11"/>
      <c r="N859" s="7" t="str">
        <f ca="1">_xlfn.IFNA(VLOOKUP("2"&amp;B859,CountSpecific!E:F,2,0),"")</f>
        <v/>
      </c>
      <c r="O859" s="14" t="str">
        <f ca="1">_xlfn.IFNA(VLOOKUP("3"&amp;B859,CountSpecific!E:F,2,0),"")</f>
        <v/>
      </c>
      <c r="P859" s="7" t="str">
        <f ca="1">_xlfn.IFNA(VLOOKUP("4"&amp;B859,CountSpecific!E:F,2,0),"")</f>
        <v/>
      </c>
    </row>
    <row r="860" spans="1:16" customFormat="1" x14ac:dyDescent="0.25">
      <c r="A860" s="7">
        <v>859</v>
      </c>
      <c r="B860" s="11" t="s">
        <v>874</v>
      </c>
      <c r="C860" s="7" t="s">
        <v>1039</v>
      </c>
      <c r="D860" s="7">
        <v>859</v>
      </c>
      <c r="E860" s="7">
        <v>859</v>
      </c>
      <c r="F860" s="7">
        <v>859</v>
      </c>
      <c r="G860" s="11" t="s">
        <v>1022</v>
      </c>
      <c r="H860" s="20">
        <v>24331</v>
      </c>
      <c r="I860" s="12">
        <v>44876</v>
      </c>
      <c r="J860" s="12">
        <v>45057</v>
      </c>
      <c r="K860" s="25">
        <v>5926</v>
      </c>
      <c r="L860" s="23">
        <v>18405</v>
      </c>
      <c r="M860" s="11"/>
      <c r="N860" s="7" t="str">
        <f ca="1">_xlfn.IFNA(VLOOKUP("2"&amp;B860,CountSpecific!E:F,2,0),"")</f>
        <v/>
      </c>
      <c r="O860" s="14" t="str">
        <f ca="1">_xlfn.IFNA(VLOOKUP("3"&amp;B860,CountSpecific!E:F,2,0),"")</f>
        <v/>
      </c>
      <c r="P860" s="7" t="str">
        <f ca="1">_xlfn.IFNA(VLOOKUP("4"&amp;B860,CountSpecific!E:F,2,0),"")</f>
        <v/>
      </c>
    </row>
    <row r="861" spans="1:16" customFormat="1" x14ac:dyDescent="0.25">
      <c r="A861" s="7">
        <v>860</v>
      </c>
      <c r="B861" s="11" t="s">
        <v>875</v>
      </c>
      <c r="C861" s="7" t="s">
        <v>1039</v>
      </c>
      <c r="D861" s="7">
        <v>860</v>
      </c>
      <c r="E861" s="7">
        <v>860</v>
      </c>
      <c r="F861" s="7">
        <v>860</v>
      </c>
      <c r="G861" s="11" t="s">
        <v>1022</v>
      </c>
      <c r="H861" s="20">
        <v>15103</v>
      </c>
      <c r="I861" s="12">
        <v>44033</v>
      </c>
      <c r="J861" s="12">
        <v>44460</v>
      </c>
      <c r="K861" s="25">
        <v>6569</v>
      </c>
      <c r="L861" s="23">
        <v>8534</v>
      </c>
      <c r="M861" s="11"/>
      <c r="N861" s="7" t="str">
        <f ca="1">_xlfn.IFNA(VLOOKUP("2"&amp;B861,CountSpecific!E:F,2,0),"")</f>
        <v/>
      </c>
      <c r="O861" s="14" t="str">
        <f ca="1">_xlfn.IFNA(VLOOKUP("3"&amp;B861,CountSpecific!E:F,2,0),"")</f>
        <v/>
      </c>
      <c r="P861" s="7" t="str">
        <f ca="1">_xlfn.IFNA(VLOOKUP("4"&amp;B861,CountSpecific!E:F,2,0),"")</f>
        <v/>
      </c>
    </row>
    <row r="862" spans="1:16" customFormat="1" x14ac:dyDescent="0.25">
      <c r="A862" s="7">
        <v>861</v>
      </c>
      <c r="B862" s="11" t="s">
        <v>876</v>
      </c>
      <c r="C862" s="7" t="s">
        <v>1039</v>
      </c>
      <c r="D862" s="7">
        <v>861</v>
      </c>
      <c r="E862" s="9">
        <v>861</v>
      </c>
      <c r="F862" s="7">
        <v>861</v>
      </c>
      <c r="G862" s="11" t="s">
        <v>1025</v>
      </c>
      <c r="H862" s="20">
        <v>207560</v>
      </c>
      <c r="I862" s="12">
        <v>45259</v>
      </c>
      <c r="J862" s="12">
        <v>45380</v>
      </c>
      <c r="K862" s="25">
        <v>59906</v>
      </c>
      <c r="L862" s="23">
        <v>147654</v>
      </c>
      <c r="M862" s="11"/>
      <c r="N862" s="7" t="str">
        <f ca="1">_xlfn.IFNA(VLOOKUP("2"&amp;B862,CountSpecific!E:F,2,0),"")</f>
        <v/>
      </c>
      <c r="O862" s="14" t="str">
        <f ca="1">_xlfn.IFNA(VLOOKUP("3"&amp;B862,CountSpecific!E:F,2,0),"")</f>
        <v/>
      </c>
      <c r="P862" s="7" t="str">
        <f ca="1">_xlfn.IFNA(VLOOKUP("4"&amp;B862,CountSpecific!E:F,2,0),"")</f>
        <v/>
      </c>
    </row>
    <row r="863" spans="1:16" customFormat="1" x14ac:dyDescent="0.25">
      <c r="A863" s="7">
        <v>862</v>
      </c>
      <c r="B863" s="11" t="s">
        <v>877</v>
      </c>
      <c r="C863" s="7" t="s">
        <v>1039</v>
      </c>
      <c r="D863" s="7">
        <v>862</v>
      </c>
      <c r="E863" s="7">
        <v>862</v>
      </c>
      <c r="F863" s="7">
        <v>862</v>
      </c>
      <c r="G863" s="11" t="s">
        <v>1026</v>
      </c>
      <c r="H863" s="20">
        <v>1424984</v>
      </c>
      <c r="I863" s="12">
        <v>43906</v>
      </c>
      <c r="J863" s="12">
        <v>43998</v>
      </c>
      <c r="K863" s="25">
        <v>1328937</v>
      </c>
      <c r="L863" s="23">
        <v>96047</v>
      </c>
      <c r="M863" s="11"/>
      <c r="N863" s="7" t="str">
        <f ca="1">_xlfn.IFNA(VLOOKUP("2"&amp;B863,CountSpecific!E:F,2,0),"")</f>
        <v/>
      </c>
      <c r="O863" s="14" t="str">
        <f ca="1">_xlfn.IFNA(VLOOKUP("3"&amp;B863,CountSpecific!E:F,2,0),"")</f>
        <v/>
      </c>
      <c r="P863" s="7" t="str">
        <f ca="1">_xlfn.IFNA(VLOOKUP("4"&amp;B863,CountSpecific!E:F,2,0),"")</f>
        <v/>
      </c>
    </row>
    <row r="864" spans="1:16" customFormat="1" x14ac:dyDescent="0.25">
      <c r="A864" s="7">
        <v>863</v>
      </c>
      <c r="B864" s="11" t="s">
        <v>878</v>
      </c>
      <c r="C864" s="7" t="s">
        <v>1039</v>
      </c>
      <c r="D864" s="7">
        <v>863</v>
      </c>
      <c r="E864" s="7">
        <v>863</v>
      </c>
      <c r="F864" s="7">
        <v>863</v>
      </c>
      <c r="G864" s="11" t="s">
        <v>1025</v>
      </c>
      <c r="H864" s="20">
        <v>293733</v>
      </c>
      <c r="I864" s="12">
        <v>45352</v>
      </c>
      <c r="J864" s="12">
        <v>45870</v>
      </c>
      <c r="K864" s="25">
        <v>27052</v>
      </c>
      <c r="L864" s="23">
        <v>266681</v>
      </c>
      <c r="M864" s="11"/>
      <c r="N864" s="7" t="str">
        <f ca="1">_xlfn.IFNA(VLOOKUP("2"&amp;B864,CountSpecific!E:F,2,0),"")</f>
        <v/>
      </c>
      <c r="O864" s="14" t="str">
        <f ca="1">_xlfn.IFNA(VLOOKUP("3"&amp;B864,CountSpecific!E:F,2,0),"")</f>
        <v/>
      </c>
      <c r="P864" s="7" t="str">
        <f ca="1">_xlfn.IFNA(VLOOKUP("4"&amp;B864,CountSpecific!E:F,2,0),"")</f>
        <v/>
      </c>
    </row>
    <row r="865" spans="1:16" customFormat="1" x14ac:dyDescent="0.25">
      <c r="A865" s="7">
        <v>864</v>
      </c>
      <c r="B865" s="11" t="s">
        <v>879</v>
      </c>
      <c r="C865" s="7" t="s">
        <v>1039</v>
      </c>
      <c r="D865" s="7">
        <v>864</v>
      </c>
      <c r="E865" s="9">
        <v>864</v>
      </c>
      <c r="F865" s="7">
        <v>864</v>
      </c>
      <c r="G865" s="11" t="s">
        <v>1022</v>
      </c>
      <c r="H865" s="20">
        <v>14148</v>
      </c>
      <c r="I865" s="12">
        <v>44580</v>
      </c>
      <c r="J865" s="12">
        <v>45096</v>
      </c>
      <c r="K865" s="25">
        <v>2368</v>
      </c>
      <c r="L865" s="23">
        <v>11780</v>
      </c>
      <c r="M865" s="11"/>
      <c r="N865" s="7" t="str">
        <f ca="1">_xlfn.IFNA(VLOOKUP("2"&amp;B865,CountSpecific!E:F,2,0),"")</f>
        <v/>
      </c>
      <c r="O865" s="14" t="str">
        <f ca="1">_xlfn.IFNA(VLOOKUP("3"&amp;B865,CountSpecific!E:F,2,0),"")</f>
        <v/>
      </c>
      <c r="P865" s="7" t="str">
        <f ca="1">_xlfn.IFNA(VLOOKUP("4"&amp;B865,CountSpecific!E:F,2,0),"")</f>
        <v/>
      </c>
    </row>
    <row r="866" spans="1:16" customFormat="1" x14ac:dyDescent="0.25">
      <c r="A866" s="7">
        <v>865</v>
      </c>
      <c r="B866" s="11" t="s">
        <v>880</v>
      </c>
      <c r="C866" s="7" t="s">
        <v>1039</v>
      </c>
      <c r="D866" s="7">
        <v>865</v>
      </c>
      <c r="E866" s="7">
        <v>865</v>
      </c>
      <c r="F866" s="7">
        <v>865</v>
      </c>
      <c r="G866" s="11" t="s">
        <v>1021</v>
      </c>
      <c r="H866" s="20">
        <v>15554</v>
      </c>
      <c r="I866" s="12">
        <v>45403</v>
      </c>
      <c r="J866" s="12">
        <v>45859</v>
      </c>
      <c r="K866" s="25">
        <v>3900</v>
      </c>
      <c r="L866" s="23">
        <v>11654</v>
      </c>
      <c r="M866" s="11"/>
      <c r="N866" s="7" t="str">
        <f ca="1">_xlfn.IFNA(VLOOKUP("2"&amp;B866,CountSpecific!E:F,2,0),"")</f>
        <v/>
      </c>
      <c r="O866" s="14" t="str">
        <f ca="1">_xlfn.IFNA(VLOOKUP("3"&amp;B866,CountSpecific!E:F,2,0),"")</f>
        <v/>
      </c>
      <c r="P866" s="7" t="str">
        <f ca="1">_xlfn.IFNA(VLOOKUP("4"&amp;B866,CountSpecific!E:F,2,0),"")</f>
        <v/>
      </c>
    </row>
    <row r="867" spans="1:16" customFormat="1" x14ac:dyDescent="0.25">
      <c r="A867" s="7">
        <v>866</v>
      </c>
      <c r="B867" s="11" t="s">
        <v>881</v>
      </c>
      <c r="C867" s="7" t="s">
        <v>1039</v>
      </c>
      <c r="D867" s="7">
        <v>866</v>
      </c>
      <c r="E867" s="7">
        <v>866</v>
      </c>
      <c r="F867" s="7">
        <v>866</v>
      </c>
      <c r="G867" s="11" t="s">
        <v>1027</v>
      </c>
      <c r="H867" s="20">
        <v>40638</v>
      </c>
      <c r="I867" s="12">
        <v>44997</v>
      </c>
      <c r="J867" s="12">
        <v>45150</v>
      </c>
      <c r="K867" s="25">
        <v>5316</v>
      </c>
      <c r="L867" s="23">
        <v>35322</v>
      </c>
      <c r="M867" s="11"/>
      <c r="N867" s="7" t="str">
        <f ca="1">_xlfn.IFNA(VLOOKUP("2"&amp;B867,CountSpecific!E:F,2,0),"")</f>
        <v/>
      </c>
      <c r="O867" s="14" t="str">
        <f ca="1">_xlfn.IFNA(VLOOKUP("3"&amp;B867,CountSpecific!E:F,2,0),"")</f>
        <v/>
      </c>
      <c r="P867" s="7" t="str">
        <f ca="1">_xlfn.IFNA(VLOOKUP("4"&amp;B867,CountSpecific!E:F,2,0),"")</f>
        <v/>
      </c>
    </row>
    <row r="868" spans="1:16" customFormat="1" x14ac:dyDescent="0.25">
      <c r="A868" s="7">
        <v>867</v>
      </c>
      <c r="B868" s="11" t="s">
        <v>882</v>
      </c>
      <c r="C868" s="7" t="s">
        <v>1039</v>
      </c>
      <c r="D868" s="7">
        <v>867</v>
      </c>
      <c r="E868" s="9">
        <v>867</v>
      </c>
      <c r="F868" s="7">
        <v>867</v>
      </c>
      <c r="G868" s="11" t="s">
        <v>1021</v>
      </c>
      <c r="H868" s="20">
        <v>75841</v>
      </c>
      <c r="I868" s="12">
        <v>45029</v>
      </c>
      <c r="J868" s="12">
        <v>45304</v>
      </c>
      <c r="K868" s="25">
        <v>22887</v>
      </c>
      <c r="L868" s="23">
        <v>52954</v>
      </c>
      <c r="M868" s="11"/>
      <c r="N868" s="7" t="str">
        <f ca="1">_xlfn.IFNA(VLOOKUP("2"&amp;B868,CountSpecific!E:F,2,0),"")</f>
        <v/>
      </c>
      <c r="O868" s="14" t="str">
        <f ca="1">_xlfn.IFNA(VLOOKUP("3"&amp;B868,CountSpecific!E:F,2,0),"")</f>
        <v/>
      </c>
      <c r="P868" s="7" t="str">
        <f ca="1">_xlfn.IFNA(VLOOKUP("4"&amp;B868,CountSpecific!E:F,2,0),"")</f>
        <v/>
      </c>
    </row>
    <row r="869" spans="1:16" customFormat="1" x14ac:dyDescent="0.25">
      <c r="A869" s="7">
        <v>868</v>
      </c>
      <c r="B869" s="11" t="s">
        <v>883</v>
      </c>
      <c r="C869" s="7" t="s">
        <v>1039</v>
      </c>
      <c r="D869" s="7">
        <v>868</v>
      </c>
      <c r="E869" s="7">
        <v>868</v>
      </c>
      <c r="F869" s="7">
        <v>868</v>
      </c>
      <c r="G869" s="11" t="s">
        <v>1027</v>
      </c>
      <c r="H869" s="20">
        <v>28094</v>
      </c>
      <c r="I869" s="12">
        <v>44233</v>
      </c>
      <c r="J869" s="12">
        <v>44536</v>
      </c>
      <c r="K869" s="25">
        <v>4599</v>
      </c>
      <c r="L869" s="23">
        <v>23495</v>
      </c>
      <c r="M869" s="11"/>
      <c r="N869" s="7" t="str">
        <f ca="1">_xlfn.IFNA(VLOOKUP("2"&amp;B869,CountSpecific!E:F,2,0),"")</f>
        <v/>
      </c>
      <c r="O869" s="14" t="str">
        <f ca="1">_xlfn.IFNA(VLOOKUP("3"&amp;B869,CountSpecific!E:F,2,0),"")</f>
        <v/>
      </c>
      <c r="P869" s="7" t="str">
        <f ca="1">_xlfn.IFNA(VLOOKUP("4"&amp;B869,CountSpecific!E:F,2,0),"")</f>
        <v/>
      </c>
    </row>
    <row r="870" spans="1:16" customFormat="1" x14ac:dyDescent="0.25">
      <c r="A870" s="7">
        <v>869</v>
      </c>
      <c r="B870" s="11" t="s">
        <v>884</v>
      </c>
      <c r="C870" s="7" t="s">
        <v>1039</v>
      </c>
      <c r="D870" s="7">
        <v>869</v>
      </c>
      <c r="E870" s="7">
        <v>869</v>
      </c>
      <c r="F870" s="7">
        <v>869</v>
      </c>
      <c r="G870" s="11" t="s">
        <v>1025</v>
      </c>
      <c r="H870" s="20">
        <v>152682</v>
      </c>
      <c r="I870" s="12">
        <v>44208</v>
      </c>
      <c r="J870" s="12">
        <v>44267</v>
      </c>
      <c r="K870" s="25">
        <v>127264</v>
      </c>
      <c r="L870" s="23">
        <v>25418</v>
      </c>
      <c r="M870" s="11"/>
      <c r="N870" s="7" t="str">
        <f ca="1">_xlfn.IFNA(VLOOKUP("2"&amp;B870,CountSpecific!E:F,2,0),"")</f>
        <v/>
      </c>
      <c r="O870" s="14" t="str">
        <f ca="1">_xlfn.IFNA(VLOOKUP("3"&amp;B870,CountSpecific!E:F,2,0),"")</f>
        <v/>
      </c>
      <c r="P870" s="7" t="str">
        <f ca="1">_xlfn.IFNA(VLOOKUP("4"&amp;B870,CountSpecific!E:F,2,0),"")</f>
        <v/>
      </c>
    </row>
    <row r="871" spans="1:16" customFormat="1" x14ac:dyDescent="0.25">
      <c r="A871" s="7">
        <v>870</v>
      </c>
      <c r="B871" s="11" t="s">
        <v>885</v>
      </c>
      <c r="C871" s="7" t="s">
        <v>1039</v>
      </c>
      <c r="D871" s="7">
        <v>870</v>
      </c>
      <c r="E871" s="9">
        <v>870</v>
      </c>
      <c r="F871" s="7">
        <v>870</v>
      </c>
      <c r="G871" s="11" t="s">
        <v>1027</v>
      </c>
      <c r="H871" s="20">
        <v>33320</v>
      </c>
      <c r="I871" s="12">
        <v>44118</v>
      </c>
      <c r="J871" s="12">
        <v>44269</v>
      </c>
      <c r="K871" s="25">
        <v>22524</v>
      </c>
      <c r="L871" s="23">
        <v>10796</v>
      </c>
      <c r="M871" s="11"/>
      <c r="N871" s="7" t="str">
        <f ca="1">_xlfn.IFNA(VLOOKUP("2"&amp;B871,CountSpecific!E:F,2,0),"")</f>
        <v/>
      </c>
      <c r="O871" s="14" t="str">
        <f ca="1">_xlfn.IFNA(VLOOKUP("3"&amp;B871,CountSpecific!E:F,2,0),"")</f>
        <v/>
      </c>
      <c r="P871" s="7" t="str">
        <f ca="1">_xlfn.IFNA(VLOOKUP("4"&amp;B871,CountSpecific!E:F,2,0),"")</f>
        <v/>
      </c>
    </row>
    <row r="872" spans="1:16" customFormat="1" x14ac:dyDescent="0.25">
      <c r="A872" s="7">
        <v>871</v>
      </c>
      <c r="B872" s="11" t="s">
        <v>886</v>
      </c>
      <c r="C872" s="7" t="s">
        <v>1039</v>
      </c>
      <c r="D872" s="7">
        <v>871</v>
      </c>
      <c r="E872" s="7">
        <v>871</v>
      </c>
      <c r="F872" s="7">
        <v>871</v>
      </c>
      <c r="G872" s="11" t="s">
        <v>1024</v>
      </c>
      <c r="H872" s="20">
        <v>759052</v>
      </c>
      <c r="I872" s="12">
        <v>44666</v>
      </c>
      <c r="J872" s="12">
        <v>45366</v>
      </c>
      <c r="K872" s="25">
        <v>525579</v>
      </c>
      <c r="L872" s="23">
        <v>233473</v>
      </c>
      <c r="M872" s="11"/>
      <c r="N872" s="7" t="str">
        <f ca="1">_xlfn.IFNA(VLOOKUP("2"&amp;B872,CountSpecific!E:F,2,0),"")</f>
        <v/>
      </c>
      <c r="O872" s="14" t="str">
        <f ca="1">_xlfn.IFNA(VLOOKUP("3"&amp;B872,CountSpecific!E:F,2,0),"")</f>
        <v/>
      </c>
      <c r="P872" s="7" t="str">
        <f ca="1">_xlfn.IFNA(VLOOKUP("4"&amp;B872,CountSpecific!E:F,2,0),"")</f>
        <v/>
      </c>
    </row>
    <row r="873" spans="1:16" customFormat="1" x14ac:dyDescent="0.25">
      <c r="A873" s="7">
        <v>872</v>
      </c>
      <c r="B873" s="11" t="s">
        <v>887</v>
      </c>
      <c r="C873" s="7" t="s">
        <v>1039</v>
      </c>
      <c r="D873" s="7">
        <v>872</v>
      </c>
      <c r="E873" s="7">
        <v>872</v>
      </c>
      <c r="F873" s="7">
        <v>872</v>
      </c>
      <c r="G873" s="11" t="s">
        <v>1023</v>
      </c>
      <c r="H873" s="20">
        <v>80</v>
      </c>
      <c r="I873" s="12">
        <v>44124</v>
      </c>
      <c r="J873" s="12">
        <v>44306</v>
      </c>
      <c r="K873" s="25">
        <v>35</v>
      </c>
      <c r="L873" s="23">
        <v>45</v>
      </c>
      <c r="M873" s="11"/>
      <c r="N873" s="7" t="str">
        <f ca="1">_xlfn.IFNA(VLOOKUP("2"&amp;B873,CountSpecific!E:F,2,0),"")</f>
        <v/>
      </c>
      <c r="O873" s="14" t="str">
        <f ca="1">_xlfn.IFNA(VLOOKUP("3"&amp;B873,CountSpecific!E:F,2,0),"")</f>
        <v/>
      </c>
      <c r="P873" s="7" t="str">
        <f ca="1">_xlfn.IFNA(VLOOKUP("4"&amp;B873,CountSpecific!E:F,2,0),"")</f>
        <v/>
      </c>
    </row>
    <row r="874" spans="1:16" customFormat="1" x14ac:dyDescent="0.25">
      <c r="A874" s="7">
        <v>873</v>
      </c>
      <c r="B874" s="11" t="s">
        <v>888</v>
      </c>
      <c r="C874" s="7" t="s">
        <v>1039</v>
      </c>
      <c r="D874" s="7">
        <v>873</v>
      </c>
      <c r="E874" s="9">
        <v>873</v>
      </c>
      <c r="F874" s="7">
        <v>873</v>
      </c>
      <c r="G874" s="11" t="s">
        <v>1022</v>
      </c>
      <c r="H874" s="20">
        <v>18080</v>
      </c>
      <c r="I874" s="12">
        <v>44838</v>
      </c>
      <c r="J874" s="12">
        <v>45111</v>
      </c>
      <c r="K874" s="25">
        <v>5656</v>
      </c>
      <c r="L874" s="23">
        <v>12424</v>
      </c>
      <c r="M874" s="11"/>
      <c r="N874" s="7" t="str">
        <f ca="1">_xlfn.IFNA(VLOOKUP("2"&amp;B874,CountSpecific!E:F,2,0),"")</f>
        <v/>
      </c>
      <c r="O874" s="14" t="str">
        <f ca="1">_xlfn.IFNA(VLOOKUP("3"&amp;B874,CountSpecific!E:F,2,0),"")</f>
        <v/>
      </c>
      <c r="P874" s="7" t="str">
        <f ca="1">_xlfn.IFNA(VLOOKUP("4"&amp;B874,CountSpecific!E:F,2,0),"")</f>
        <v/>
      </c>
    </row>
    <row r="875" spans="1:16" customFormat="1" x14ac:dyDescent="0.25">
      <c r="A875" s="7">
        <v>874</v>
      </c>
      <c r="B875" s="11" t="s">
        <v>889</v>
      </c>
      <c r="C875" s="7" t="s">
        <v>1039</v>
      </c>
      <c r="D875" s="7">
        <v>874</v>
      </c>
      <c r="E875" s="7">
        <v>874</v>
      </c>
      <c r="F875" s="7">
        <v>874</v>
      </c>
      <c r="G875" s="11" t="s">
        <v>1016</v>
      </c>
      <c r="H875" s="20">
        <v>11304</v>
      </c>
      <c r="I875" s="12">
        <v>45345</v>
      </c>
      <c r="J875" s="12">
        <v>45588</v>
      </c>
      <c r="K875" s="25">
        <v>7142</v>
      </c>
      <c r="L875" s="23">
        <v>4162</v>
      </c>
      <c r="M875" s="11"/>
      <c r="N875" s="7" t="str">
        <f ca="1">_xlfn.IFNA(VLOOKUP("2"&amp;B875,CountSpecific!E:F,2,0),"")</f>
        <v/>
      </c>
      <c r="O875" s="14" t="str">
        <f ca="1">_xlfn.IFNA(VLOOKUP("3"&amp;B875,CountSpecific!E:F,2,0),"")</f>
        <v/>
      </c>
      <c r="P875" s="7" t="str">
        <f ca="1">_xlfn.IFNA(VLOOKUP("4"&amp;B875,CountSpecific!E:F,2,0),"")</f>
        <v/>
      </c>
    </row>
    <row r="876" spans="1:16" customFormat="1" x14ac:dyDescent="0.25">
      <c r="A876" s="7">
        <v>875</v>
      </c>
      <c r="B876" s="11" t="s">
        <v>890</v>
      </c>
      <c r="C876" s="7" t="s">
        <v>1039</v>
      </c>
      <c r="D876" s="7">
        <v>875</v>
      </c>
      <c r="E876" s="7">
        <v>875</v>
      </c>
      <c r="F876" s="7">
        <v>875</v>
      </c>
      <c r="G876" s="11" t="s">
        <v>1022</v>
      </c>
      <c r="H876" s="20">
        <v>27226</v>
      </c>
      <c r="I876" s="12">
        <v>45361</v>
      </c>
      <c r="J876" s="12">
        <v>45848</v>
      </c>
      <c r="K876" s="25">
        <v>10950</v>
      </c>
      <c r="L876" s="23">
        <v>16276</v>
      </c>
      <c r="M876" s="11"/>
      <c r="N876" s="7" t="str">
        <f ca="1">_xlfn.IFNA(VLOOKUP("2"&amp;B876,CountSpecific!E:F,2,0),"")</f>
        <v/>
      </c>
      <c r="O876" s="14" t="str">
        <f ca="1">_xlfn.IFNA(VLOOKUP("3"&amp;B876,CountSpecific!E:F,2,0),"")</f>
        <v/>
      </c>
      <c r="P876" s="7" t="str">
        <f ca="1">_xlfn.IFNA(VLOOKUP("4"&amp;B876,CountSpecific!E:F,2,0),"")</f>
        <v/>
      </c>
    </row>
    <row r="877" spans="1:16" customFormat="1" x14ac:dyDescent="0.25">
      <c r="A877" s="7">
        <v>876</v>
      </c>
      <c r="B877" s="11" t="s">
        <v>891</v>
      </c>
      <c r="C877" s="7" t="s">
        <v>1039</v>
      </c>
      <c r="D877" s="7">
        <v>876</v>
      </c>
      <c r="E877" s="9">
        <v>876</v>
      </c>
      <c r="F877" s="7">
        <v>876</v>
      </c>
      <c r="G877" s="11" t="s">
        <v>1027</v>
      </c>
      <c r="H877" s="20">
        <v>21853</v>
      </c>
      <c r="I877" s="12">
        <v>44211</v>
      </c>
      <c r="J877" s="12">
        <v>44910</v>
      </c>
      <c r="K877" s="25">
        <v>1160</v>
      </c>
      <c r="L877" s="23">
        <v>20693</v>
      </c>
      <c r="M877" s="11"/>
      <c r="N877" s="7" t="str">
        <f ca="1">_xlfn.IFNA(VLOOKUP("2"&amp;B877,CountSpecific!E:F,2,0),"")</f>
        <v/>
      </c>
      <c r="O877" s="14" t="str">
        <f ca="1">_xlfn.IFNA(VLOOKUP("3"&amp;B877,CountSpecific!E:F,2,0),"")</f>
        <v/>
      </c>
      <c r="P877" s="7" t="str">
        <f ca="1">_xlfn.IFNA(VLOOKUP("4"&amp;B877,CountSpecific!E:F,2,0),"")</f>
        <v/>
      </c>
    </row>
    <row r="878" spans="1:16" customFormat="1" x14ac:dyDescent="0.25">
      <c r="A878" s="7">
        <v>877</v>
      </c>
      <c r="B878" s="11" t="s">
        <v>892</v>
      </c>
      <c r="C878" s="7" t="s">
        <v>1039</v>
      </c>
      <c r="D878" s="7">
        <v>877</v>
      </c>
      <c r="E878" s="7">
        <v>877</v>
      </c>
      <c r="F878" s="7">
        <v>877</v>
      </c>
      <c r="G878" s="11" t="s">
        <v>1027</v>
      </c>
      <c r="H878" s="20">
        <v>26245</v>
      </c>
      <c r="I878" s="12">
        <v>44627</v>
      </c>
      <c r="J878" s="12">
        <v>44872</v>
      </c>
      <c r="K878" s="25">
        <v>3147</v>
      </c>
      <c r="L878" s="23">
        <v>23098</v>
      </c>
      <c r="M878" s="11"/>
      <c r="N878" s="7" t="str">
        <f ca="1">_xlfn.IFNA(VLOOKUP("2"&amp;B878,CountSpecific!E:F,2,0),"")</f>
        <v/>
      </c>
      <c r="O878" s="14" t="str">
        <f ca="1">_xlfn.IFNA(VLOOKUP("3"&amp;B878,CountSpecific!E:F,2,0),"")</f>
        <v/>
      </c>
      <c r="P878" s="7" t="str">
        <f ca="1">_xlfn.IFNA(VLOOKUP("4"&amp;B878,CountSpecific!E:F,2,0),"")</f>
        <v/>
      </c>
    </row>
    <row r="879" spans="1:16" customFormat="1" x14ac:dyDescent="0.25">
      <c r="A879" s="7">
        <v>878</v>
      </c>
      <c r="B879" s="11" t="s">
        <v>893</v>
      </c>
      <c r="C879" s="7" t="s">
        <v>1039</v>
      </c>
      <c r="D879" s="7">
        <v>878</v>
      </c>
      <c r="E879" s="7">
        <v>878</v>
      </c>
      <c r="F879" s="7">
        <v>878</v>
      </c>
      <c r="G879" s="11" t="s">
        <v>1020</v>
      </c>
      <c r="H879" s="20">
        <v>427817</v>
      </c>
      <c r="I879" s="12">
        <v>44836</v>
      </c>
      <c r="J879" s="12">
        <v>45140</v>
      </c>
      <c r="K879" s="25">
        <v>383157</v>
      </c>
      <c r="L879" s="23">
        <v>44660</v>
      </c>
      <c r="M879" s="11"/>
      <c r="N879" s="7" t="str">
        <f ca="1">_xlfn.IFNA(VLOOKUP("2"&amp;B879,CountSpecific!E:F,2,0),"")</f>
        <v/>
      </c>
      <c r="O879" s="14" t="str">
        <f ca="1">_xlfn.IFNA(VLOOKUP("3"&amp;B879,CountSpecific!E:F,2,0),"")</f>
        <v/>
      </c>
      <c r="P879" s="7" t="str">
        <f ca="1">_xlfn.IFNA(VLOOKUP("4"&amp;B879,CountSpecific!E:F,2,0),"")</f>
        <v/>
      </c>
    </row>
    <row r="880" spans="1:16" customFormat="1" x14ac:dyDescent="0.25">
      <c r="A880" s="7">
        <v>879</v>
      </c>
      <c r="B880" s="11" t="s">
        <v>894</v>
      </c>
      <c r="C880" s="7" t="s">
        <v>1039</v>
      </c>
      <c r="D880" s="7">
        <v>879</v>
      </c>
      <c r="E880" s="9">
        <v>879</v>
      </c>
      <c r="F880" s="7">
        <v>879</v>
      </c>
      <c r="G880" s="11" t="s">
        <v>1020</v>
      </c>
      <c r="H880" s="20">
        <v>407605</v>
      </c>
      <c r="I880" s="12">
        <v>44282</v>
      </c>
      <c r="J880" s="12">
        <v>44800</v>
      </c>
      <c r="K880" s="25">
        <v>252746</v>
      </c>
      <c r="L880" s="23">
        <v>154859</v>
      </c>
      <c r="M880" s="11"/>
      <c r="N880" s="7" t="str">
        <f ca="1">_xlfn.IFNA(VLOOKUP("2"&amp;B880,CountSpecific!E:F,2,0),"")</f>
        <v/>
      </c>
      <c r="O880" s="14" t="str">
        <f ca="1">_xlfn.IFNA(VLOOKUP("3"&amp;B880,CountSpecific!E:F,2,0),"")</f>
        <v/>
      </c>
      <c r="P880" s="7" t="str">
        <f ca="1">_xlfn.IFNA(VLOOKUP("4"&amp;B880,CountSpecific!E:F,2,0),"")</f>
        <v/>
      </c>
    </row>
    <row r="881" spans="1:16" customFormat="1" x14ac:dyDescent="0.25">
      <c r="A881" s="7">
        <v>880</v>
      </c>
      <c r="B881" s="11" t="s">
        <v>895</v>
      </c>
      <c r="C881" s="7" t="s">
        <v>1039</v>
      </c>
      <c r="D881" s="7">
        <v>880</v>
      </c>
      <c r="E881" s="7">
        <v>880</v>
      </c>
      <c r="F881" s="7">
        <v>880</v>
      </c>
      <c r="G881" s="11" t="s">
        <v>1022</v>
      </c>
      <c r="H881" s="20">
        <v>36961</v>
      </c>
      <c r="I881" s="12">
        <v>44430</v>
      </c>
      <c r="J881" s="12">
        <v>44795</v>
      </c>
      <c r="K881" s="25">
        <v>29040</v>
      </c>
      <c r="L881" s="23">
        <v>7921</v>
      </c>
      <c r="M881" s="11"/>
      <c r="N881" s="7" t="str">
        <f ca="1">_xlfn.IFNA(VLOOKUP("2"&amp;B881,CountSpecific!E:F,2,0),"")</f>
        <v/>
      </c>
      <c r="O881" s="14" t="str">
        <f ca="1">_xlfn.IFNA(VLOOKUP("3"&amp;B881,CountSpecific!E:F,2,0),"")</f>
        <v/>
      </c>
      <c r="P881" s="7" t="str">
        <f ca="1">_xlfn.IFNA(VLOOKUP("4"&amp;B881,CountSpecific!E:F,2,0),"")</f>
        <v/>
      </c>
    </row>
    <row r="882" spans="1:16" customFormat="1" x14ac:dyDescent="0.25">
      <c r="A882" s="7">
        <v>881</v>
      </c>
      <c r="B882" s="11" t="s">
        <v>896</v>
      </c>
      <c r="C882" s="7" t="s">
        <v>1039</v>
      </c>
      <c r="D882" s="7">
        <v>881</v>
      </c>
      <c r="E882" s="7">
        <v>881</v>
      </c>
      <c r="F882" s="7">
        <v>881</v>
      </c>
      <c r="G882" s="11" t="s">
        <v>1027</v>
      </c>
      <c r="H882" s="20">
        <v>45538</v>
      </c>
      <c r="I882" s="12">
        <v>44819</v>
      </c>
      <c r="J882" s="12">
        <v>45245</v>
      </c>
      <c r="K882" s="25">
        <v>40736</v>
      </c>
      <c r="L882" s="23">
        <v>4802</v>
      </c>
      <c r="M882" s="11"/>
      <c r="N882" s="7" t="str">
        <f ca="1">_xlfn.IFNA(VLOOKUP("2"&amp;B882,CountSpecific!E:F,2,0),"")</f>
        <v/>
      </c>
      <c r="O882" s="14" t="str">
        <f ca="1">_xlfn.IFNA(VLOOKUP("3"&amp;B882,CountSpecific!E:F,2,0),"")</f>
        <v/>
      </c>
      <c r="P882" s="7" t="str">
        <f ca="1">_xlfn.IFNA(VLOOKUP("4"&amp;B882,CountSpecific!E:F,2,0),"")</f>
        <v/>
      </c>
    </row>
    <row r="883" spans="1:16" customFormat="1" x14ac:dyDescent="0.25">
      <c r="A883" s="7">
        <v>882</v>
      </c>
      <c r="B883" s="11" t="s">
        <v>897</v>
      </c>
      <c r="C883" s="7" t="s">
        <v>1039</v>
      </c>
      <c r="D883" s="7">
        <v>882</v>
      </c>
      <c r="E883" s="9">
        <v>882</v>
      </c>
      <c r="F883" s="7">
        <v>882</v>
      </c>
      <c r="G883" s="11" t="s">
        <v>1025</v>
      </c>
      <c r="H883" s="20">
        <v>327767</v>
      </c>
      <c r="I883" s="12">
        <v>45584</v>
      </c>
      <c r="J883" s="12">
        <v>46072</v>
      </c>
      <c r="K883" s="25">
        <v>292553</v>
      </c>
      <c r="L883" s="23">
        <v>35214</v>
      </c>
      <c r="M883" s="11"/>
      <c r="N883" s="7" t="str">
        <f ca="1">_xlfn.IFNA(VLOOKUP("2"&amp;B883,CountSpecific!E:F,2,0),"")</f>
        <v/>
      </c>
      <c r="O883" s="14" t="str">
        <f ca="1">_xlfn.IFNA(VLOOKUP("3"&amp;B883,CountSpecific!E:F,2,0),"")</f>
        <v/>
      </c>
      <c r="P883" s="7" t="str">
        <f ca="1">_xlfn.IFNA(VLOOKUP("4"&amp;B883,CountSpecific!E:F,2,0),"")</f>
        <v/>
      </c>
    </row>
    <row r="884" spans="1:16" customFormat="1" x14ac:dyDescent="0.25">
      <c r="A884" s="7">
        <v>883</v>
      </c>
      <c r="B884" s="11" t="s">
        <v>898</v>
      </c>
      <c r="C884" s="7" t="s">
        <v>1039</v>
      </c>
      <c r="D884" s="7">
        <v>883</v>
      </c>
      <c r="E884" s="7">
        <v>883</v>
      </c>
      <c r="F884" s="7">
        <v>883</v>
      </c>
      <c r="G884" s="11" t="s">
        <v>1024</v>
      </c>
      <c r="H884" s="20">
        <v>983946</v>
      </c>
      <c r="I884" s="12">
        <v>44485</v>
      </c>
      <c r="J884" s="12">
        <v>45032</v>
      </c>
      <c r="K884" s="25">
        <v>68235</v>
      </c>
      <c r="L884" s="23">
        <v>915711</v>
      </c>
      <c r="M884" s="11"/>
      <c r="N884" s="7" t="str">
        <f ca="1">_xlfn.IFNA(VLOOKUP("2"&amp;B884,CountSpecific!E:F,2,0),"")</f>
        <v/>
      </c>
      <c r="O884" s="14" t="str">
        <f ca="1">_xlfn.IFNA(VLOOKUP("3"&amp;B884,CountSpecific!E:F,2,0),"")</f>
        <v/>
      </c>
      <c r="P884" s="7" t="str">
        <f ca="1">_xlfn.IFNA(VLOOKUP("4"&amp;B884,CountSpecific!E:F,2,0),"")</f>
        <v/>
      </c>
    </row>
    <row r="885" spans="1:16" customFormat="1" x14ac:dyDescent="0.25">
      <c r="A885" s="7">
        <v>884</v>
      </c>
      <c r="B885" s="11" t="s">
        <v>899</v>
      </c>
      <c r="C885" s="7" t="s">
        <v>1039</v>
      </c>
      <c r="D885" s="7">
        <v>884</v>
      </c>
      <c r="E885" s="7">
        <v>884</v>
      </c>
      <c r="F885" s="7">
        <v>884</v>
      </c>
      <c r="G885" s="11" t="s">
        <v>1023</v>
      </c>
      <c r="H885" s="20">
        <v>1389</v>
      </c>
      <c r="I885" s="12">
        <v>43847</v>
      </c>
      <c r="J885" s="12">
        <v>44547</v>
      </c>
      <c r="K885" s="25">
        <v>170</v>
      </c>
      <c r="L885" s="23">
        <v>1219</v>
      </c>
      <c r="M885" s="11"/>
      <c r="N885" s="7" t="str">
        <f ca="1">_xlfn.IFNA(VLOOKUP("2"&amp;B885,CountSpecific!E:F,2,0),"")</f>
        <v/>
      </c>
      <c r="O885" s="14" t="str">
        <f ca="1">_xlfn.IFNA(VLOOKUP("3"&amp;B885,CountSpecific!E:F,2,0),"")</f>
        <v/>
      </c>
      <c r="P885" s="7" t="str">
        <f ca="1">_xlfn.IFNA(VLOOKUP("4"&amp;B885,CountSpecific!E:F,2,0),"")</f>
        <v/>
      </c>
    </row>
    <row r="886" spans="1:16" customFormat="1" x14ac:dyDescent="0.25">
      <c r="A886" s="7">
        <v>885</v>
      </c>
      <c r="B886" s="11" t="s">
        <v>900</v>
      </c>
      <c r="C886" s="7" t="s">
        <v>1039</v>
      </c>
      <c r="D886" s="7">
        <v>885</v>
      </c>
      <c r="E886" s="9">
        <v>885</v>
      </c>
      <c r="F886" s="7">
        <v>885</v>
      </c>
      <c r="G886" s="11" t="s">
        <v>1027</v>
      </c>
      <c r="H886" s="20">
        <v>43851</v>
      </c>
      <c r="I886" s="12">
        <v>45531</v>
      </c>
      <c r="J886" s="12">
        <v>45804</v>
      </c>
      <c r="K886" s="25">
        <v>33609</v>
      </c>
      <c r="L886" s="23">
        <v>10242</v>
      </c>
      <c r="M886" s="11"/>
      <c r="N886" s="7" t="str">
        <f ca="1">_xlfn.IFNA(VLOOKUP("2"&amp;B886,CountSpecific!E:F,2,0),"")</f>
        <v/>
      </c>
      <c r="O886" s="14" t="str">
        <f ca="1">_xlfn.IFNA(VLOOKUP("3"&amp;B886,CountSpecific!E:F,2,0),"")</f>
        <v/>
      </c>
      <c r="P886" s="7" t="str">
        <f ca="1">_xlfn.IFNA(VLOOKUP("4"&amp;B886,CountSpecific!E:F,2,0),"")</f>
        <v/>
      </c>
    </row>
    <row r="887" spans="1:16" customFormat="1" x14ac:dyDescent="0.25">
      <c r="A887" s="7">
        <v>886</v>
      </c>
      <c r="B887" s="11" t="s">
        <v>901</v>
      </c>
      <c r="C887" s="7" t="s">
        <v>1039</v>
      </c>
      <c r="D887" s="7">
        <v>886</v>
      </c>
      <c r="E887" s="7">
        <v>886</v>
      </c>
      <c r="F887" s="7">
        <v>886</v>
      </c>
      <c r="G887" s="11" t="s">
        <v>1016</v>
      </c>
      <c r="H887" s="20">
        <v>1734</v>
      </c>
      <c r="I887" s="12">
        <v>44293</v>
      </c>
      <c r="J887" s="12">
        <v>44627</v>
      </c>
      <c r="K887" s="25">
        <v>390</v>
      </c>
      <c r="L887" s="23">
        <v>1344</v>
      </c>
      <c r="M887" s="11"/>
      <c r="N887" s="7" t="str">
        <f ca="1">_xlfn.IFNA(VLOOKUP("2"&amp;B887,CountSpecific!E:F,2,0),"")</f>
        <v/>
      </c>
      <c r="O887" s="14" t="str">
        <f ca="1">_xlfn.IFNA(VLOOKUP("3"&amp;B887,CountSpecific!E:F,2,0),"")</f>
        <v/>
      </c>
      <c r="P887" s="7" t="str">
        <f ca="1">_xlfn.IFNA(VLOOKUP("4"&amp;B887,CountSpecific!E:F,2,0),"")</f>
        <v/>
      </c>
    </row>
    <row r="888" spans="1:16" customFormat="1" x14ac:dyDescent="0.25">
      <c r="A888" s="7">
        <v>887</v>
      </c>
      <c r="B888" s="11" t="s">
        <v>902</v>
      </c>
      <c r="C888" s="7" t="s">
        <v>1039</v>
      </c>
      <c r="D888" s="7">
        <v>887</v>
      </c>
      <c r="E888" s="7">
        <v>887</v>
      </c>
      <c r="F888" s="7">
        <v>887</v>
      </c>
      <c r="G888" s="11" t="s">
        <v>1021</v>
      </c>
      <c r="H888" s="20">
        <v>62402</v>
      </c>
      <c r="I888" s="12">
        <v>44161</v>
      </c>
      <c r="J888" s="12">
        <v>44526</v>
      </c>
      <c r="K888" s="25">
        <v>45439</v>
      </c>
      <c r="L888" s="23">
        <v>16963</v>
      </c>
      <c r="M888" s="11"/>
      <c r="N888" s="7" t="str">
        <f ca="1">_xlfn.IFNA(VLOOKUP("2"&amp;B888,CountSpecific!E:F,2,0),"")</f>
        <v/>
      </c>
      <c r="O888" s="14" t="str">
        <f ca="1">_xlfn.IFNA(VLOOKUP("3"&amp;B888,CountSpecific!E:F,2,0),"")</f>
        <v/>
      </c>
      <c r="P888" s="7" t="str">
        <f ca="1">_xlfn.IFNA(VLOOKUP("4"&amp;B888,CountSpecific!E:F,2,0),"")</f>
        <v/>
      </c>
    </row>
    <row r="889" spans="1:16" customFormat="1" x14ac:dyDescent="0.25">
      <c r="A889" s="7">
        <v>888</v>
      </c>
      <c r="B889" s="11" t="s">
        <v>903</v>
      </c>
      <c r="C889" s="7" t="s">
        <v>1039</v>
      </c>
      <c r="D889" s="7">
        <v>888</v>
      </c>
      <c r="E889" s="9">
        <v>888</v>
      </c>
      <c r="F889" s="7">
        <v>888</v>
      </c>
      <c r="G889" s="11" t="s">
        <v>1021</v>
      </c>
      <c r="H889" s="20">
        <v>31898</v>
      </c>
      <c r="I889" s="12">
        <v>45380</v>
      </c>
      <c r="J889" s="12">
        <v>45716</v>
      </c>
      <c r="K889" s="25">
        <v>16231</v>
      </c>
      <c r="L889" s="23">
        <v>15667</v>
      </c>
      <c r="M889" s="11"/>
      <c r="N889" s="7" t="str">
        <f ca="1">_xlfn.IFNA(VLOOKUP("2"&amp;B889,CountSpecific!E:F,2,0),"")</f>
        <v/>
      </c>
      <c r="O889" s="14" t="str">
        <f ca="1">_xlfn.IFNA(VLOOKUP("3"&amp;B889,CountSpecific!E:F,2,0),"")</f>
        <v/>
      </c>
      <c r="P889" s="7" t="str">
        <f ca="1">_xlfn.IFNA(VLOOKUP("4"&amp;B889,CountSpecific!E:F,2,0),"")</f>
        <v/>
      </c>
    </row>
    <row r="890" spans="1:16" customFormat="1" x14ac:dyDescent="0.25">
      <c r="A890" s="7">
        <v>889</v>
      </c>
      <c r="B890" s="11" t="s">
        <v>904</v>
      </c>
      <c r="C890" s="7" t="s">
        <v>1039</v>
      </c>
      <c r="D890" s="7">
        <v>889</v>
      </c>
      <c r="E890" s="7">
        <v>889</v>
      </c>
      <c r="F890" s="7">
        <v>889</v>
      </c>
      <c r="G890" s="11" t="s">
        <v>1026</v>
      </c>
      <c r="H890" s="20">
        <v>3986835</v>
      </c>
      <c r="I890" s="12">
        <v>44210</v>
      </c>
      <c r="J890" s="12">
        <v>44787</v>
      </c>
      <c r="K890" s="25">
        <v>3488248</v>
      </c>
      <c r="L890" s="23">
        <v>498587</v>
      </c>
      <c r="M890" s="11"/>
      <c r="N890" s="7" t="str">
        <f ca="1">_xlfn.IFNA(VLOOKUP("2"&amp;B890,CountSpecific!E:F,2,0),"")</f>
        <v/>
      </c>
      <c r="O890" s="14" t="str">
        <f ca="1">_xlfn.IFNA(VLOOKUP("3"&amp;B890,CountSpecific!E:F,2,0),"")</f>
        <v/>
      </c>
      <c r="P890" s="7" t="str">
        <f ca="1">_xlfn.IFNA(VLOOKUP("4"&amp;B890,CountSpecific!E:F,2,0),"")</f>
        <v/>
      </c>
    </row>
    <row r="891" spans="1:16" customFormat="1" x14ac:dyDescent="0.25">
      <c r="A891" s="7">
        <v>890</v>
      </c>
      <c r="B891" s="11" t="s">
        <v>905</v>
      </c>
      <c r="C891" s="7" t="s">
        <v>1039</v>
      </c>
      <c r="D891" s="7">
        <v>890</v>
      </c>
      <c r="E891" s="7">
        <v>890</v>
      </c>
      <c r="F891" s="7">
        <v>890</v>
      </c>
      <c r="G891" s="11" t="s">
        <v>1024</v>
      </c>
      <c r="H891" s="20">
        <v>544070</v>
      </c>
      <c r="I891" s="12">
        <v>45111</v>
      </c>
      <c r="J891" s="12">
        <v>45264</v>
      </c>
      <c r="K891" s="25">
        <v>510194</v>
      </c>
      <c r="L891" s="23">
        <v>33876</v>
      </c>
      <c r="M891" s="11"/>
      <c r="N891" s="7" t="str">
        <f ca="1">_xlfn.IFNA(VLOOKUP("2"&amp;B891,CountSpecific!E:F,2,0),"")</f>
        <v/>
      </c>
      <c r="O891" s="14" t="str">
        <f ca="1">_xlfn.IFNA(VLOOKUP("3"&amp;B891,CountSpecific!E:F,2,0),"")</f>
        <v/>
      </c>
      <c r="P891" s="7" t="str">
        <f ca="1">_xlfn.IFNA(VLOOKUP("4"&amp;B891,CountSpecific!E:F,2,0),"")</f>
        <v/>
      </c>
    </row>
    <row r="892" spans="1:16" customFormat="1" x14ac:dyDescent="0.25">
      <c r="A892" s="7">
        <v>891</v>
      </c>
      <c r="B892" s="11" t="s">
        <v>906</v>
      </c>
      <c r="C892" s="7" t="s">
        <v>1039</v>
      </c>
      <c r="D892" s="7">
        <v>891</v>
      </c>
      <c r="E892" s="9">
        <v>891</v>
      </c>
      <c r="F892" s="7">
        <v>891</v>
      </c>
      <c r="G892" s="11" t="s">
        <v>1020</v>
      </c>
      <c r="H892" s="20">
        <v>160498</v>
      </c>
      <c r="I892" s="12">
        <v>45690</v>
      </c>
      <c r="J892" s="12">
        <v>45718</v>
      </c>
      <c r="K892" s="25">
        <v>39113</v>
      </c>
      <c r="L892" s="23">
        <v>121385</v>
      </c>
      <c r="M892" s="11"/>
      <c r="N892" s="7" t="str">
        <f ca="1">_xlfn.IFNA(VLOOKUP("2"&amp;B892,CountSpecific!E:F,2,0),"")</f>
        <v/>
      </c>
      <c r="O892" s="14" t="str">
        <f ca="1">_xlfn.IFNA(VLOOKUP("3"&amp;B892,CountSpecific!E:F,2,0),"")</f>
        <v/>
      </c>
      <c r="P892" s="7" t="str">
        <f ca="1">_xlfn.IFNA(VLOOKUP("4"&amp;B892,CountSpecific!E:F,2,0),"")</f>
        <v/>
      </c>
    </row>
    <row r="893" spans="1:16" customFormat="1" x14ac:dyDescent="0.25">
      <c r="A893" s="7">
        <v>892</v>
      </c>
      <c r="B893" s="11" t="s">
        <v>907</v>
      </c>
      <c r="C893" s="7" t="s">
        <v>1039</v>
      </c>
      <c r="D893" s="7">
        <v>892</v>
      </c>
      <c r="E893" s="7">
        <v>892</v>
      </c>
      <c r="F893" s="7">
        <v>892</v>
      </c>
      <c r="G893" s="11" t="s">
        <v>1021</v>
      </c>
      <c r="H893" s="20">
        <v>52921</v>
      </c>
      <c r="I893" s="12">
        <v>44620</v>
      </c>
      <c r="J893" s="12">
        <v>44985</v>
      </c>
      <c r="K893" s="25">
        <v>23408</v>
      </c>
      <c r="L893" s="23">
        <v>29513</v>
      </c>
      <c r="M893" s="11"/>
      <c r="N893" s="7" t="str">
        <f ca="1">_xlfn.IFNA(VLOOKUP("2"&amp;B893,CountSpecific!E:F,2,0),"")</f>
        <v/>
      </c>
      <c r="O893" s="14" t="str">
        <f ca="1">_xlfn.IFNA(VLOOKUP("3"&amp;B893,CountSpecific!E:F,2,0),"")</f>
        <v/>
      </c>
      <c r="P893" s="7" t="str">
        <f ca="1">_xlfn.IFNA(VLOOKUP("4"&amp;B893,CountSpecific!E:F,2,0),"")</f>
        <v/>
      </c>
    </row>
    <row r="894" spans="1:16" customFormat="1" x14ac:dyDescent="0.25">
      <c r="A894" s="7">
        <v>893</v>
      </c>
      <c r="B894" s="11" t="s">
        <v>908</v>
      </c>
      <c r="C894" s="7" t="s">
        <v>1039</v>
      </c>
      <c r="D894" s="7">
        <v>893</v>
      </c>
      <c r="E894" s="7">
        <v>893</v>
      </c>
      <c r="F894" s="7">
        <v>893</v>
      </c>
      <c r="G894" s="11" t="s">
        <v>1023</v>
      </c>
      <c r="H894" s="20">
        <v>380</v>
      </c>
      <c r="I894" s="12">
        <v>45618</v>
      </c>
      <c r="J894" s="12">
        <v>46287</v>
      </c>
      <c r="K894" s="25">
        <v>57</v>
      </c>
      <c r="L894" s="23">
        <v>323</v>
      </c>
      <c r="M894" s="11"/>
      <c r="N894" s="7" t="str">
        <f ca="1">_xlfn.IFNA(VLOOKUP("2"&amp;B894,CountSpecific!E:F,2,0),"")</f>
        <v/>
      </c>
      <c r="O894" s="14" t="str">
        <f ca="1">_xlfn.IFNA(VLOOKUP("3"&amp;B894,CountSpecific!E:F,2,0),"")</f>
        <v/>
      </c>
      <c r="P894" s="7" t="str">
        <f ca="1">_xlfn.IFNA(VLOOKUP("4"&amp;B894,CountSpecific!E:F,2,0),"")</f>
        <v/>
      </c>
    </row>
    <row r="895" spans="1:16" customFormat="1" x14ac:dyDescent="0.25">
      <c r="A895" s="7">
        <v>894</v>
      </c>
      <c r="B895" s="11" t="s">
        <v>909</v>
      </c>
      <c r="C895" s="7" t="s">
        <v>1039</v>
      </c>
      <c r="D895" s="7">
        <v>894</v>
      </c>
      <c r="E895" s="9">
        <v>894</v>
      </c>
      <c r="F895" s="7">
        <v>894</v>
      </c>
      <c r="G895" s="11" t="s">
        <v>1027</v>
      </c>
      <c r="H895" s="20">
        <v>42027</v>
      </c>
      <c r="I895" s="12">
        <v>44505</v>
      </c>
      <c r="J895" s="12">
        <v>44778</v>
      </c>
      <c r="K895" s="25">
        <v>20254</v>
      </c>
      <c r="L895" s="23">
        <v>21773</v>
      </c>
      <c r="M895" s="11"/>
      <c r="N895" s="7" t="str">
        <f ca="1">_xlfn.IFNA(VLOOKUP("2"&amp;B895,CountSpecific!E:F,2,0),"")</f>
        <v/>
      </c>
      <c r="O895" s="14" t="str">
        <f ca="1">_xlfn.IFNA(VLOOKUP("3"&amp;B895,CountSpecific!E:F,2,0),"")</f>
        <v/>
      </c>
      <c r="P895" s="7" t="str">
        <f ca="1">_xlfn.IFNA(VLOOKUP("4"&amp;B895,CountSpecific!E:F,2,0),"")</f>
        <v/>
      </c>
    </row>
    <row r="896" spans="1:16" customFormat="1" x14ac:dyDescent="0.25">
      <c r="A896" s="7">
        <v>895</v>
      </c>
      <c r="B896" s="11" t="s">
        <v>910</v>
      </c>
      <c r="C896" s="7" t="s">
        <v>1039</v>
      </c>
      <c r="D896" s="7">
        <v>895</v>
      </c>
      <c r="E896" s="7">
        <v>895</v>
      </c>
      <c r="F896" s="7">
        <v>895</v>
      </c>
      <c r="G896" s="11" t="s">
        <v>1021</v>
      </c>
      <c r="H896" s="20">
        <v>74888</v>
      </c>
      <c r="I896" s="12">
        <v>45329</v>
      </c>
      <c r="J896" s="12">
        <v>45907</v>
      </c>
      <c r="K896" s="25">
        <v>62741</v>
      </c>
      <c r="L896" s="23">
        <v>12147</v>
      </c>
      <c r="M896" s="11"/>
      <c r="N896" s="7" t="str">
        <f ca="1">_xlfn.IFNA(VLOOKUP("2"&amp;B896,CountSpecific!E:F,2,0),"")</f>
        <v/>
      </c>
      <c r="O896" s="14" t="str">
        <f ca="1">_xlfn.IFNA(VLOOKUP("3"&amp;B896,CountSpecific!E:F,2,0),"")</f>
        <v/>
      </c>
      <c r="P896" s="7" t="str">
        <f ca="1">_xlfn.IFNA(VLOOKUP("4"&amp;B896,CountSpecific!E:F,2,0),"")</f>
        <v/>
      </c>
    </row>
    <row r="897" spans="1:16" customFormat="1" x14ac:dyDescent="0.25">
      <c r="A897" s="7">
        <v>896</v>
      </c>
      <c r="B897" s="11" t="s">
        <v>911</v>
      </c>
      <c r="C897" s="7" t="s">
        <v>1039</v>
      </c>
      <c r="D897" s="7">
        <v>896</v>
      </c>
      <c r="E897" s="7">
        <v>896</v>
      </c>
      <c r="F897" s="7">
        <v>896</v>
      </c>
      <c r="G897" s="11" t="s">
        <v>1020</v>
      </c>
      <c r="H897" s="20">
        <v>147496</v>
      </c>
      <c r="I897" s="12">
        <v>45295</v>
      </c>
      <c r="J897" s="12">
        <v>45600</v>
      </c>
      <c r="K897" s="25">
        <v>142770</v>
      </c>
      <c r="L897" s="23">
        <v>4726</v>
      </c>
      <c r="M897" s="11"/>
      <c r="N897" s="7" t="str">
        <f ca="1">_xlfn.IFNA(VLOOKUP("2"&amp;B897,CountSpecific!E:F,2,0),"")</f>
        <v/>
      </c>
      <c r="O897" s="14" t="str">
        <f ca="1">_xlfn.IFNA(VLOOKUP("3"&amp;B897,CountSpecific!E:F,2,0),"")</f>
        <v/>
      </c>
      <c r="P897" s="7" t="str">
        <f ca="1">_xlfn.IFNA(VLOOKUP("4"&amp;B897,CountSpecific!E:F,2,0),"")</f>
        <v/>
      </c>
    </row>
    <row r="898" spans="1:16" customFormat="1" x14ac:dyDescent="0.25">
      <c r="A898" s="7">
        <v>897</v>
      </c>
      <c r="B898" s="11" t="s">
        <v>912</v>
      </c>
      <c r="C898" s="7" t="s">
        <v>1039</v>
      </c>
      <c r="D898" s="7">
        <v>897</v>
      </c>
      <c r="E898" s="9">
        <v>897</v>
      </c>
      <c r="F898" s="7">
        <v>897</v>
      </c>
      <c r="G898" s="11" t="s">
        <v>1020</v>
      </c>
      <c r="H898" s="20">
        <v>77026</v>
      </c>
      <c r="I898" s="12">
        <v>45085</v>
      </c>
      <c r="J898" s="12">
        <v>45604</v>
      </c>
      <c r="K898" s="25">
        <v>47863</v>
      </c>
      <c r="L898" s="23">
        <v>29163</v>
      </c>
      <c r="M898" s="11"/>
      <c r="N898" s="7" t="str">
        <f ca="1">_xlfn.IFNA(VLOOKUP("2"&amp;B898,CountSpecific!E:F,2,0),"")</f>
        <v/>
      </c>
      <c r="O898" s="14" t="str">
        <f ca="1">_xlfn.IFNA(VLOOKUP("3"&amp;B898,CountSpecific!E:F,2,0),"")</f>
        <v/>
      </c>
      <c r="P898" s="7" t="str">
        <f ca="1">_xlfn.IFNA(VLOOKUP("4"&amp;B898,CountSpecific!E:F,2,0),"")</f>
        <v/>
      </c>
    </row>
    <row r="899" spans="1:16" customFormat="1" x14ac:dyDescent="0.25">
      <c r="A899" s="7">
        <v>898</v>
      </c>
      <c r="B899" s="11" t="s">
        <v>913</v>
      </c>
      <c r="C899" s="7" t="s">
        <v>1039</v>
      </c>
      <c r="D899" s="7">
        <v>898</v>
      </c>
      <c r="E899" s="7">
        <v>898</v>
      </c>
      <c r="F899" s="7">
        <v>898</v>
      </c>
      <c r="G899" s="11" t="s">
        <v>1024</v>
      </c>
      <c r="H899" s="20">
        <v>239762</v>
      </c>
      <c r="I899" s="12">
        <v>45381</v>
      </c>
      <c r="J899" s="12">
        <v>45838</v>
      </c>
      <c r="K899" s="25">
        <v>220890</v>
      </c>
      <c r="L899" s="23">
        <v>18872</v>
      </c>
      <c r="M899" s="11"/>
      <c r="N899" s="7" t="str">
        <f ca="1">_xlfn.IFNA(VLOOKUP("2"&amp;B899,CountSpecific!E:F,2,0),"")</f>
        <v/>
      </c>
      <c r="O899" s="14" t="str">
        <f ca="1">_xlfn.IFNA(VLOOKUP("3"&amp;B899,CountSpecific!E:F,2,0),"")</f>
        <v/>
      </c>
      <c r="P899" s="7" t="str">
        <f ca="1">_xlfn.IFNA(VLOOKUP("4"&amp;B899,CountSpecific!E:F,2,0),"")</f>
        <v/>
      </c>
    </row>
    <row r="900" spans="1:16" customFormat="1" x14ac:dyDescent="0.25">
      <c r="A900" s="7">
        <v>899</v>
      </c>
      <c r="B900" s="11" t="s">
        <v>914</v>
      </c>
      <c r="C900" s="7" t="s">
        <v>1039</v>
      </c>
      <c r="D900" s="7">
        <v>899</v>
      </c>
      <c r="E900" s="7">
        <v>899</v>
      </c>
      <c r="F900" s="7">
        <v>899</v>
      </c>
      <c r="G900" s="11" t="s">
        <v>1023</v>
      </c>
      <c r="H900" s="20">
        <v>151</v>
      </c>
      <c r="I900" s="12">
        <v>44571</v>
      </c>
      <c r="J900" s="12">
        <v>45179</v>
      </c>
      <c r="K900" s="25">
        <v>30</v>
      </c>
      <c r="L900" s="23">
        <v>121</v>
      </c>
      <c r="M900" s="11"/>
      <c r="N900" s="7" t="str">
        <f ca="1">_xlfn.IFNA(VLOOKUP("2"&amp;B900,CountSpecific!E:F,2,0),"")</f>
        <v/>
      </c>
      <c r="O900" s="14" t="str">
        <f ca="1">_xlfn.IFNA(VLOOKUP("3"&amp;B900,CountSpecific!E:F,2,0),"")</f>
        <v/>
      </c>
      <c r="P900" s="7" t="str">
        <f ca="1">_xlfn.IFNA(VLOOKUP("4"&amp;B900,CountSpecific!E:F,2,0),"")</f>
        <v/>
      </c>
    </row>
    <row r="901" spans="1:16" customFormat="1" x14ac:dyDescent="0.25">
      <c r="A901" s="7">
        <v>900</v>
      </c>
      <c r="B901" s="11" t="s">
        <v>915</v>
      </c>
      <c r="C901" s="7" t="s">
        <v>1039</v>
      </c>
      <c r="D901" s="7">
        <v>900</v>
      </c>
      <c r="E901" s="9">
        <v>900</v>
      </c>
      <c r="F901" s="7">
        <v>900</v>
      </c>
      <c r="G901" s="11" t="s">
        <v>1022</v>
      </c>
      <c r="H901" s="20">
        <v>15303</v>
      </c>
      <c r="I901" s="12">
        <v>45710</v>
      </c>
      <c r="J901" s="12">
        <v>45738</v>
      </c>
      <c r="K901" s="25">
        <v>3013</v>
      </c>
      <c r="L901" s="23">
        <v>12290</v>
      </c>
      <c r="M901" s="11"/>
      <c r="N901" s="7" t="str">
        <f ca="1">_xlfn.IFNA(VLOOKUP("2"&amp;B901,CountSpecific!E:F,2,0),"")</f>
        <v/>
      </c>
      <c r="O901" s="14" t="str">
        <f ca="1">_xlfn.IFNA(VLOOKUP("3"&amp;B901,CountSpecific!E:F,2,0),"")</f>
        <v/>
      </c>
      <c r="P901" s="7" t="str">
        <f ca="1">_xlfn.IFNA(VLOOKUP("4"&amp;B901,CountSpecific!E:F,2,0),"")</f>
        <v/>
      </c>
    </row>
    <row r="902" spans="1:16" customFormat="1" x14ac:dyDescent="0.25">
      <c r="A902" s="7">
        <v>901</v>
      </c>
      <c r="B902" s="11" t="s">
        <v>916</v>
      </c>
      <c r="C902" s="7" t="s">
        <v>1039</v>
      </c>
      <c r="D902" s="7">
        <v>901</v>
      </c>
      <c r="E902" s="7">
        <v>901</v>
      </c>
      <c r="F902" s="7">
        <v>901</v>
      </c>
      <c r="G902" s="11" t="s">
        <v>1023</v>
      </c>
      <c r="H902" s="20">
        <v>74</v>
      </c>
      <c r="I902" s="12">
        <v>44804</v>
      </c>
      <c r="J902" s="12">
        <v>45504</v>
      </c>
      <c r="K902" s="25">
        <v>42</v>
      </c>
      <c r="L902" s="23">
        <v>32</v>
      </c>
      <c r="M902" s="11"/>
      <c r="N902" s="7" t="str">
        <f ca="1">_xlfn.IFNA(VLOOKUP("2"&amp;B902,CountSpecific!E:F,2,0),"")</f>
        <v/>
      </c>
      <c r="O902" s="14" t="str">
        <f ca="1">_xlfn.IFNA(VLOOKUP("3"&amp;B902,CountSpecific!E:F,2,0),"")</f>
        <v/>
      </c>
      <c r="P902" s="7" t="str">
        <f ca="1">_xlfn.IFNA(VLOOKUP("4"&amp;B902,CountSpecific!E:F,2,0),"")</f>
        <v/>
      </c>
    </row>
    <row r="903" spans="1:16" customFormat="1" x14ac:dyDescent="0.25">
      <c r="A903" s="7">
        <v>902</v>
      </c>
      <c r="B903" s="11" t="s">
        <v>917</v>
      </c>
      <c r="C903" s="7" t="s">
        <v>1039</v>
      </c>
      <c r="D903" s="7">
        <v>902</v>
      </c>
      <c r="E903" s="7">
        <v>902</v>
      </c>
      <c r="F903" s="7">
        <v>902</v>
      </c>
      <c r="G903" s="11" t="s">
        <v>1025</v>
      </c>
      <c r="H903" s="20">
        <v>201927</v>
      </c>
      <c r="I903" s="12">
        <v>45212</v>
      </c>
      <c r="J903" s="12">
        <v>45609</v>
      </c>
      <c r="K903" s="25">
        <v>70552</v>
      </c>
      <c r="L903" s="23">
        <v>131375</v>
      </c>
      <c r="M903" s="11"/>
      <c r="N903" s="7" t="str">
        <f ca="1">_xlfn.IFNA(VLOOKUP("2"&amp;B903,CountSpecific!E:F,2,0),"")</f>
        <v/>
      </c>
      <c r="O903" s="14" t="str">
        <f ca="1">_xlfn.IFNA(VLOOKUP("3"&amp;B903,CountSpecific!E:F,2,0),"")</f>
        <v/>
      </c>
      <c r="P903" s="7" t="str">
        <f ca="1">_xlfn.IFNA(VLOOKUP("4"&amp;B903,CountSpecific!E:F,2,0),"")</f>
        <v/>
      </c>
    </row>
    <row r="904" spans="1:16" customFormat="1" x14ac:dyDescent="0.25">
      <c r="A904" s="7">
        <v>903</v>
      </c>
      <c r="B904" s="11" t="s">
        <v>918</v>
      </c>
      <c r="C904" s="7" t="s">
        <v>1039</v>
      </c>
      <c r="D904" s="7">
        <v>903</v>
      </c>
      <c r="E904" s="9">
        <v>903</v>
      </c>
      <c r="F904" s="7">
        <v>903</v>
      </c>
      <c r="G904" s="11" t="s">
        <v>1020</v>
      </c>
      <c r="H904" s="20">
        <v>436741</v>
      </c>
      <c r="I904" s="12">
        <v>45133</v>
      </c>
      <c r="J904" s="12">
        <v>45408</v>
      </c>
      <c r="K904" s="25">
        <v>160585</v>
      </c>
      <c r="L904" s="23">
        <v>276156</v>
      </c>
      <c r="M904" s="11"/>
      <c r="N904" s="7" t="str">
        <f ca="1">_xlfn.IFNA(VLOOKUP("2"&amp;B904,CountSpecific!E:F,2,0),"")</f>
        <v/>
      </c>
      <c r="O904" s="14" t="str">
        <f ca="1">_xlfn.IFNA(VLOOKUP("3"&amp;B904,CountSpecific!E:F,2,0),"")</f>
        <v/>
      </c>
      <c r="P904" s="7" t="str">
        <f ca="1">_xlfn.IFNA(VLOOKUP("4"&amp;B904,CountSpecific!E:F,2,0),"")</f>
        <v/>
      </c>
    </row>
    <row r="905" spans="1:16" customFormat="1" x14ac:dyDescent="0.25">
      <c r="A905" s="7">
        <v>904</v>
      </c>
      <c r="B905" s="11" t="s">
        <v>919</v>
      </c>
      <c r="C905" s="7" t="s">
        <v>1039</v>
      </c>
      <c r="D905" s="7">
        <v>904</v>
      </c>
      <c r="E905" s="7">
        <v>904</v>
      </c>
      <c r="F905" s="7">
        <v>904</v>
      </c>
      <c r="G905" s="11" t="s">
        <v>1026</v>
      </c>
      <c r="H905" s="20">
        <v>327268</v>
      </c>
      <c r="I905" s="12">
        <v>45035</v>
      </c>
      <c r="J905" s="12">
        <v>45065</v>
      </c>
      <c r="K905" s="25">
        <v>307386</v>
      </c>
      <c r="L905" s="23">
        <v>19882</v>
      </c>
      <c r="M905" s="11"/>
      <c r="N905" s="7" t="str">
        <f ca="1">_xlfn.IFNA(VLOOKUP("2"&amp;B905,CountSpecific!E:F,2,0),"")</f>
        <v/>
      </c>
      <c r="O905" s="14" t="str">
        <f ca="1">_xlfn.IFNA(VLOOKUP("3"&amp;B905,CountSpecific!E:F,2,0),"")</f>
        <v/>
      </c>
      <c r="P905" s="7" t="str">
        <f ca="1">_xlfn.IFNA(VLOOKUP("4"&amp;B905,CountSpecific!E:F,2,0),"")</f>
        <v/>
      </c>
    </row>
    <row r="906" spans="1:16" customFormat="1" x14ac:dyDescent="0.25">
      <c r="A906" s="7">
        <v>905</v>
      </c>
      <c r="B906" s="11" t="s">
        <v>920</v>
      </c>
      <c r="C906" s="7" t="s">
        <v>1039</v>
      </c>
      <c r="D906" s="7">
        <v>905</v>
      </c>
      <c r="E906" s="7">
        <v>905</v>
      </c>
      <c r="F906" s="7">
        <v>905</v>
      </c>
      <c r="G906" s="11" t="s">
        <v>1021</v>
      </c>
      <c r="H906" s="20">
        <v>89835</v>
      </c>
      <c r="I906" s="12">
        <v>44032</v>
      </c>
      <c r="J906" s="12">
        <v>44428</v>
      </c>
      <c r="K906" s="25">
        <v>28242</v>
      </c>
      <c r="L906" s="23">
        <v>61593</v>
      </c>
      <c r="M906" s="11"/>
      <c r="N906" s="7" t="str">
        <f ca="1">_xlfn.IFNA(VLOOKUP("2"&amp;B906,CountSpecific!E:F,2,0),"")</f>
        <v/>
      </c>
      <c r="O906" s="14" t="str">
        <f ca="1">_xlfn.IFNA(VLOOKUP("3"&amp;B906,CountSpecific!E:F,2,0),"")</f>
        <v/>
      </c>
      <c r="P906" s="7" t="str">
        <f ca="1">_xlfn.IFNA(VLOOKUP("4"&amp;B906,CountSpecific!E:F,2,0),"")</f>
        <v/>
      </c>
    </row>
    <row r="907" spans="1:16" customFormat="1" x14ac:dyDescent="0.25">
      <c r="A907" s="7">
        <v>906</v>
      </c>
      <c r="B907" s="11" t="s">
        <v>921</v>
      </c>
      <c r="C907" s="7" t="s">
        <v>1039</v>
      </c>
      <c r="D907" s="7">
        <v>906</v>
      </c>
      <c r="E907" s="9">
        <v>906</v>
      </c>
      <c r="F907" s="7">
        <v>906</v>
      </c>
      <c r="G907" s="11" t="s">
        <v>1023</v>
      </c>
      <c r="H907" s="20">
        <v>644</v>
      </c>
      <c r="I907" s="12">
        <v>45566</v>
      </c>
      <c r="J907" s="12">
        <v>46082</v>
      </c>
      <c r="K907" s="25">
        <v>591</v>
      </c>
      <c r="L907" s="23">
        <v>53</v>
      </c>
      <c r="M907" s="11"/>
      <c r="N907" s="7" t="str">
        <f ca="1">_xlfn.IFNA(VLOOKUP("2"&amp;B907,CountSpecific!E:F,2,0),"")</f>
        <v/>
      </c>
      <c r="O907" s="14" t="str">
        <f ca="1">_xlfn.IFNA(VLOOKUP("3"&amp;B907,CountSpecific!E:F,2,0),"")</f>
        <v/>
      </c>
      <c r="P907" s="7" t="str">
        <f ca="1">_xlfn.IFNA(VLOOKUP("4"&amp;B907,CountSpecific!E:F,2,0),"")</f>
        <v/>
      </c>
    </row>
    <row r="908" spans="1:16" customFormat="1" x14ac:dyDescent="0.25">
      <c r="A908" s="7">
        <v>907</v>
      </c>
      <c r="B908" s="11" t="s">
        <v>922</v>
      </c>
      <c r="C908" s="7" t="s">
        <v>1039</v>
      </c>
      <c r="D908" s="7">
        <v>907</v>
      </c>
      <c r="E908" s="7">
        <v>907</v>
      </c>
      <c r="F908" s="7">
        <v>907</v>
      </c>
      <c r="G908" s="11" t="s">
        <v>1027</v>
      </c>
      <c r="H908" s="20">
        <v>36186</v>
      </c>
      <c r="I908" s="12">
        <v>45336</v>
      </c>
      <c r="J908" s="12">
        <v>46036</v>
      </c>
      <c r="K908" s="25">
        <v>30095</v>
      </c>
      <c r="L908" s="23">
        <v>6091</v>
      </c>
      <c r="M908" s="11"/>
      <c r="N908" s="7" t="str">
        <f ca="1">_xlfn.IFNA(VLOOKUP("2"&amp;B908,CountSpecific!E:F,2,0),"")</f>
        <v/>
      </c>
      <c r="O908" s="14" t="str">
        <f ca="1">_xlfn.IFNA(VLOOKUP("3"&amp;B908,CountSpecific!E:F,2,0),"")</f>
        <v/>
      </c>
      <c r="P908" s="7" t="str">
        <f ca="1">_xlfn.IFNA(VLOOKUP("4"&amp;B908,CountSpecific!E:F,2,0),"")</f>
        <v/>
      </c>
    </row>
    <row r="909" spans="1:16" customFormat="1" x14ac:dyDescent="0.25">
      <c r="A909" s="7">
        <v>908</v>
      </c>
      <c r="B909" s="11" t="s">
        <v>923</v>
      </c>
      <c r="C909" s="7" t="s">
        <v>1039</v>
      </c>
      <c r="D909" s="7">
        <v>908</v>
      </c>
      <c r="E909" s="7">
        <v>908</v>
      </c>
      <c r="F909" s="7">
        <v>908</v>
      </c>
      <c r="G909" s="11" t="s">
        <v>1021</v>
      </c>
      <c r="H909" s="20">
        <v>31963</v>
      </c>
      <c r="I909" s="12">
        <v>45362</v>
      </c>
      <c r="J909" s="12">
        <v>45607</v>
      </c>
      <c r="K909" s="25">
        <v>25697</v>
      </c>
      <c r="L909" s="23">
        <v>6266</v>
      </c>
      <c r="M909" s="11"/>
      <c r="N909" s="7" t="str">
        <f ca="1">_xlfn.IFNA(VLOOKUP("2"&amp;B909,CountSpecific!E:F,2,0),"")</f>
        <v/>
      </c>
      <c r="O909" s="14" t="str">
        <f ca="1">_xlfn.IFNA(VLOOKUP("3"&amp;B909,CountSpecific!E:F,2,0),"")</f>
        <v/>
      </c>
      <c r="P909" s="7" t="str">
        <f ca="1">_xlfn.IFNA(VLOOKUP("4"&amp;B909,CountSpecific!E:F,2,0),"")</f>
        <v/>
      </c>
    </row>
    <row r="910" spans="1:16" customFormat="1" x14ac:dyDescent="0.25">
      <c r="A910" s="7">
        <v>909</v>
      </c>
      <c r="B910" s="11" t="s">
        <v>924</v>
      </c>
      <c r="C910" s="7" t="s">
        <v>1039</v>
      </c>
      <c r="D910" s="7">
        <v>909</v>
      </c>
      <c r="E910" s="9">
        <v>909</v>
      </c>
      <c r="F910" s="7">
        <v>909</v>
      </c>
      <c r="G910" s="11" t="s">
        <v>1027</v>
      </c>
      <c r="H910" s="20">
        <v>24716</v>
      </c>
      <c r="I910" s="12">
        <v>43948</v>
      </c>
      <c r="J910" s="12">
        <v>44254</v>
      </c>
      <c r="K910" s="25">
        <v>3327</v>
      </c>
      <c r="L910" s="23">
        <v>21389</v>
      </c>
      <c r="M910" s="11"/>
      <c r="N910" s="7" t="str">
        <f ca="1">_xlfn.IFNA(VLOOKUP("2"&amp;B910,CountSpecific!E:F,2,0),"")</f>
        <v/>
      </c>
      <c r="O910" s="14" t="str">
        <f ca="1">_xlfn.IFNA(VLOOKUP("3"&amp;B910,CountSpecific!E:F,2,0),"")</f>
        <v/>
      </c>
      <c r="P910" s="7" t="str">
        <f ca="1">_xlfn.IFNA(VLOOKUP("4"&amp;B910,CountSpecific!E:F,2,0),"")</f>
        <v/>
      </c>
    </row>
    <row r="911" spans="1:16" customFormat="1" x14ac:dyDescent="0.25">
      <c r="A911" s="7">
        <v>910</v>
      </c>
      <c r="B911" s="11" t="s">
        <v>925</v>
      </c>
      <c r="C911" s="7" t="s">
        <v>1039</v>
      </c>
      <c r="D911" s="7">
        <v>910</v>
      </c>
      <c r="E911" s="7">
        <v>910</v>
      </c>
      <c r="F911" s="7">
        <v>910</v>
      </c>
      <c r="G911" s="11" t="s">
        <v>1027</v>
      </c>
      <c r="H911" s="20">
        <v>30115</v>
      </c>
      <c r="I911" s="12">
        <v>44228</v>
      </c>
      <c r="J911" s="12">
        <v>44501</v>
      </c>
      <c r="K911" s="25">
        <v>20468</v>
      </c>
      <c r="L911" s="23">
        <v>9647</v>
      </c>
      <c r="M911" s="11"/>
      <c r="N911" s="7" t="str">
        <f ca="1">_xlfn.IFNA(VLOOKUP("2"&amp;B911,CountSpecific!E:F,2,0),"")</f>
        <v/>
      </c>
      <c r="O911" s="14" t="str">
        <f ca="1">_xlfn.IFNA(VLOOKUP("3"&amp;B911,CountSpecific!E:F,2,0),"")</f>
        <v/>
      </c>
      <c r="P911" s="7" t="str">
        <f ca="1">_xlfn.IFNA(VLOOKUP("4"&amp;B911,CountSpecific!E:F,2,0),"")</f>
        <v/>
      </c>
    </row>
    <row r="912" spans="1:16" customFormat="1" x14ac:dyDescent="0.25">
      <c r="A912" s="7">
        <v>911</v>
      </c>
      <c r="B912" s="11" t="s">
        <v>926</v>
      </c>
      <c r="C912" s="7" t="s">
        <v>1039</v>
      </c>
      <c r="D912" s="7">
        <v>911</v>
      </c>
      <c r="E912" s="7">
        <v>911</v>
      </c>
      <c r="F912" s="7">
        <v>911</v>
      </c>
      <c r="G912" s="11" t="s">
        <v>1024</v>
      </c>
      <c r="H912" s="20">
        <v>505226</v>
      </c>
      <c r="I912" s="12">
        <v>44187</v>
      </c>
      <c r="J912" s="12">
        <v>44399</v>
      </c>
      <c r="K912" s="25">
        <v>125087</v>
      </c>
      <c r="L912" s="23">
        <v>380139</v>
      </c>
      <c r="M912" s="11"/>
      <c r="N912" s="7" t="str">
        <f ca="1">_xlfn.IFNA(VLOOKUP("2"&amp;B912,CountSpecific!E:F,2,0),"")</f>
        <v/>
      </c>
      <c r="O912" s="14" t="str">
        <f ca="1">_xlfn.IFNA(VLOOKUP("3"&amp;B912,CountSpecific!E:F,2,0),"")</f>
        <v/>
      </c>
      <c r="P912" s="7" t="str">
        <f ca="1">_xlfn.IFNA(VLOOKUP("4"&amp;B912,CountSpecific!E:F,2,0),"")</f>
        <v/>
      </c>
    </row>
    <row r="913" spans="1:16" customFormat="1" x14ac:dyDescent="0.25">
      <c r="A913" s="7">
        <v>912</v>
      </c>
      <c r="B913" s="11" t="s">
        <v>927</v>
      </c>
      <c r="C913" s="7" t="s">
        <v>1039</v>
      </c>
      <c r="D913" s="7">
        <v>912</v>
      </c>
      <c r="E913" s="9">
        <v>912</v>
      </c>
      <c r="F913" s="7">
        <v>912</v>
      </c>
      <c r="G913" s="11" t="s">
        <v>1024</v>
      </c>
      <c r="H913" s="20">
        <v>635477</v>
      </c>
      <c r="I913" s="12">
        <v>44821</v>
      </c>
      <c r="J913" s="12">
        <v>45124</v>
      </c>
      <c r="K913" s="25">
        <v>628440</v>
      </c>
      <c r="L913" s="23">
        <v>7037</v>
      </c>
      <c r="M913" s="11"/>
      <c r="N913" s="7" t="str">
        <f ca="1">_xlfn.IFNA(VLOOKUP("2"&amp;B913,CountSpecific!E:F,2,0),"")</f>
        <v/>
      </c>
      <c r="O913" s="14" t="str">
        <f ca="1">_xlfn.IFNA(VLOOKUP("3"&amp;B913,CountSpecific!E:F,2,0),"")</f>
        <v/>
      </c>
      <c r="P913" s="7" t="str">
        <f ca="1">_xlfn.IFNA(VLOOKUP("4"&amp;B913,CountSpecific!E:F,2,0),"")</f>
        <v/>
      </c>
    </row>
    <row r="914" spans="1:16" customFormat="1" x14ac:dyDescent="0.25">
      <c r="A914" s="7">
        <v>913</v>
      </c>
      <c r="B914" s="11" t="s">
        <v>928</v>
      </c>
      <c r="C914" s="7" t="s">
        <v>1039</v>
      </c>
      <c r="D914" s="7">
        <v>913</v>
      </c>
      <c r="E914" s="7">
        <v>913</v>
      </c>
      <c r="F914" s="7">
        <v>913</v>
      </c>
      <c r="G914" s="11" t="s">
        <v>1016</v>
      </c>
      <c r="H914" s="20">
        <v>19239</v>
      </c>
      <c r="I914" s="12">
        <v>45177</v>
      </c>
      <c r="J914" s="12">
        <v>45724</v>
      </c>
      <c r="K914" s="25">
        <v>15236</v>
      </c>
      <c r="L914" s="23">
        <v>4003</v>
      </c>
      <c r="M914" s="11"/>
      <c r="N914" s="7" t="str">
        <f ca="1">_xlfn.IFNA(VLOOKUP("2"&amp;B914,CountSpecific!E:F,2,0),"")</f>
        <v/>
      </c>
      <c r="O914" s="14" t="str">
        <f ca="1">_xlfn.IFNA(VLOOKUP("3"&amp;B914,CountSpecific!E:F,2,0),"")</f>
        <v/>
      </c>
      <c r="P914" s="7" t="str">
        <f ca="1">_xlfn.IFNA(VLOOKUP("4"&amp;B914,CountSpecific!E:F,2,0),"")</f>
        <v/>
      </c>
    </row>
    <row r="915" spans="1:16" customFormat="1" x14ac:dyDescent="0.25">
      <c r="A915" s="7">
        <v>914</v>
      </c>
      <c r="B915" s="11" t="s">
        <v>929</v>
      </c>
      <c r="C915" s="7" t="s">
        <v>1039</v>
      </c>
      <c r="D915" s="7">
        <v>914</v>
      </c>
      <c r="E915" s="7">
        <v>914</v>
      </c>
      <c r="F915" s="7">
        <v>914</v>
      </c>
      <c r="G915" s="11" t="s">
        <v>1020</v>
      </c>
      <c r="H915" s="20">
        <v>144253</v>
      </c>
      <c r="I915" s="12">
        <v>44373</v>
      </c>
      <c r="J915" s="12">
        <v>44587</v>
      </c>
      <c r="K915" s="25">
        <v>137298</v>
      </c>
      <c r="L915" s="23">
        <v>6955</v>
      </c>
      <c r="M915" s="11"/>
      <c r="N915" s="7" t="str">
        <f ca="1">_xlfn.IFNA(VLOOKUP("2"&amp;B915,CountSpecific!E:F,2,0),"")</f>
        <v/>
      </c>
      <c r="O915" s="14" t="str">
        <f ca="1">_xlfn.IFNA(VLOOKUP("3"&amp;B915,CountSpecific!E:F,2,0),"")</f>
        <v/>
      </c>
      <c r="P915" s="7" t="str">
        <f ca="1">_xlfn.IFNA(VLOOKUP("4"&amp;B915,CountSpecific!E:F,2,0),"")</f>
        <v/>
      </c>
    </row>
    <row r="916" spans="1:16" customFormat="1" x14ac:dyDescent="0.25">
      <c r="A916" s="7">
        <v>915</v>
      </c>
      <c r="B916" s="11" t="s">
        <v>930</v>
      </c>
      <c r="C916" s="7" t="s">
        <v>1039</v>
      </c>
      <c r="D916" s="7">
        <v>915</v>
      </c>
      <c r="E916" s="9">
        <v>915</v>
      </c>
      <c r="F916" s="7">
        <v>915</v>
      </c>
      <c r="G916" s="11" t="s">
        <v>1020</v>
      </c>
      <c r="H916" s="20">
        <v>294247</v>
      </c>
      <c r="I916" s="12">
        <v>44197</v>
      </c>
      <c r="J916" s="12">
        <v>44621</v>
      </c>
      <c r="K916" s="25">
        <v>8793</v>
      </c>
      <c r="L916" s="23">
        <v>285454</v>
      </c>
      <c r="M916" s="11"/>
      <c r="N916" s="7" t="str">
        <f ca="1">_xlfn.IFNA(VLOOKUP("2"&amp;B916,CountSpecific!E:F,2,0),"")</f>
        <v/>
      </c>
      <c r="O916" s="14" t="str">
        <f ca="1">_xlfn.IFNA(VLOOKUP("3"&amp;B916,CountSpecific!E:F,2,0),"")</f>
        <v/>
      </c>
      <c r="P916" s="7" t="str">
        <f ca="1">_xlfn.IFNA(VLOOKUP("4"&amp;B916,CountSpecific!E:F,2,0),"")</f>
        <v/>
      </c>
    </row>
    <row r="917" spans="1:16" customFormat="1" x14ac:dyDescent="0.25">
      <c r="A917" s="7">
        <v>916</v>
      </c>
      <c r="B917" s="11" t="s">
        <v>931</v>
      </c>
      <c r="C917" s="7" t="s">
        <v>1039</v>
      </c>
      <c r="D917" s="7">
        <v>916</v>
      </c>
      <c r="E917" s="7">
        <v>916</v>
      </c>
      <c r="F917" s="7">
        <v>916</v>
      </c>
      <c r="G917" s="11" t="s">
        <v>1021</v>
      </c>
      <c r="H917" s="20">
        <v>69412</v>
      </c>
      <c r="I917" s="12">
        <v>44454</v>
      </c>
      <c r="J917" s="12">
        <v>44757</v>
      </c>
      <c r="K917" s="25">
        <v>31483</v>
      </c>
      <c r="L917" s="23">
        <v>37929</v>
      </c>
      <c r="M917" s="11"/>
      <c r="N917" s="7" t="str">
        <f ca="1">_xlfn.IFNA(VLOOKUP("2"&amp;B917,CountSpecific!E:F,2,0),"")</f>
        <v/>
      </c>
      <c r="O917" s="14" t="str">
        <f ca="1">_xlfn.IFNA(VLOOKUP("3"&amp;B917,CountSpecific!E:F,2,0),"")</f>
        <v/>
      </c>
      <c r="P917" s="7" t="str">
        <f ca="1">_xlfn.IFNA(VLOOKUP("4"&amp;B917,CountSpecific!E:F,2,0),"")</f>
        <v/>
      </c>
    </row>
    <row r="918" spans="1:16" customFormat="1" x14ac:dyDescent="0.25">
      <c r="A918" s="7">
        <v>917</v>
      </c>
      <c r="B918" s="11" t="s">
        <v>932</v>
      </c>
      <c r="C918" s="7" t="s">
        <v>1039</v>
      </c>
      <c r="D918" s="7">
        <v>917</v>
      </c>
      <c r="E918" s="7">
        <v>917</v>
      </c>
      <c r="F918" s="7">
        <v>917</v>
      </c>
      <c r="G918" s="11" t="s">
        <v>1023</v>
      </c>
      <c r="H918" s="20">
        <v>1225</v>
      </c>
      <c r="I918" s="12">
        <v>44079</v>
      </c>
      <c r="J918" s="12">
        <v>44140</v>
      </c>
      <c r="K918" s="25">
        <v>918</v>
      </c>
      <c r="L918" s="23">
        <v>307</v>
      </c>
      <c r="M918" s="11"/>
      <c r="N918" s="7" t="str">
        <f ca="1">_xlfn.IFNA(VLOOKUP("2"&amp;B918,CountSpecific!E:F,2,0),"")</f>
        <v/>
      </c>
      <c r="O918" s="14" t="str">
        <f ca="1">_xlfn.IFNA(VLOOKUP("3"&amp;B918,CountSpecific!E:F,2,0),"")</f>
        <v/>
      </c>
      <c r="P918" s="7" t="str">
        <f ca="1">_xlfn.IFNA(VLOOKUP("4"&amp;B918,CountSpecific!E:F,2,0),"")</f>
        <v/>
      </c>
    </row>
    <row r="919" spans="1:16" customFormat="1" x14ac:dyDescent="0.25">
      <c r="A919" s="7">
        <v>918</v>
      </c>
      <c r="B919" s="11" t="s">
        <v>933</v>
      </c>
      <c r="C919" s="7" t="s">
        <v>1039</v>
      </c>
      <c r="D919" s="7">
        <v>918</v>
      </c>
      <c r="E919" s="9">
        <v>918</v>
      </c>
      <c r="F919" s="7">
        <v>918</v>
      </c>
      <c r="G919" s="11" t="s">
        <v>1024</v>
      </c>
      <c r="H919" s="20">
        <v>553092</v>
      </c>
      <c r="I919" s="12">
        <v>45196</v>
      </c>
      <c r="J919" s="12">
        <v>45774</v>
      </c>
      <c r="K919" s="25">
        <v>289003</v>
      </c>
      <c r="L919" s="23">
        <v>264089</v>
      </c>
      <c r="M919" s="11"/>
      <c r="N919" s="7" t="str">
        <f ca="1">_xlfn.IFNA(VLOOKUP("2"&amp;B919,CountSpecific!E:F,2,0),"")</f>
        <v/>
      </c>
      <c r="O919" s="14" t="str">
        <f ca="1">_xlfn.IFNA(VLOOKUP("3"&amp;B919,CountSpecific!E:F,2,0),"")</f>
        <v/>
      </c>
      <c r="P919" s="7" t="str">
        <f ca="1">_xlfn.IFNA(VLOOKUP("4"&amp;B919,CountSpecific!E:F,2,0),"")</f>
        <v/>
      </c>
    </row>
    <row r="920" spans="1:16" customFormat="1" x14ac:dyDescent="0.25">
      <c r="A920" s="7">
        <v>919</v>
      </c>
      <c r="B920" s="11" t="s">
        <v>934</v>
      </c>
      <c r="C920" s="7" t="s">
        <v>1039</v>
      </c>
      <c r="D920" s="7">
        <v>919</v>
      </c>
      <c r="E920" s="7">
        <v>919</v>
      </c>
      <c r="F920" s="7">
        <v>919</v>
      </c>
      <c r="G920" s="11" t="s">
        <v>1022</v>
      </c>
      <c r="H920" s="20">
        <v>33302</v>
      </c>
      <c r="I920" s="12">
        <v>45435</v>
      </c>
      <c r="J920" s="12">
        <v>45466</v>
      </c>
      <c r="K920" s="25">
        <v>7814</v>
      </c>
      <c r="L920" s="23">
        <v>25488</v>
      </c>
      <c r="M920" s="11"/>
      <c r="N920" s="7" t="str">
        <f ca="1">_xlfn.IFNA(VLOOKUP("2"&amp;B920,CountSpecific!E:F,2,0),"")</f>
        <v/>
      </c>
      <c r="O920" s="14" t="str">
        <f ca="1">_xlfn.IFNA(VLOOKUP("3"&amp;B920,CountSpecific!E:F,2,0),"")</f>
        <v/>
      </c>
      <c r="P920" s="7" t="str">
        <f ca="1">_xlfn.IFNA(VLOOKUP("4"&amp;B920,CountSpecific!E:F,2,0),"")</f>
        <v/>
      </c>
    </row>
    <row r="921" spans="1:16" customFormat="1" x14ac:dyDescent="0.25">
      <c r="A921" s="7">
        <v>920</v>
      </c>
      <c r="B921" s="11" t="s">
        <v>935</v>
      </c>
      <c r="C921" s="7" t="s">
        <v>1039</v>
      </c>
      <c r="D921" s="7">
        <v>920</v>
      </c>
      <c r="E921" s="7">
        <v>920</v>
      </c>
      <c r="F921" s="7">
        <v>920</v>
      </c>
      <c r="G921" s="11" t="s">
        <v>1026</v>
      </c>
      <c r="H921" s="20">
        <v>4158723</v>
      </c>
      <c r="I921" s="12">
        <v>44024</v>
      </c>
      <c r="J921" s="12">
        <v>44420</v>
      </c>
      <c r="K921" s="25">
        <v>3072922</v>
      </c>
      <c r="L921" s="23">
        <v>1085801</v>
      </c>
      <c r="M921" s="11"/>
      <c r="N921" s="7" t="str">
        <f ca="1">_xlfn.IFNA(VLOOKUP("2"&amp;B921,CountSpecific!E:F,2,0),"")</f>
        <v/>
      </c>
      <c r="O921" s="14" t="str">
        <f ca="1">_xlfn.IFNA(VLOOKUP("3"&amp;B921,CountSpecific!E:F,2,0),"")</f>
        <v/>
      </c>
      <c r="P921" s="7" t="str">
        <f ca="1">_xlfn.IFNA(VLOOKUP("4"&amp;B921,CountSpecific!E:F,2,0),"")</f>
        <v/>
      </c>
    </row>
    <row r="922" spans="1:16" customFormat="1" x14ac:dyDescent="0.25">
      <c r="A922" s="7">
        <v>921</v>
      </c>
      <c r="B922" s="11" t="s">
        <v>936</v>
      </c>
      <c r="C922" s="7" t="s">
        <v>1039</v>
      </c>
      <c r="D922" s="7">
        <v>921</v>
      </c>
      <c r="E922" s="9">
        <v>921</v>
      </c>
      <c r="F922" s="7">
        <v>921</v>
      </c>
      <c r="G922" s="11" t="s">
        <v>1026</v>
      </c>
      <c r="H922" s="20">
        <v>1683656</v>
      </c>
      <c r="I922" s="12">
        <v>45200</v>
      </c>
      <c r="J922" s="12">
        <v>45352</v>
      </c>
      <c r="K922" s="25">
        <v>343571</v>
      </c>
      <c r="L922" s="23">
        <v>1340085</v>
      </c>
      <c r="M922" s="11"/>
      <c r="N922" s="7" t="str">
        <f ca="1">_xlfn.IFNA(VLOOKUP("2"&amp;B922,CountSpecific!E:F,2,0),"")</f>
        <v/>
      </c>
      <c r="O922" s="14" t="str">
        <f ca="1">_xlfn.IFNA(VLOOKUP("3"&amp;B922,CountSpecific!E:F,2,0),"")</f>
        <v/>
      </c>
      <c r="P922" s="7" t="str">
        <f ca="1">_xlfn.IFNA(VLOOKUP("4"&amp;B922,CountSpecific!E:F,2,0),"")</f>
        <v/>
      </c>
    </row>
    <row r="923" spans="1:16" customFormat="1" x14ac:dyDescent="0.25">
      <c r="A923" s="7">
        <v>922</v>
      </c>
      <c r="B923" s="11" t="s">
        <v>937</v>
      </c>
      <c r="C923" s="7" t="s">
        <v>1039</v>
      </c>
      <c r="D923" s="7">
        <v>922</v>
      </c>
      <c r="E923" s="7">
        <v>922</v>
      </c>
      <c r="F923" s="7">
        <v>922</v>
      </c>
      <c r="G923" s="11" t="s">
        <v>1027</v>
      </c>
      <c r="H923" s="20">
        <v>49385</v>
      </c>
      <c r="I923" s="12">
        <v>44125</v>
      </c>
      <c r="J923" s="12">
        <v>44551</v>
      </c>
      <c r="K923" s="25">
        <v>32161</v>
      </c>
      <c r="L923" s="23">
        <v>17224</v>
      </c>
      <c r="M923" s="11"/>
      <c r="N923" s="7" t="str">
        <f ca="1">_xlfn.IFNA(VLOOKUP("2"&amp;B923,CountSpecific!E:F,2,0),"")</f>
        <v/>
      </c>
      <c r="O923" s="14" t="str">
        <f ca="1">_xlfn.IFNA(VLOOKUP("3"&amp;B923,CountSpecific!E:F,2,0),"")</f>
        <v/>
      </c>
      <c r="P923" s="7" t="str">
        <f ca="1">_xlfn.IFNA(VLOOKUP("4"&amp;B923,CountSpecific!E:F,2,0),"")</f>
        <v/>
      </c>
    </row>
    <row r="924" spans="1:16" customFormat="1" x14ac:dyDescent="0.25">
      <c r="A924" s="7">
        <v>923</v>
      </c>
      <c r="B924" s="11" t="s">
        <v>938</v>
      </c>
      <c r="C924" s="7" t="s">
        <v>1039</v>
      </c>
      <c r="D924" s="7">
        <v>923</v>
      </c>
      <c r="E924" s="7">
        <v>923</v>
      </c>
      <c r="F924" s="7">
        <v>923</v>
      </c>
      <c r="G924" s="11" t="s">
        <v>1020</v>
      </c>
      <c r="H924" s="20">
        <v>119262</v>
      </c>
      <c r="I924" s="12">
        <v>44106</v>
      </c>
      <c r="J924" s="12">
        <v>44410</v>
      </c>
      <c r="K924" s="25">
        <v>34365</v>
      </c>
      <c r="L924" s="23">
        <v>84897</v>
      </c>
      <c r="M924" s="11"/>
      <c r="N924" s="7" t="str">
        <f ca="1">_xlfn.IFNA(VLOOKUP("2"&amp;B924,CountSpecific!E:F,2,0),"")</f>
        <v/>
      </c>
      <c r="O924" s="14" t="str">
        <f ca="1">_xlfn.IFNA(VLOOKUP("3"&amp;B924,CountSpecific!E:F,2,0),"")</f>
        <v/>
      </c>
      <c r="P924" s="7" t="str">
        <f ca="1">_xlfn.IFNA(VLOOKUP("4"&amp;B924,CountSpecific!E:F,2,0),"")</f>
        <v/>
      </c>
    </row>
    <row r="925" spans="1:16" customFormat="1" x14ac:dyDescent="0.25">
      <c r="A925" s="7">
        <v>924</v>
      </c>
      <c r="B925" s="11" t="s">
        <v>939</v>
      </c>
      <c r="C925" s="7" t="s">
        <v>1039</v>
      </c>
      <c r="D925" s="7">
        <v>924</v>
      </c>
      <c r="E925" s="9">
        <v>924</v>
      </c>
      <c r="F925" s="7">
        <v>924</v>
      </c>
      <c r="G925" s="11" t="s">
        <v>1023</v>
      </c>
      <c r="H925" s="20">
        <v>1145</v>
      </c>
      <c r="I925" s="12">
        <v>44378</v>
      </c>
      <c r="J925" s="12">
        <v>44927</v>
      </c>
      <c r="K925" s="25">
        <v>757</v>
      </c>
      <c r="L925" s="23">
        <v>388</v>
      </c>
      <c r="M925" s="11"/>
      <c r="N925" s="7" t="str">
        <f ca="1">_xlfn.IFNA(VLOOKUP("2"&amp;B925,CountSpecific!E:F,2,0),"")</f>
        <v/>
      </c>
      <c r="O925" s="14" t="str">
        <f ca="1">_xlfn.IFNA(VLOOKUP("3"&amp;B925,CountSpecific!E:F,2,0),"")</f>
        <v/>
      </c>
      <c r="P925" s="7" t="str">
        <f ca="1">_xlfn.IFNA(VLOOKUP("4"&amp;B925,CountSpecific!E:F,2,0),"")</f>
        <v/>
      </c>
    </row>
    <row r="926" spans="1:16" customFormat="1" x14ac:dyDescent="0.25">
      <c r="A926" s="7">
        <v>925</v>
      </c>
      <c r="B926" s="11" t="s">
        <v>940</v>
      </c>
      <c r="C926" s="7" t="s">
        <v>1039</v>
      </c>
      <c r="D926" s="7">
        <v>925</v>
      </c>
      <c r="E926" s="7">
        <v>925</v>
      </c>
      <c r="F926" s="7">
        <v>925</v>
      </c>
      <c r="G926" s="11" t="s">
        <v>1027</v>
      </c>
      <c r="H926" s="20">
        <v>21486</v>
      </c>
      <c r="I926" s="12">
        <v>45336</v>
      </c>
      <c r="J926" s="12">
        <v>45730</v>
      </c>
      <c r="K926" s="25">
        <v>13740</v>
      </c>
      <c r="L926" s="23">
        <v>7746</v>
      </c>
      <c r="M926" s="11"/>
      <c r="N926" s="7" t="str">
        <f ca="1">_xlfn.IFNA(VLOOKUP("2"&amp;B926,CountSpecific!E:F,2,0),"")</f>
        <v/>
      </c>
      <c r="O926" s="14" t="str">
        <f ca="1">_xlfn.IFNA(VLOOKUP("3"&amp;B926,CountSpecific!E:F,2,0),"")</f>
        <v/>
      </c>
      <c r="P926" s="7" t="str">
        <f ca="1">_xlfn.IFNA(VLOOKUP("4"&amp;B926,CountSpecific!E:F,2,0),"")</f>
        <v/>
      </c>
    </row>
    <row r="927" spans="1:16" customFormat="1" x14ac:dyDescent="0.25">
      <c r="A927" s="7">
        <v>926</v>
      </c>
      <c r="B927" s="11" t="s">
        <v>941</v>
      </c>
      <c r="C927" s="7" t="s">
        <v>1039</v>
      </c>
      <c r="D927" s="7">
        <v>926</v>
      </c>
      <c r="E927" s="7">
        <v>926</v>
      </c>
      <c r="F927" s="7">
        <v>926</v>
      </c>
      <c r="G927" s="11" t="s">
        <v>1020</v>
      </c>
      <c r="H927" s="20">
        <v>499901</v>
      </c>
      <c r="I927" s="12">
        <v>44783</v>
      </c>
      <c r="J927" s="12">
        <v>44936</v>
      </c>
      <c r="K927" s="25">
        <v>496540</v>
      </c>
      <c r="L927" s="23">
        <v>3361</v>
      </c>
      <c r="M927" s="11"/>
      <c r="N927" s="7" t="str">
        <f ca="1">_xlfn.IFNA(VLOOKUP("2"&amp;B927,CountSpecific!E:F,2,0),"")</f>
        <v/>
      </c>
      <c r="O927" s="14" t="str">
        <f ca="1">_xlfn.IFNA(VLOOKUP("3"&amp;B927,CountSpecific!E:F,2,0),"")</f>
        <v/>
      </c>
      <c r="P927" s="7" t="str">
        <f ca="1">_xlfn.IFNA(VLOOKUP("4"&amp;B927,CountSpecific!E:F,2,0),"")</f>
        <v/>
      </c>
    </row>
    <row r="928" spans="1:16" customFormat="1" x14ac:dyDescent="0.25">
      <c r="A928" s="7">
        <v>927</v>
      </c>
      <c r="B928" s="11" t="s">
        <v>942</v>
      </c>
      <c r="C928" s="7" t="s">
        <v>1039</v>
      </c>
      <c r="D928" s="7">
        <v>927</v>
      </c>
      <c r="E928" s="9">
        <v>927</v>
      </c>
      <c r="F928" s="7">
        <v>927</v>
      </c>
      <c r="G928" s="11" t="s">
        <v>1025</v>
      </c>
      <c r="H928" s="20">
        <v>401947</v>
      </c>
      <c r="I928" s="12">
        <v>45651</v>
      </c>
      <c r="J928" s="12">
        <v>46259</v>
      </c>
      <c r="K928" s="25">
        <v>212732</v>
      </c>
      <c r="L928" s="23">
        <v>189215</v>
      </c>
      <c r="M928" s="11"/>
      <c r="N928" s="7" t="str">
        <f ca="1">_xlfn.IFNA(VLOOKUP("2"&amp;B928,CountSpecific!E:F,2,0),"")</f>
        <v/>
      </c>
      <c r="O928" s="14" t="str">
        <f ca="1">_xlfn.IFNA(VLOOKUP("3"&amp;B928,CountSpecific!E:F,2,0),"")</f>
        <v/>
      </c>
      <c r="P928" s="7" t="str">
        <f ca="1">_xlfn.IFNA(VLOOKUP("4"&amp;B928,CountSpecific!E:F,2,0),"")</f>
        <v/>
      </c>
    </row>
    <row r="929" spans="1:16" customFormat="1" x14ac:dyDescent="0.25">
      <c r="A929" s="7">
        <v>928</v>
      </c>
      <c r="B929" s="11" t="s">
        <v>943</v>
      </c>
      <c r="C929" s="7" t="s">
        <v>1039</v>
      </c>
      <c r="D929" s="7">
        <v>928</v>
      </c>
      <c r="E929" s="7">
        <v>928</v>
      </c>
      <c r="F929" s="7">
        <v>928</v>
      </c>
      <c r="G929" s="11" t="s">
        <v>1023</v>
      </c>
      <c r="H929" s="20">
        <v>505</v>
      </c>
      <c r="I929" s="12">
        <v>45631</v>
      </c>
      <c r="J929" s="12">
        <v>45843</v>
      </c>
      <c r="K929" s="25">
        <v>360</v>
      </c>
      <c r="L929" s="23">
        <v>145</v>
      </c>
      <c r="M929" s="11"/>
      <c r="N929" s="7" t="str">
        <f ca="1">_xlfn.IFNA(VLOOKUP("2"&amp;B929,CountSpecific!E:F,2,0),"")</f>
        <v/>
      </c>
      <c r="O929" s="14" t="str">
        <f ca="1">_xlfn.IFNA(VLOOKUP("3"&amp;B929,CountSpecific!E:F,2,0),"")</f>
        <v/>
      </c>
      <c r="P929" s="7" t="str">
        <f ca="1">_xlfn.IFNA(VLOOKUP("4"&amp;B929,CountSpecific!E:F,2,0),"")</f>
        <v/>
      </c>
    </row>
    <row r="930" spans="1:16" customFormat="1" x14ac:dyDescent="0.25">
      <c r="A930" s="7">
        <v>929</v>
      </c>
      <c r="B930" s="11" t="s">
        <v>944</v>
      </c>
      <c r="C930" s="7" t="s">
        <v>1039</v>
      </c>
      <c r="D930" s="7">
        <v>929</v>
      </c>
      <c r="E930" s="7">
        <v>929</v>
      </c>
      <c r="F930" s="7">
        <v>929</v>
      </c>
      <c r="G930" s="11" t="s">
        <v>1023</v>
      </c>
      <c r="H930" s="20">
        <v>380</v>
      </c>
      <c r="I930" s="12">
        <v>44041</v>
      </c>
      <c r="J930" s="12">
        <v>44406</v>
      </c>
      <c r="K930" s="25">
        <v>11</v>
      </c>
      <c r="L930" s="23">
        <v>369</v>
      </c>
      <c r="M930" s="11"/>
      <c r="N930" s="7" t="str">
        <f ca="1">_xlfn.IFNA(VLOOKUP("2"&amp;B930,CountSpecific!E:F,2,0),"")</f>
        <v/>
      </c>
      <c r="O930" s="14" t="str">
        <f ca="1">_xlfn.IFNA(VLOOKUP("3"&amp;B930,CountSpecific!E:F,2,0),"")</f>
        <v/>
      </c>
      <c r="P930" s="7" t="str">
        <f ca="1">_xlfn.IFNA(VLOOKUP("4"&amp;B930,CountSpecific!E:F,2,0),"")</f>
        <v/>
      </c>
    </row>
    <row r="931" spans="1:16" customFormat="1" x14ac:dyDescent="0.25">
      <c r="A931" s="7">
        <v>930</v>
      </c>
      <c r="B931" s="11" t="s">
        <v>945</v>
      </c>
      <c r="C931" s="7" t="s">
        <v>1039</v>
      </c>
      <c r="D931" s="7">
        <v>930</v>
      </c>
      <c r="E931" s="9">
        <v>930</v>
      </c>
      <c r="F931" s="7">
        <v>930</v>
      </c>
      <c r="G931" s="11" t="s">
        <v>1023</v>
      </c>
      <c r="H931" s="20">
        <v>435</v>
      </c>
      <c r="I931" s="12">
        <v>43972</v>
      </c>
      <c r="J931" s="12">
        <v>44003</v>
      </c>
      <c r="K931" s="25">
        <v>83</v>
      </c>
      <c r="L931" s="23">
        <v>352</v>
      </c>
      <c r="M931" s="11"/>
      <c r="N931" s="7" t="str">
        <f ca="1">_xlfn.IFNA(VLOOKUP("2"&amp;B931,CountSpecific!E:F,2,0),"")</f>
        <v/>
      </c>
      <c r="O931" s="14" t="str">
        <f ca="1">_xlfn.IFNA(VLOOKUP("3"&amp;B931,CountSpecific!E:F,2,0),"")</f>
        <v/>
      </c>
      <c r="P931" s="7" t="str">
        <f ca="1">_xlfn.IFNA(VLOOKUP("4"&amp;B931,CountSpecific!E:F,2,0),"")</f>
        <v/>
      </c>
    </row>
    <row r="932" spans="1:16" customFormat="1" x14ac:dyDescent="0.25">
      <c r="A932" s="7">
        <v>931</v>
      </c>
      <c r="B932" s="11" t="s">
        <v>946</v>
      </c>
      <c r="C932" s="7" t="s">
        <v>1039</v>
      </c>
      <c r="D932" s="7">
        <v>931</v>
      </c>
      <c r="E932" s="7">
        <v>931</v>
      </c>
      <c r="F932" s="7">
        <v>931</v>
      </c>
      <c r="G932" s="11" t="s">
        <v>1021</v>
      </c>
      <c r="H932" s="20">
        <v>90739</v>
      </c>
      <c r="I932" s="12">
        <v>44958</v>
      </c>
      <c r="J932" s="12">
        <v>45170</v>
      </c>
      <c r="K932" s="25">
        <v>47906</v>
      </c>
      <c r="L932" s="23">
        <v>42833</v>
      </c>
      <c r="M932" s="11"/>
      <c r="N932" s="7" t="str">
        <f ca="1">_xlfn.IFNA(VLOOKUP("2"&amp;B932,CountSpecific!E:F,2,0),"")</f>
        <v/>
      </c>
      <c r="O932" s="14" t="str">
        <f ca="1">_xlfn.IFNA(VLOOKUP("3"&amp;B932,CountSpecific!E:F,2,0),"")</f>
        <v/>
      </c>
      <c r="P932" s="7" t="str">
        <f ca="1">_xlfn.IFNA(VLOOKUP("4"&amp;B932,CountSpecific!E:F,2,0),"")</f>
        <v/>
      </c>
    </row>
    <row r="933" spans="1:16" customFormat="1" x14ac:dyDescent="0.25">
      <c r="A933" s="7">
        <v>932</v>
      </c>
      <c r="B933" s="11" t="s">
        <v>947</v>
      </c>
      <c r="C933" s="7" t="s">
        <v>1039</v>
      </c>
      <c r="D933" s="7">
        <v>932</v>
      </c>
      <c r="E933" s="7">
        <v>932</v>
      </c>
      <c r="F933" s="7">
        <v>932</v>
      </c>
      <c r="G933" s="11" t="s">
        <v>1016</v>
      </c>
      <c r="H933" s="20">
        <v>38999</v>
      </c>
      <c r="I933" s="12">
        <v>44638</v>
      </c>
      <c r="J933" s="12">
        <v>44791</v>
      </c>
      <c r="K933" s="25">
        <v>20123</v>
      </c>
      <c r="L933" s="23">
        <v>18876</v>
      </c>
      <c r="M933" s="11"/>
      <c r="N933" s="7" t="str">
        <f ca="1">_xlfn.IFNA(VLOOKUP("2"&amp;B933,CountSpecific!E:F,2,0),"")</f>
        <v/>
      </c>
      <c r="O933" s="14" t="str">
        <f ca="1">_xlfn.IFNA(VLOOKUP("3"&amp;B933,CountSpecific!E:F,2,0),"")</f>
        <v/>
      </c>
      <c r="P933" s="7" t="str">
        <f ca="1">_xlfn.IFNA(VLOOKUP("4"&amp;B933,CountSpecific!E:F,2,0),"")</f>
        <v/>
      </c>
    </row>
    <row r="934" spans="1:16" customFormat="1" x14ac:dyDescent="0.25">
      <c r="A934" s="7">
        <v>933</v>
      </c>
      <c r="B934" s="11" t="s">
        <v>948</v>
      </c>
      <c r="C934" s="7" t="s">
        <v>1039</v>
      </c>
      <c r="D934" s="7">
        <v>933</v>
      </c>
      <c r="E934" s="9">
        <v>933</v>
      </c>
      <c r="F934" s="7">
        <v>933</v>
      </c>
      <c r="G934" s="11" t="s">
        <v>1020</v>
      </c>
      <c r="H934" s="20">
        <v>130678</v>
      </c>
      <c r="I934" s="12">
        <v>44982</v>
      </c>
      <c r="J934" s="12">
        <v>45132</v>
      </c>
      <c r="K934" s="25">
        <v>67506</v>
      </c>
      <c r="L934" s="23">
        <v>63172</v>
      </c>
      <c r="M934" s="11"/>
      <c r="N934" s="7" t="str">
        <f ca="1">_xlfn.IFNA(VLOOKUP("2"&amp;B934,CountSpecific!E:F,2,0),"")</f>
        <v/>
      </c>
      <c r="O934" s="14" t="str">
        <f ca="1">_xlfn.IFNA(VLOOKUP("3"&amp;B934,CountSpecific!E:F,2,0),"")</f>
        <v/>
      </c>
      <c r="P934" s="7" t="str">
        <f ca="1">_xlfn.IFNA(VLOOKUP("4"&amp;B934,CountSpecific!E:F,2,0),"")</f>
        <v/>
      </c>
    </row>
    <row r="935" spans="1:16" customFormat="1" x14ac:dyDescent="0.25">
      <c r="A935" s="7">
        <v>934</v>
      </c>
      <c r="B935" s="11" t="s">
        <v>949</v>
      </c>
      <c r="C935" s="7" t="s">
        <v>1039</v>
      </c>
      <c r="D935" s="7">
        <v>934</v>
      </c>
      <c r="E935" s="7">
        <v>934</v>
      </c>
      <c r="F935" s="7">
        <v>934</v>
      </c>
      <c r="G935" s="11" t="s">
        <v>1020</v>
      </c>
      <c r="H935" s="20">
        <v>479041</v>
      </c>
      <c r="I935" s="12">
        <v>45030</v>
      </c>
      <c r="J935" s="12">
        <v>45091</v>
      </c>
      <c r="K935" s="25">
        <v>414999</v>
      </c>
      <c r="L935" s="23">
        <v>64042</v>
      </c>
      <c r="M935" s="11"/>
      <c r="N935" s="7" t="str">
        <f ca="1">_xlfn.IFNA(VLOOKUP("2"&amp;B935,CountSpecific!E:F,2,0),"")</f>
        <v/>
      </c>
      <c r="O935" s="14" t="str">
        <f ca="1">_xlfn.IFNA(VLOOKUP("3"&amp;B935,CountSpecific!E:F,2,0),"")</f>
        <v/>
      </c>
      <c r="P935" s="7" t="str">
        <f ca="1">_xlfn.IFNA(VLOOKUP("4"&amp;B935,CountSpecific!E:F,2,0),"")</f>
        <v/>
      </c>
    </row>
    <row r="936" spans="1:16" customFormat="1" x14ac:dyDescent="0.25">
      <c r="A936" s="7">
        <v>935</v>
      </c>
      <c r="B936" s="11" t="s">
        <v>950</v>
      </c>
      <c r="C936" s="7" t="s">
        <v>1039</v>
      </c>
      <c r="D936" s="7">
        <v>935</v>
      </c>
      <c r="E936" s="7">
        <v>935</v>
      </c>
      <c r="F936" s="7">
        <v>935</v>
      </c>
      <c r="G936" s="11" t="s">
        <v>1027</v>
      </c>
      <c r="H936" s="20">
        <v>48991</v>
      </c>
      <c r="I936" s="12">
        <v>44785</v>
      </c>
      <c r="J936" s="12">
        <v>45058</v>
      </c>
      <c r="K936" s="25">
        <v>6418</v>
      </c>
      <c r="L936" s="23">
        <v>42573</v>
      </c>
      <c r="M936" s="11"/>
      <c r="N936" s="7" t="str">
        <f ca="1">_xlfn.IFNA(VLOOKUP("2"&amp;B936,CountSpecific!E:F,2,0),"")</f>
        <v/>
      </c>
      <c r="O936" s="14" t="str">
        <f ca="1">_xlfn.IFNA(VLOOKUP("3"&amp;B936,CountSpecific!E:F,2,0),"")</f>
        <v/>
      </c>
      <c r="P936" s="7" t="str">
        <f ca="1">_xlfn.IFNA(VLOOKUP("4"&amp;B936,CountSpecific!E:F,2,0),"")</f>
        <v/>
      </c>
    </row>
    <row r="937" spans="1:16" customFormat="1" x14ac:dyDescent="0.25">
      <c r="A937" s="7">
        <v>936</v>
      </c>
      <c r="B937" s="11" t="s">
        <v>951</v>
      </c>
      <c r="C937" s="7" t="s">
        <v>1039</v>
      </c>
      <c r="D937" s="7">
        <v>936</v>
      </c>
      <c r="E937" s="9">
        <v>936</v>
      </c>
      <c r="F937" s="7">
        <v>936</v>
      </c>
      <c r="G937" s="11" t="s">
        <v>1023</v>
      </c>
      <c r="H937" s="20">
        <v>337</v>
      </c>
      <c r="I937" s="12">
        <v>45032</v>
      </c>
      <c r="J937" s="12">
        <v>45459</v>
      </c>
      <c r="K937" s="25">
        <v>273</v>
      </c>
      <c r="L937" s="23">
        <v>64</v>
      </c>
      <c r="M937" s="11"/>
      <c r="N937" s="7" t="str">
        <f ca="1">_xlfn.IFNA(VLOOKUP("2"&amp;B937,CountSpecific!E:F,2,0),"")</f>
        <v/>
      </c>
      <c r="O937" s="14" t="str">
        <f ca="1">_xlfn.IFNA(VLOOKUP("3"&amp;B937,CountSpecific!E:F,2,0),"")</f>
        <v/>
      </c>
      <c r="P937" s="7" t="str">
        <f ca="1">_xlfn.IFNA(VLOOKUP("4"&amp;B937,CountSpecific!E:F,2,0),"")</f>
        <v/>
      </c>
    </row>
    <row r="938" spans="1:16" customFormat="1" x14ac:dyDescent="0.25">
      <c r="A938" s="7">
        <v>937</v>
      </c>
      <c r="B938" s="11" t="s">
        <v>952</v>
      </c>
      <c r="C938" s="7" t="s">
        <v>1039</v>
      </c>
      <c r="D938" s="7">
        <v>937</v>
      </c>
      <c r="E938" s="7">
        <v>937</v>
      </c>
      <c r="F938" s="7">
        <v>937</v>
      </c>
      <c r="G938" s="11" t="s">
        <v>1022</v>
      </c>
      <c r="H938" s="20">
        <v>7799</v>
      </c>
      <c r="I938" s="12">
        <v>44719</v>
      </c>
      <c r="J938" s="12">
        <v>44992</v>
      </c>
      <c r="K938" s="25">
        <v>2406</v>
      </c>
      <c r="L938" s="23">
        <v>5393</v>
      </c>
      <c r="M938" s="11"/>
      <c r="N938" s="7" t="str">
        <f ca="1">_xlfn.IFNA(VLOOKUP("2"&amp;B938,CountSpecific!E:F,2,0),"")</f>
        <v/>
      </c>
      <c r="O938" s="14" t="str">
        <f ca="1">_xlfn.IFNA(VLOOKUP("3"&amp;B938,CountSpecific!E:F,2,0),"")</f>
        <v/>
      </c>
      <c r="P938" s="7" t="str">
        <f ca="1">_xlfn.IFNA(VLOOKUP("4"&amp;B938,CountSpecific!E:F,2,0),"")</f>
        <v/>
      </c>
    </row>
    <row r="939" spans="1:16" customFormat="1" x14ac:dyDescent="0.25">
      <c r="A939" s="7">
        <v>938</v>
      </c>
      <c r="B939" s="11" t="s">
        <v>953</v>
      </c>
      <c r="C939" s="7" t="s">
        <v>1039</v>
      </c>
      <c r="D939" s="7">
        <v>938</v>
      </c>
      <c r="E939" s="7">
        <v>938</v>
      </c>
      <c r="F939" s="7">
        <v>938</v>
      </c>
      <c r="G939" s="11" t="s">
        <v>1025</v>
      </c>
      <c r="H939" s="20">
        <v>59752</v>
      </c>
      <c r="I939" s="12">
        <v>45456</v>
      </c>
      <c r="J939" s="12">
        <v>46155</v>
      </c>
      <c r="K939" s="25">
        <v>8575</v>
      </c>
      <c r="L939" s="23">
        <v>51177</v>
      </c>
      <c r="M939" s="11"/>
      <c r="N939" s="7" t="str">
        <f ca="1">_xlfn.IFNA(VLOOKUP("2"&amp;B939,CountSpecific!E:F,2,0),"")</f>
        <v/>
      </c>
      <c r="O939" s="14" t="str">
        <f ca="1">_xlfn.IFNA(VLOOKUP("3"&amp;B939,CountSpecific!E:F,2,0),"")</f>
        <v/>
      </c>
      <c r="P939" s="7" t="str">
        <f ca="1">_xlfn.IFNA(VLOOKUP("4"&amp;B939,CountSpecific!E:F,2,0),"")</f>
        <v/>
      </c>
    </row>
    <row r="940" spans="1:16" customFormat="1" x14ac:dyDescent="0.25">
      <c r="A940" s="7">
        <v>939</v>
      </c>
      <c r="B940" s="11" t="s">
        <v>954</v>
      </c>
      <c r="C940" s="7" t="s">
        <v>1039</v>
      </c>
      <c r="D940" s="7">
        <v>939</v>
      </c>
      <c r="E940" s="9">
        <v>939</v>
      </c>
      <c r="F940" s="7">
        <v>939</v>
      </c>
      <c r="G940" s="11" t="s">
        <v>1025</v>
      </c>
      <c r="H940" s="20">
        <v>390351</v>
      </c>
      <c r="I940" s="12">
        <v>44924</v>
      </c>
      <c r="J940" s="12">
        <v>44955</v>
      </c>
      <c r="K940" s="25">
        <v>18605</v>
      </c>
      <c r="L940" s="23">
        <v>371746</v>
      </c>
      <c r="M940" s="11"/>
      <c r="N940" s="7" t="str">
        <f ca="1">_xlfn.IFNA(VLOOKUP("2"&amp;B940,CountSpecific!E:F,2,0),"")</f>
        <v/>
      </c>
      <c r="O940" s="14" t="str">
        <f ca="1">_xlfn.IFNA(VLOOKUP("3"&amp;B940,CountSpecific!E:F,2,0),"")</f>
        <v/>
      </c>
      <c r="P940" s="7" t="str">
        <f ca="1">_xlfn.IFNA(VLOOKUP("4"&amp;B940,CountSpecific!E:F,2,0),"")</f>
        <v/>
      </c>
    </row>
    <row r="941" spans="1:16" customFormat="1" x14ac:dyDescent="0.25">
      <c r="A941" s="7">
        <v>940</v>
      </c>
      <c r="B941" s="11" t="s">
        <v>955</v>
      </c>
      <c r="C941" s="7" t="s">
        <v>1039</v>
      </c>
      <c r="D941" s="7">
        <v>940</v>
      </c>
      <c r="E941" s="7">
        <v>940</v>
      </c>
      <c r="F941" s="7">
        <v>940</v>
      </c>
      <c r="G941" s="11" t="s">
        <v>1016</v>
      </c>
      <c r="H941" s="20">
        <v>27712</v>
      </c>
      <c r="I941" s="12">
        <v>44124</v>
      </c>
      <c r="J941" s="12">
        <v>44701</v>
      </c>
      <c r="K941" s="25">
        <v>22250</v>
      </c>
      <c r="L941" s="23">
        <v>5462</v>
      </c>
      <c r="M941" s="11"/>
      <c r="N941" s="7" t="str">
        <f ca="1">_xlfn.IFNA(VLOOKUP("2"&amp;B941,CountSpecific!E:F,2,0),"")</f>
        <v/>
      </c>
      <c r="O941" s="14" t="str">
        <f ca="1">_xlfn.IFNA(VLOOKUP("3"&amp;B941,CountSpecific!E:F,2,0),"")</f>
        <v/>
      </c>
      <c r="P941" s="7" t="str">
        <f ca="1">_xlfn.IFNA(VLOOKUP("4"&amp;B941,CountSpecific!E:F,2,0),"")</f>
        <v/>
      </c>
    </row>
    <row r="942" spans="1:16" customFormat="1" x14ac:dyDescent="0.25">
      <c r="A942" s="7">
        <v>941</v>
      </c>
      <c r="B942" s="11" t="s">
        <v>956</v>
      </c>
      <c r="C942" s="7" t="s">
        <v>1039</v>
      </c>
      <c r="D942" s="7">
        <v>941</v>
      </c>
      <c r="E942" s="7">
        <v>941</v>
      </c>
      <c r="F942" s="7">
        <v>941</v>
      </c>
      <c r="G942" s="11" t="s">
        <v>1016</v>
      </c>
      <c r="H942" s="20">
        <v>9558</v>
      </c>
      <c r="I942" s="12">
        <v>45465</v>
      </c>
      <c r="J942" s="12">
        <v>45679</v>
      </c>
      <c r="K942" s="25">
        <v>2246</v>
      </c>
      <c r="L942" s="23">
        <v>7312</v>
      </c>
      <c r="M942" s="11"/>
      <c r="N942" s="7" t="str">
        <f ca="1">_xlfn.IFNA(VLOOKUP("2"&amp;B942,CountSpecific!E:F,2,0),"")</f>
        <v/>
      </c>
      <c r="O942" s="14" t="str">
        <f ca="1">_xlfn.IFNA(VLOOKUP("3"&amp;B942,CountSpecific!E:F,2,0),"")</f>
        <v/>
      </c>
      <c r="P942" s="7" t="str">
        <f ca="1">_xlfn.IFNA(VLOOKUP("4"&amp;B942,CountSpecific!E:F,2,0),"")</f>
        <v/>
      </c>
    </row>
    <row r="943" spans="1:16" customFormat="1" x14ac:dyDescent="0.25">
      <c r="A943" s="7">
        <v>942</v>
      </c>
      <c r="B943" s="11" t="s">
        <v>957</v>
      </c>
      <c r="C943" s="7" t="s">
        <v>1039</v>
      </c>
      <c r="D943" s="7">
        <v>942</v>
      </c>
      <c r="E943" s="9">
        <v>942</v>
      </c>
      <c r="F943" s="7">
        <v>942</v>
      </c>
      <c r="G943" s="11" t="s">
        <v>1021</v>
      </c>
      <c r="H943" s="20">
        <v>29209</v>
      </c>
      <c r="I943" s="12">
        <v>44858</v>
      </c>
      <c r="J943" s="12">
        <v>45131</v>
      </c>
      <c r="K943" s="25">
        <v>8405</v>
      </c>
      <c r="L943" s="23">
        <v>20804</v>
      </c>
      <c r="M943" s="11"/>
      <c r="N943" s="7" t="str">
        <f ca="1">_xlfn.IFNA(VLOOKUP("2"&amp;B943,CountSpecific!E:F,2,0),"")</f>
        <v/>
      </c>
      <c r="O943" s="14" t="str">
        <f ca="1">_xlfn.IFNA(VLOOKUP("3"&amp;B943,CountSpecific!E:F,2,0),"")</f>
        <v/>
      </c>
      <c r="P943" s="7" t="str">
        <f ca="1">_xlfn.IFNA(VLOOKUP("4"&amp;B943,CountSpecific!E:F,2,0),"")</f>
        <v/>
      </c>
    </row>
    <row r="944" spans="1:16" customFormat="1" x14ac:dyDescent="0.25">
      <c r="A944" s="7">
        <v>943</v>
      </c>
      <c r="B944" s="11" t="s">
        <v>958</v>
      </c>
      <c r="C944" s="7" t="s">
        <v>1039</v>
      </c>
      <c r="D944" s="7">
        <v>943</v>
      </c>
      <c r="E944" s="7">
        <v>943</v>
      </c>
      <c r="F944" s="7">
        <v>943</v>
      </c>
      <c r="G944" s="11" t="s">
        <v>1026</v>
      </c>
      <c r="H944" s="20">
        <v>3504155</v>
      </c>
      <c r="I944" s="12">
        <v>44190</v>
      </c>
      <c r="J944" s="12">
        <v>44617</v>
      </c>
      <c r="K944" s="25">
        <v>2893834</v>
      </c>
      <c r="L944" s="23">
        <v>610321</v>
      </c>
      <c r="M944" s="11"/>
      <c r="N944" s="7" t="str">
        <f ca="1">_xlfn.IFNA(VLOOKUP("2"&amp;B944,CountSpecific!E:F,2,0),"")</f>
        <v/>
      </c>
      <c r="O944" s="14" t="str">
        <f ca="1">_xlfn.IFNA(VLOOKUP("3"&amp;B944,CountSpecific!E:F,2,0),"")</f>
        <v/>
      </c>
      <c r="P944" s="7" t="str">
        <f ca="1">_xlfn.IFNA(VLOOKUP("4"&amp;B944,CountSpecific!E:F,2,0),"")</f>
        <v/>
      </c>
    </row>
    <row r="945" spans="1:16" customFormat="1" x14ac:dyDescent="0.25">
      <c r="A945" s="7">
        <v>944</v>
      </c>
      <c r="B945" s="11" t="s">
        <v>959</v>
      </c>
      <c r="C945" s="7" t="s">
        <v>1039</v>
      </c>
      <c r="D945" s="7">
        <v>944</v>
      </c>
      <c r="E945" s="7">
        <v>944</v>
      </c>
      <c r="F945" s="7">
        <v>944</v>
      </c>
      <c r="G945" s="11" t="s">
        <v>1020</v>
      </c>
      <c r="H945" s="20">
        <v>418530</v>
      </c>
      <c r="I945" s="12">
        <v>44971</v>
      </c>
      <c r="J945" s="12">
        <v>45060</v>
      </c>
      <c r="K945" s="25">
        <v>356959</v>
      </c>
      <c r="L945" s="23">
        <v>61571</v>
      </c>
      <c r="M945" s="11"/>
      <c r="N945" s="7" t="str">
        <f ca="1">_xlfn.IFNA(VLOOKUP("2"&amp;B945,CountSpecific!E:F,2,0),"")</f>
        <v/>
      </c>
      <c r="O945" s="14" t="str">
        <f ca="1">_xlfn.IFNA(VLOOKUP("3"&amp;B945,CountSpecific!E:F,2,0),"")</f>
        <v/>
      </c>
      <c r="P945" s="7" t="str">
        <f ca="1">_xlfn.IFNA(VLOOKUP("4"&amp;B945,CountSpecific!E:F,2,0),"")</f>
        <v/>
      </c>
    </row>
    <row r="946" spans="1:16" customFormat="1" x14ac:dyDescent="0.25">
      <c r="A946" s="7">
        <v>945</v>
      </c>
      <c r="B946" s="11" t="s">
        <v>960</v>
      </c>
      <c r="C946" s="7" t="s">
        <v>1039</v>
      </c>
      <c r="D946" s="7">
        <v>945</v>
      </c>
      <c r="E946" s="9">
        <v>945</v>
      </c>
      <c r="F946" s="7">
        <v>945</v>
      </c>
      <c r="G946" s="11" t="s">
        <v>1027</v>
      </c>
      <c r="H946" s="20">
        <v>45958</v>
      </c>
      <c r="I946" s="12">
        <v>43879</v>
      </c>
      <c r="J946" s="12">
        <v>43969</v>
      </c>
      <c r="K946" s="25">
        <v>26232</v>
      </c>
      <c r="L946" s="23">
        <v>19726</v>
      </c>
      <c r="M946" s="11"/>
      <c r="N946" s="7" t="str">
        <f ca="1">_xlfn.IFNA(VLOOKUP("2"&amp;B946,CountSpecific!E:F,2,0),"")</f>
        <v/>
      </c>
      <c r="O946" s="14" t="str">
        <f ca="1">_xlfn.IFNA(VLOOKUP("3"&amp;B946,CountSpecific!E:F,2,0),"")</f>
        <v/>
      </c>
      <c r="P946" s="7" t="str">
        <f ca="1">_xlfn.IFNA(VLOOKUP("4"&amp;B946,CountSpecific!E:F,2,0),"")</f>
        <v/>
      </c>
    </row>
    <row r="947" spans="1:16" customFormat="1" x14ac:dyDescent="0.25">
      <c r="A947" s="7">
        <v>946</v>
      </c>
      <c r="B947" s="11" t="s">
        <v>961</v>
      </c>
      <c r="C947" s="7" t="s">
        <v>1039</v>
      </c>
      <c r="D947" s="7">
        <v>946</v>
      </c>
      <c r="E947" s="7">
        <v>946</v>
      </c>
      <c r="F947" s="7">
        <v>946</v>
      </c>
      <c r="G947" s="11" t="s">
        <v>1016</v>
      </c>
      <c r="H947" s="20">
        <v>40800</v>
      </c>
      <c r="I947" s="12">
        <v>44730</v>
      </c>
      <c r="J947" s="12">
        <v>44822</v>
      </c>
      <c r="K947" s="25">
        <v>35568</v>
      </c>
      <c r="L947" s="23">
        <v>5232</v>
      </c>
      <c r="M947" s="11"/>
      <c r="N947" s="7" t="str">
        <f ca="1">_xlfn.IFNA(VLOOKUP("2"&amp;B947,CountSpecific!E:F,2,0),"")</f>
        <v/>
      </c>
      <c r="O947" s="14" t="str">
        <f ca="1">_xlfn.IFNA(VLOOKUP("3"&amp;B947,CountSpecific!E:F,2,0),"")</f>
        <v/>
      </c>
      <c r="P947" s="7" t="str">
        <f ca="1">_xlfn.IFNA(VLOOKUP("4"&amp;B947,CountSpecific!E:F,2,0),"")</f>
        <v/>
      </c>
    </row>
    <row r="948" spans="1:16" customFormat="1" x14ac:dyDescent="0.25">
      <c r="A948" s="7">
        <v>947</v>
      </c>
      <c r="B948" s="11" t="s">
        <v>962</v>
      </c>
      <c r="C948" s="7" t="s">
        <v>1039</v>
      </c>
      <c r="D948" s="7">
        <v>947</v>
      </c>
      <c r="E948" s="7">
        <v>947</v>
      </c>
      <c r="F948" s="7">
        <v>947</v>
      </c>
      <c r="G948" s="11" t="s">
        <v>1023</v>
      </c>
      <c r="H948" s="20">
        <v>674</v>
      </c>
      <c r="I948" s="12">
        <v>44039</v>
      </c>
      <c r="J948" s="12">
        <v>44162</v>
      </c>
      <c r="K948" s="25">
        <v>320</v>
      </c>
      <c r="L948" s="23">
        <v>354</v>
      </c>
      <c r="M948" s="11"/>
      <c r="N948" s="7" t="str">
        <f ca="1">_xlfn.IFNA(VLOOKUP("2"&amp;B948,CountSpecific!E:F,2,0),"")</f>
        <v/>
      </c>
      <c r="O948" s="14" t="str">
        <f ca="1">_xlfn.IFNA(VLOOKUP("3"&amp;B948,CountSpecific!E:F,2,0),"")</f>
        <v/>
      </c>
      <c r="P948" s="7" t="str">
        <f ca="1">_xlfn.IFNA(VLOOKUP("4"&amp;B948,CountSpecific!E:F,2,0),"")</f>
        <v/>
      </c>
    </row>
    <row r="949" spans="1:16" customFormat="1" x14ac:dyDescent="0.25">
      <c r="A949" s="7">
        <v>948</v>
      </c>
      <c r="B949" s="11" t="s">
        <v>963</v>
      </c>
      <c r="C949" s="7" t="s">
        <v>1039</v>
      </c>
      <c r="D949" s="7">
        <v>948</v>
      </c>
      <c r="E949" s="9">
        <v>948</v>
      </c>
      <c r="F949" s="7">
        <v>948</v>
      </c>
      <c r="G949" s="11" t="s">
        <v>1025</v>
      </c>
      <c r="H949" s="20">
        <v>466118</v>
      </c>
      <c r="I949" s="12">
        <v>44711</v>
      </c>
      <c r="J949" s="12">
        <v>45015</v>
      </c>
      <c r="K949" s="25">
        <v>197516</v>
      </c>
      <c r="L949" s="23">
        <v>268602</v>
      </c>
      <c r="M949" s="11"/>
      <c r="N949" s="7" t="str">
        <f ca="1">_xlfn.IFNA(VLOOKUP("2"&amp;B949,CountSpecific!E:F,2,0),"")</f>
        <v/>
      </c>
      <c r="O949" s="14" t="str">
        <f ca="1">_xlfn.IFNA(VLOOKUP("3"&amp;B949,CountSpecific!E:F,2,0),"")</f>
        <v/>
      </c>
      <c r="P949" s="7" t="str">
        <f ca="1">_xlfn.IFNA(VLOOKUP("4"&amp;B949,CountSpecific!E:F,2,0),"")</f>
        <v/>
      </c>
    </row>
    <row r="950" spans="1:16" customFormat="1" x14ac:dyDescent="0.25">
      <c r="A950" s="7">
        <v>949</v>
      </c>
      <c r="B950" s="11" t="s">
        <v>964</v>
      </c>
      <c r="C950" s="7" t="s">
        <v>1039</v>
      </c>
      <c r="D950" s="7">
        <v>949</v>
      </c>
      <c r="E950" s="7">
        <v>949</v>
      </c>
      <c r="F950" s="7">
        <v>949</v>
      </c>
      <c r="G950" s="11" t="s">
        <v>1016</v>
      </c>
      <c r="H950" s="20">
        <v>24804</v>
      </c>
      <c r="I950" s="12">
        <v>44822</v>
      </c>
      <c r="J950" s="12">
        <v>45553</v>
      </c>
      <c r="K950" s="25">
        <v>24545</v>
      </c>
      <c r="L950" s="23">
        <v>259</v>
      </c>
      <c r="M950" s="11"/>
      <c r="N950" s="7" t="str">
        <f ca="1">_xlfn.IFNA(VLOOKUP("2"&amp;B950,CountSpecific!E:F,2,0),"")</f>
        <v/>
      </c>
      <c r="O950" s="14" t="str">
        <f ca="1">_xlfn.IFNA(VLOOKUP("3"&amp;B950,CountSpecific!E:F,2,0),"")</f>
        <v/>
      </c>
      <c r="P950" s="7" t="str">
        <f ca="1">_xlfn.IFNA(VLOOKUP("4"&amp;B950,CountSpecific!E:F,2,0),"")</f>
        <v/>
      </c>
    </row>
    <row r="951" spans="1:16" customFormat="1" x14ac:dyDescent="0.25">
      <c r="A951" s="7">
        <v>950</v>
      </c>
      <c r="B951" s="11" t="s">
        <v>965</v>
      </c>
      <c r="C951" s="7" t="s">
        <v>1039</v>
      </c>
      <c r="D951" s="7">
        <v>950</v>
      </c>
      <c r="E951" s="7">
        <v>950</v>
      </c>
      <c r="F951" s="7">
        <v>950</v>
      </c>
      <c r="G951" s="11" t="s">
        <v>1026</v>
      </c>
      <c r="H951" s="20">
        <v>1914611</v>
      </c>
      <c r="I951" s="12">
        <v>45710</v>
      </c>
      <c r="J951" s="12">
        <v>45891</v>
      </c>
      <c r="K951" s="25">
        <v>1715198</v>
      </c>
      <c r="L951" s="23">
        <v>199413</v>
      </c>
      <c r="M951" s="11"/>
      <c r="N951" s="7" t="str">
        <f ca="1">_xlfn.IFNA(VLOOKUP("2"&amp;B951,CountSpecific!E:F,2,0),"")</f>
        <v/>
      </c>
      <c r="O951" s="14" t="str">
        <f ca="1">_xlfn.IFNA(VLOOKUP("3"&amp;B951,CountSpecific!E:F,2,0),"")</f>
        <v/>
      </c>
      <c r="P951" s="7" t="str">
        <f ca="1">_xlfn.IFNA(VLOOKUP("4"&amp;B951,CountSpecific!E:F,2,0),"")</f>
        <v/>
      </c>
    </row>
    <row r="952" spans="1:16" customFormat="1" x14ac:dyDescent="0.25">
      <c r="A952" s="7">
        <v>951</v>
      </c>
      <c r="B952" s="11" t="s">
        <v>966</v>
      </c>
      <c r="C952" s="7" t="s">
        <v>1039</v>
      </c>
      <c r="D952" s="7">
        <v>951</v>
      </c>
      <c r="E952" s="9">
        <v>951</v>
      </c>
      <c r="F952" s="7">
        <v>951</v>
      </c>
      <c r="G952" s="11" t="s">
        <v>1023</v>
      </c>
      <c r="H952" s="20">
        <v>676</v>
      </c>
      <c r="I952" s="12">
        <v>44690</v>
      </c>
      <c r="J952" s="12">
        <v>44904</v>
      </c>
      <c r="K952" s="25">
        <v>484</v>
      </c>
      <c r="L952" s="23">
        <v>192</v>
      </c>
      <c r="M952" s="11"/>
      <c r="N952" s="7" t="str">
        <f ca="1">_xlfn.IFNA(VLOOKUP("2"&amp;B952,CountSpecific!E:F,2,0),"")</f>
        <v/>
      </c>
      <c r="O952" s="14" t="str">
        <f ca="1">_xlfn.IFNA(VLOOKUP("3"&amp;B952,CountSpecific!E:F,2,0),"")</f>
        <v/>
      </c>
      <c r="P952" s="7" t="str">
        <f ca="1">_xlfn.IFNA(VLOOKUP("4"&amp;B952,CountSpecific!E:F,2,0),"")</f>
        <v/>
      </c>
    </row>
    <row r="953" spans="1:16" customFormat="1" x14ac:dyDescent="0.25">
      <c r="A953" s="7">
        <v>952</v>
      </c>
      <c r="B953" s="11" t="s">
        <v>967</v>
      </c>
      <c r="C953" s="7" t="s">
        <v>1039</v>
      </c>
      <c r="D953" s="7">
        <v>952</v>
      </c>
      <c r="E953" s="7">
        <v>952</v>
      </c>
      <c r="F953" s="7">
        <v>952</v>
      </c>
      <c r="G953" s="11" t="s">
        <v>1020</v>
      </c>
      <c r="H953" s="20">
        <v>22630</v>
      </c>
      <c r="I953" s="12">
        <v>45708</v>
      </c>
      <c r="J953" s="12">
        <v>46101</v>
      </c>
      <c r="K953" s="25">
        <v>18116</v>
      </c>
      <c r="L953" s="23">
        <v>4514</v>
      </c>
      <c r="M953" s="11"/>
      <c r="N953" s="7" t="str">
        <f ca="1">_xlfn.IFNA(VLOOKUP("2"&amp;B953,CountSpecific!E:F,2,0),"")</f>
        <v/>
      </c>
      <c r="O953" s="14" t="str">
        <f ca="1">_xlfn.IFNA(VLOOKUP("3"&amp;B953,CountSpecific!E:F,2,0),"")</f>
        <v/>
      </c>
      <c r="P953" s="7" t="str">
        <f ca="1">_xlfn.IFNA(VLOOKUP("4"&amp;B953,CountSpecific!E:F,2,0),"")</f>
        <v/>
      </c>
    </row>
    <row r="954" spans="1:16" customFormat="1" x14ac:dyDescent="0.25">
      <c r="A954" s="7">
        <v>953</v>
      </c>
      <c r="B954" s="11" t="s">
        <v>968</v>
      </c>
      <c r="C954" s="7" t="s">
        <v>1039</v>
      </c>
      <c r="D954" s="7">
        <v>953</v>
      </c>
      <c r="E954" s="7">
        <v>953</v>
      </c>
      <c r="F954" s="7">
        <v>953</v>
      </c>
      <c r="G954" s="11" t="s">
        <v>1022</v>
      </c>
      <c r="H954" s="20">
        <v>33498</v>
      </c>
      <c r="I954" s="12">
        <v>45417</v>
      </c>
      <c r="J954" s="12">
        <v>45693</v>
      </c>
      <c r="K954" s="25">
        <v>24364</v>
      </c>
      <c r="L954" s="23">
        <v>9134</v>
      </c>
      <c r="M954" s="11"/>
      <c r="N954" s="7" t="str">
        <f ca="1">_xlfn.IFNA(VLOOKUP("2"&amp;B954,CountSpecific!E:F,2,0),"")</f>
        <v/>
      </c>
      <c r="O954" s="14" t="str">
        <f ca="1">_xlfn.IFNA(VLOOKUP("3"&amp;B954,CountSpecific!E:F,2,0),"")</f>
        <v/>
      </c>
      <c r="P954" s="7" t="str">
        <f ca="1">_xlfn.IFNA(VLOOKUP("4"&amp;B954,CountSpecific!E:F,2,0),"")</f>
        <v/>
      </c>
    </row>
    <row r="955" spans="1:16" customFormat="1" x14ac:dyDescent="0.25">
      <c r="A955" s="7">
        <v>954</v>
      </c>
      <c r="B955" s="11" t="s">
        <v>969</v>
      </c>
      <c r="C955" s="7" t="s">
        <v>1039</v>
      </c>
      <c r="D955" s="7">
        <v>954</v>
      </c>
      <c r="E955" s="9">
        <v>954</v>
      </c>
      <c r="F955" s="7">
        <v>954</v>
      </c>
      <c r="G955" s="11" t="s">
        <v>1025</v>
      </c>
      <c r="H955" s="20">
        <v>402463</v>
      </c>
      <c r="I955" s="12">
        <v>44360</v>
      </c>
      <c r="J955" s="12">
        <v>44755</v>
      </c>
      <c r="K955" s="25">
        <v>145018</v>
      </c>
      <c r="L955" s="23">
        <v>257445</v>
      </c>
      <c r="M955" s="11"/>
      <c r="N955" s="7" t="str">
        <f ca="1">_xlfn.IFNA(VLOOKUP("2"&amp;B955,CountSpecific!E:F,2,0),"")</f>
        <v/>
      </c>
      <c r="O955" s="14" t="str">
        <f ca="1">_xlfn.IFNA(VLOOKUP("3"&amp;B955,CountSpecific!E:F,2,0),"")</f>
        <v/>
      </c>
      <c r="P955" s="7" t="str">
        <f ca="1">_xlfn.IFNA(VLOOKUP("4"&amp;B955,CountSpecific!E:F,2,0),"")</f>
        <v/>
      </c>
    </row>
    <row r="956" spans="1:16" customFormat="1" x14ac:dyDescent="0.25">
      <c r="A956" s="7">
        <v>955</v>
      </c>
      <c r="B956" s="11" t="s">
        <v>970</v>
      </c>
      <c r="C956" s="7" t="s">
        <v>1039</v>
      </c>
      <c r="D956" s="7">
        <v>955</v>
      </c>
      <c r="E956" s="7">
        <v>955</v>
      </c>
      <c r="F956" s="7">
        <v>955</v>
      </c>
      <c r="G956" s="11" t="s">
        <v>1021</v>
      </c>
      <c r="H956" s="20">
        <v>44777</v>
      </c>
      <c r="I956" s="12">
        <v>45252</v>
      </c>
      <c r="J956" s="12">
        <v>45799</v>
      </c>
      <c r="K956" s="25">
        <v>26483</v>
      </c>
      <c r="L956" s="23">
        <v>18294</v>
      </c>
      <c r="M956" s="11"/>
      <c r="N956" s="7" t="str">
        <f ca="1">_xlfn.IFNA(VLOOKUP("2"&amp;B956,CountSpecific!E:F,2,0),"")</f>
        <v/>
      </c>
      <c r="O956" s="14" t="str">
        <f ca="1">_xlfn.IFNA(VLOOKUP("3"&amp;B956,CountSpecific!E:F,2,0),"")</f>
        <v/>
      </c>
      <c r="P956" s="7" t="str">
        <f ca="1">_xlfn.IFNA(VLOOKUP("4"&amp;B956,CountSpecific!E:F,2,0),"")</f>
        <v/>
      </c>
    </row>
    <row r="957" spans="1:16" customFormat="1" x14ac:dyDescent="0.25">
      <c r="A957" s="7">
        <v>956</v>
      </c>
      <c r="B957" s="11" t="s">
        <v>971</v>
      </c>
      <c r="C957" s="7" t="s">
        <v>1039</v>
      </c>
      <c r="D957" s="7">
        <v>956</v>
      </c>
      <c r="E957" s="7">
        <v>956</v>
      </c>
      <c r="F957" s="7">
        <v>956</v>
      </c>
      <c r="G957" s="11" t="s">
        <v>1023</v>
      </c>
      <c r="H957" s="20">
        <v>1382</v>
      </c>
      <c r="I957" s="12">
        <v>44954</v>
      </c>
      <c r="J957" s="12">
        <v>45532</v>
      </c>
      <c r="K957" s="25">
        <v>517</v>
      </c>
      <c r="L957" s="23">
        <v>865</v>
      </c>
      <c r="M957" s="11"/>
      <c r="N957" s="7" t="str">
        <f ca="1">_xlfn.IFNA(VLOOKUP("2"&amp;B957,CountSpecific!E:F,2,0),"")</f>
        <v/>
      </c>
      <c r="O957" s="14" t="str">
        <f ca="1">_xlfn.IFNA(VLOOKUP("3"&amp;B957,CountSpecific!E:F,2,0),"")</f>
        <v/>
      </c>
      <c r="P957" s="7" t="str">
        <f ca="1">_xlfn.IFNA(VLOOKUP("4"&amp;B957,CountSpecific!E:F,2,0),"")</f>
        <v/>
      </c>
    </row>
    <row r="958" spans="1:16" customFormat="1" x14ac:dyDescent="0.25">
      <c r="A958" s="7">
        <v>957</v>
      </c>
      <c r="B958" s="11" t="s">
        <v>972</v>
      </c>
      <c r="C958" s="7" t="s">
        <v>1039</v>
      </c>
      <c r="D958" s="7">
        <v>957</v>
      </c>
      <c r="E958" s="9">
        <v>957</v>
      </c>
      <c r="F958" s="7">
        <v>957</v>
      </c>
      <c r="G958" s="11" t="s">
        <v>1020</v>
      </c>
      <c r="H958" s="20">
        <v>25748</v>
      </c>
      <c r="I958" s="12">
        <v>44957</v>
      </c>
      <c r="J958" s="12">
        <v>45657</v>
      </c>
      <c r="K958" s="25">
        <v>17177</v>
      </c>
      <c r="L958" s="23">
        <v>8571</v>
      </c>
      <c r="M958" s="11"/>
      <c r="N958" s="7" t="str">
        <f ca="1">_xlfn.IFNA(VLOOKUP("2"&amp;B958,CountSpecific!E:F,2,0),"")</f>
        <v/>
      </c>
      <c r="O958" s="14" t="str">
        <f ca="1">_xlfn.IFNA(VLOOKUP("3"&amp;B958,CountSpecific!E:F,2,0),"")</f>
        <v/>
      </c>
      <c r="P958" s="7" t="str">
        <f ca="1">_xlfn.IFNA(VLOOKUP("4"&amp;B958,CountSpecific!E:F,2,0),"")</f>
        <v/>
      </c>
    </row>
    <row r="959" spans="1:16" customFormat="1" x14ac:dyDescent="0.25">
      <c r="A959" s="7">
        <v>958</v>
      </c>
      <c r="B959" s="11" t="s">
        <v>973</v>
      </c>
      <c r="C959" s="7" t="s">
        <v>1039</v>
      </c>
      <c r="D959" s="7">
        <v>958</v>
      </c>
      <c r="E959" s="7">
        <v>958</v>
      </c>
      <c r="F959" s="7">
        <v>958</v>
      </c>
      <c r="G959" s="11" t="s">
        <v>1026</v>
      </c>
      <c r="H959" s="20">
        <v>4418343</v>
      </c>
      <c r="I959" s="12">
        <v>44826</v>
      </c>
      <c r="J959" s="12">
        <v>45344</v>
      </c>
      <c r="K959" s="25">
        <v>1740966</v>
      </c>
      <c r="L959" s="23">
        <v>2677377</v>
      </c>
      <c r="M959" s="11"/>
      <c r="N959" s="7" t="str">
        <f ca="1">_xlfn.IFNA(VLOOKUP("2"&amp;B959,CountSpecific!E:F,2,0),"")</f>
        <v/>
      </c>
      <c r="O959" s="14" t="str">
        <f ca="1">_xlfn.IFNA(VLOOKUP("3"&amp;B959,CountSpecific!E:F,2,0),"")</f>
        <v/>
      </c>
      <c r="P959" s="7" t="str">
        <f ca="1">_xlfn.IFNA(VLOOKUP("4"&amp;B959,CountSpecific!E:F,2,0),"")</f>
        <v/>
      </c>
    </row>
    <row r="960" spans="1:16" customFormat="1" x14ac:dyDescent="0.25">
      <c r="A960" s="7">
        <v>959</v>
      </c>
      <c r="B960" s="11" t="s">
        <v>974</v>
      </c>
      <c r="C960" s="7" t="s">
        <v>1039</v>
      </c>
      <c r="D960" s="7">
        <v>959</v>
      </c>
      <c r="E960" s="7">
        <v>959</v>
      </c>
      <c r="F960" s="7">
        <v>959</v>
      </c>
      <c r="G960" s="11" t="s">
        <v>1024</v>
      </c>
      <c r="H960" s="20">
        <v>948369</v>
      </c>
      <c r="I960" s="12">
        <v>45036</v>
      </c>
      <c r="J960" s="12">
        <v>45736</v>
      </c>
      <c r="K960" s="25">
        <v>639938</v>
      </c>
      <c r="L960" s="23">
        <v>308431</v>
      </c>
      <c r="M960" s="11"/>
      <c r="N960" s="7" t="str">
        <f ca="1">_xlfn.IFNA(VLOOKUP("2"&amp;B960,CountSpecific!E:F,2,0),"")</f>
        <v/>
      </c>
      <c r="O960" s="14" t="str">
        <f ca="1">_xlfn.IFNA(VLOOKUP("3"&amp;B960,CountSpecific!E:F,2,0),"")</f>
        <v/>
      </c>
      <c r="P960" s="7" t="str">
        <f ca="1">_xlfn.IFNA(VLOOKUP("4"&amp;B960,CountSpecific!E:F,2,0),"")</f>
        <v/>
      </c>
    </row>
    <row r="961" spans="1:16" customFormat="1" x14ac:dyDescent="0.25">
      <c r="A961" s="7">
        <v>960</v>
      </c>
      <c r="B961" s="11" t="s">
        <v>975</v>
      </c>
      <c r="C961" s="7" t="s">
        <v>1039</v>
      </c>
      <c r="D961" s="7">
        <v>960</v>
      </c>
      <c r="E961" s="9">
        <v>960</v>
      </c>
      <c r="F961" s="7">
        <v>960</v>
      </c>
      <c r="G961" s="11" t="s">
        <v>1022</v>
      </c>
      <c r="H961" s="20">
        <v>24155</v>
      </c>
      <c r="I961" s="12">
        <v>45010</v>
      </c>
      <c r="J961" s="12">
        <v>45498</v>
      </c>
      <c r="K961" s="25">
        <v>4982</v>
      </c>
      <c r="L961" s="23">
        <v>19173</v>
      </c>
      <c r="M961" s="11"/>
      <c r="N961" s="7" t="str">
        <f ca="1">_xlfn.IFNA(VLOOKUP("2"&amp;B961,CountSpecific!E:F,2,0),"")</f>
        <v/>
      </c>
      <c r="O961" s="14" t="str">
        <f ca="1">_xlfn.IFNA(VLOOKUP("3"&amp;B961,CountSpecific!E:F,2,0),"")</f>
        <v/>
      </c>
      <c r="P961" s="7" t="str">
        <f ca="1">_xlfn.IFNA(VLOOKUP("4"&amp;B961,CountSpecific!E:F,2,0),"")</f>
        <v/>
      </c>
    </row>
    <row r="962" spans="1:16" customFormat="1" x14ac:dyDescent="0.25">
      <c r="A962" s="7">
        <v>961</v>
      </c>
      <c r="B962" s="11" t="s">
        <v>976</v>
      </c>
      <c r="C962" s="7" t="s">
        <v>1039</v>
      </c>
      <c r="D962" s="7">
        <v>961</v>
      </c>
      <c r="E962" s="7">
        <v>961</v>
      </c>
      <c r="F962" s="7">
        <v>961</v>
      </c>
      <c r="G962" s="11" t="s">
        <v>1021</v>
      </c>
      <c r="H962" s="20">
        <v>71133</v>
      </c>
      <c r="I962" s="12">
        <v>45524</v>
      </c>
      <c r="J962" s="12">
        <v>45555</v>
      </c>
      <c r="K962" s="25">
        <v>65810</v>
      </c>
      <c r="L962" s="23">
        <v>5323</v>
      </c>
      <c r="M962" s="11"/>
      <c r="N962" s="7" t="str">
        <f ca="1">_xlfn.IFNA(VLOOKUP("2"&amp;B962,CountSpecific!E:F,2,0),"")</f>
        <v/>
      </c>
      <c r="O962" s="14" t="str">
        <f ca="1">_xlfn.IFNA(VLOOKUP("3"&amp;B962,CountSpecific!E:F,2,0),"")</f>
        <v/>
      </c>
      <c r="P962" s="7" t="str">
        <f ca="1">_xlfn.IFNA(VLOOKUP("4"&amp;B962,CountSpecific!E:F,2,0),"")</f>
        <v/>
      </c>
    </row>
    <row r="963" spans="1:16" customFormat="1" x14ac:dyDescent="0.25">
      <c r="A963" s="7">
        <v>962</v>
      </c>
      <c r="B963" s="11" t="s">
        <v>977</v>
      </c>
      <c r="C963" s="7" t="s">
        <v>1039</v>
      </c>
      <c r="D963" s="7">
        <v>962</v>
      </c>
      <c r="E963" s="7">
        <v>962</v>
      </c>
      <c r="F963" s="7">
        <v>962</v>
      </c>
      <c r="G963" s="11" t="s">
        <v>1021</v>
      </c>
      <c r="H963" s="20">
        <v>22150</v>
      </c>
      <c r="I963" s="12">
        <v>45093</v>
      </c>
      <c r="J963" s="12">
        <v>45185</v>
      </c>
      <c r="K963" s="25">
        <v>12378</v>
      </c>
      <c r="L963" s="23">
        <v>9772</v>
      </c>
      <c r="M963" s="11"/>
      <c r="N963" s="7" t="str">
        <f ca="1">_xlfn.IFNA(VLOOKUP("2"&amp;B963,CountSpecific!E:F,2,0),"")</f>
        <v/>
      </c>
      <c r="O963" s="14" t="str">
        <f ca="1">_xlfn.IFNA(VLOOKUP("3"&amp;B963,CountSpecific!E:F,2,0),"")</f>
        <v/>
      </c>
      <c r="P963" s="7" t="str">
        <f ca="1">_xlfn.IFNA(VLOOKUP("4"&amp;B963,CountSpecific!E:F,2,0),"")</f>
        <v/>
      </c>
    </row>
    <row r="964" spans="1:16" customFormat="1" x14ac:dyDescent="0.25">
      <c r="A964" s="7">
        <v>963</v>
      </c>
      <c r="B964" s="11" t="s">
        <v>978</v>
      </c>
      <c r="C964" s="7" t="s">
        <v>1039</v>
      </c>
      <c r="D964" s="7">
        <v>963</v>
      </c>
      <c r="E964" s="9">
        <v>963</v>
      </c>
      <c r="F964" s="7">
        <v>963</v>
      </c>
      <c r="G964" s="11" t="s">
        <v>1020</v>
      </c>
      <c r="H964" s="20">
        <v>429201</v>
      </c>
      <c r="I964" s="12">
        <v>44334</v>
      </c>
      <c r="J964" s="12">
        <v>44426</v>
      </c>
      <c r="K964" s="25">
        <v>245644</v>
      </c>
      <c r="L964" s="23">
        <v>183557</v>
      </c>
      <c r="M964" s="11"/>
      <c r="N964" s="7" t="str">
        <f ca="1">_xlfn.IFNA(VLOOKUP("2"&amp;B964,CountSpecific!E:F,2,0),"")</f>
        <v/>
      </c>
      <c r="O964" s="14" t="str">
        <f ca="1">_xlfn.IFNA(VLOOKUP("3"&amp;B964,CountSpecific!E:F,2,0),"")</f>
        <v/>
      </c>
      <c r="P964" s="7" t="str">
        <f ca="1">_xlfn.IFNA(VLOOKUP("4"&amp;B964,CountSpecific!E:F,2,0),"")</f>
        <v/>
      </c>
    </row>
    <row r="965" spans="1:16" customFormat="1" x14ac:dyDescent="0.25">
      <c r="A965" s="7">
        <v>964</v>
      </c>
      <c r="B965" s="11" t="s">
        <v>979</v>
      </c>
      <c r="C965" s="7" t="s">
        <v>1039</v>
      </c>
      <c r="D965" s="7">
        <v>964</v>
      </c>
      <c r="E965" s="7">
        <v>964</v>
      </c>
      <c r="F965" s="7">
        <v>964</v>
      </c>
      <c r="G965" s="11" t="s">
        <v>1027</v>
      </c>
      <c r="H965" s="20">
        <v>52669</v>
      </c>
      <c r="I965" s="12">
        <v>45188</v>
      </c>
      <c r="J965" s="12">
        <v>45857</v>
      </c>
      <c r="K965" s="25">
        <v>46247</v>
      </c>
      <c r="L965" s="23">
        <v>6422</v>
      </c>
      <c r="M965" s="11"/>
      <c r="N965" s="7" t="str">
        <f ca="1">_xlfn.IFNA(VLOOKUP("2"&amp;B965,CountSpecific!E:F,2,0),"")</f>
        <v/>
      </c>
      <c r="O965" s="14" t="str">
        <f ca="1">_xlfn.IFNA(VLOOKUP("3"&amp;B965,CountSpecific!E:F,2,0),"")</f>
        <v/>
      </c>
      <c r="P965" s="7" t="str">
        <f ca="1">_xlfn.IFNA(VLOOKUP("4"&amp;B965,CountSpecific!E:F,2,0),"")</f>
        <v/>
      </c>
    </row>
    <row r="966" spans="1:16" customFormat="1" x14ac:dyDescent="0.25">
      <c r="A966" s="7">
        <v>965</v>
      </c>
      <c r="B966" s="11" t="s">
        <v>980</v>
      </c>
      <c r="C966" s="7" t="s">
        <v>1039</v>
      </c>
      <c r="D966" s="7">
        <v>965</v>
      </c>
      <c r="E966" s="7">
        <v>965</v>
      </c>
      <c r="F966" s="7">
        <v>965</v>
      </c>
      <c r="G966" s="11" t="s">
        <v>1026</v>
      </c>
      <c r="H966" s="20">
        <v>2557049</v>
      </c>
      <c r="I966" s="12">
        <v>44793</v>
      </c>
      <c r="J966" s="12">
        <v>45280</v>
      </c>
      <c r="K966" s="25">
        <v>227991</v>
      </c>
      <c r="L966" s="23">
        <v>2329058</v>
      </c>
      <c r="M966" s="11"/>
      <c r="N966" s="7" t="str">
        <f ca="1">_xlfn.IFNA(VLOOKUP("2"&amp;B966,CountSpecific!E:F,2,0),"")</f>
        <v/>
      </c>
      <c r="O966" s="14" t="str">
        <f ca="1">_xlfn.IFNA(VLOOKUP("3"&amp;B966,CountSpecific!E:F,2,0),"")</f>
        <v/>
      </c>
      <c r="P966" s="7" t="str">
        <f ca="1">_xlfn.IFNA(VLOOKUP("4"&amp;B966,CountSpecific!E:F,2,0),"")</f>
        <v/>
      </c>
    </row>
    <row r="967" spans="1:16" customFormat="1" x14ac:dyDescent="0.25">
      <c r="A967" s="7">
        <v>966</v>
      </c>
      <c r="B967" s="11" t="s">
        <v>981</v>
      </c>
      <c r="C967" s="7" t="s">
        <v>1039</v>
      </c>
      <c r="D967" s="7">
        <v>966</v>
      </c>
      <c r="E967" s="9">
        <v>966</v>
      </c>
      <c r="F967" s="7">
        <v>966</v>
      </c>
      <c r="G967" s="11" t="s">
        <v>1027</v>
      </c>
      <c r="H967" s="20">
        <v>20118</v>
      </c>
      <c r="I967" s="12">
        <v>44824</v>
      </c>
      <c r="J967" s="12">
        <v>45524</v>
      </c>
      <c r="K967" s="25">
        <v>12846</v>
      </c>
      <c r="L967" s="23">
        <v>7272</v>
      </c>
      <c r="M967" s="11"/>
      <c r="N967" s="7" t="str">
        <f ca="1">_xlfn.IFNA(VLOOKUP("2"&amp;B967,CountSpecific!E:F,2,0),"")</f>
        <v/>
      </c>
      <c r="O967" s="14" t="str">
        <f ca="1">_xlfn.IFNA(VLOOKUP("3"&amp;B967,CountSpecific!E:F,2,0),"")</f>
        <v/>
      </c>
      <c r="P967" s="7" t="str">
        <f ca="1">_xlfn.IFNA(VLOOKUP("4"&amp;B967,CountSpecific!E:F,2,0),"")</f>
        <v/>
      </c>
    </row>
    <row r="968" spans="1:16" customFormat="1" x14ac:dyDescent="0.25">
      <c r="A968" s="7">
        <v>967</v>
      </c>
      <c r="B968" s="11" t="s">
        <v>982</v>
      </c>
      <c r="C968" s="7" t="s">
        <v>1039</v>
      </c>
      <c r="D968" s="7">
        <v>967</v>
      </c>
      <c r="E968" s="7">
        <v>967</v>
      </c>
      <c r="F968" s="7">
        <v>967</v>
      </c>
      <c r="G968" s="11" t="s">
        <v>1024</v>
      </c>
      <c r="H968" s="20">
        <v>495367</v>
      </c>
      <c r="I968" s="12">
        <v>45268</v>
      </c>
      <c r="J968" s="12">
        <v>45999</v>
      </c>
      <c r="K968" s="25">
        <v>322823</v>
      </c>
      <c r="L968" s="23">
        <v>172544</v>
      </c>
      <c r="M968" s="11"/>
      <c r="N968" s="7" t="str">
        <f ca="1">_xlfn.IFNA(VLOOKUP("2"&amp;B968,CountSpecific!E:F,2,0),"")</f>
        <v/>
      </c>
      <c r="O968" s="14" t="str">
        <f ca="1">_xlfn.IFNA(VLOOKUP("3"&amp;B968,CountSpecific!E:F,2,0),"")</f>
        <v/>
      </c>
      <c r="P968" s="7" t="str">
        <f ca="1">_xlfn.IFNA(VLOOKUP("4"&amp;B968,CountSpecific!E:F,2,0),"")</f>
        <v/>
      </c>
    </row>
    <row r="969" spans="1:16" customFormat="1" x14ac:dyDescent="0.25">
      <c r="A969" s="7">
        <v>968</v>
      </c>
      <c r="B969" s="11" t="s">
        <v>983</v>
      </c>
      <c r="C969" s="7" t="s">
        <v>1039</v>
      </c>
      <c r="D969" s="7">
        <v>968</v>
      </c>
      <c r="E969" s="7">
        <v>968</v>
      </c>
      <c r="F969" s="7">
        <v>968</v>
      </c>
      <c r="G969" s="11" t="s">
        <v>1026</v>
      </c>
      <c r="H969" s="20">
        <v>277096</v>
      </c>
      <c r="I969" s="12">
        <v>45665</v>
      </c>
      <c r="J969" s="12">
        <v>45816</v>
      </c>
      <c r="K969" s="25">
        <v>237398</v>
      </c>
      <c r="L969" s="23">
        <v>39698</v>
      </c>
      <c r="M969" s="11"/>
      <c r="N969" s="7" t="str">
        <f ca="1">_xlfn.IFNA(VLOOKUP("2"&amp;B969,CountSpecific!E:F,2,0),"")</f>
        <v/>
      </c>
      <c r="O969" s="14" t="str">
        <f ca="1">_xlfn.IFNA(VLOOKUP("3"&amp;B969,CountSpecific!E:F,2,0),"")</f>
        <v/>
      </c>
      <c r="P969" s="7" t="str">
        <f ca="1">_xlfn.IFNA(VLOOKUP("4"&amp;B969,CountSpecific!E:F,2,0),"")</f>
        <v/>
      </c>
    </row>
    <row r="970" spans="1:16" customFormat="1" x14ac:dyDescent="0.25">
      <c r="A970" s="7">
        <v>969</v>
      </c>
      <c r="B970" s="11" t="s">
        <v>984</v>
      </c>
      <c r="C970" s="7" t="s">
        <v>1039</v>
      </c>
      <c r="D970" s="7">
        <v>969</v>
      </c>
      <c r="E970" s="9">
        <v>969</v>
      </c>
      <c r="F970" s="7">
        <v>969</v>
      </c>
      <c r="G970" s="11" t="s">
        <v>1021</v>
      </c>
      <c r="H970" s="20">
        <v>45058</v>
      </c>
      <c r="I970" s="12">
        <v>45597</v>
      </c>
      <c r="J970" s="12">
        <v>45809</v>
      </c>
      <c r="K970" s="25">
        <v>17845</v>
      </c>
      <c r="L970" s="23">
        <v>27213</v>
      </c>
      <c r="M970" s="11"/>
      <c r="N970" s="7" t="str">
        <f ca="1">_xlfn.IFNA(VLOOKUP("2"&amp;B970,CountSpecific!E:F,2,0),"")</f>
        <v/>
      </c>
      <c r="O970" s="14" t="str">
        <f ca="1">_xlfn.IFNA(VLOOKUP("3"&amp;B970,CountSpecific!E:F,2,0),"")</f>
        <v/>
      </c>
      <c r="P970" s="7" t="str">
        <f ca="1">_xlfn.IFNA(VLOOKUP("4"&amp;B970,CountSpecific!E:F,2,0),"")</f>
        <v/>
      </c>
    </row>
    <row r="971" spans="1:16" customFormat="1" x14ac:dyDescent="0.25">
      <c r="A971" s="7">
        <v>970</v>
      </c>
      <c r="B971" s="11" t="s">
        <v>985</v>
      </c>
      <c r="C971" s="7" t="s">
        <v>1039</v>
      </c>
      <c r="D971" s="7">
        <v>970</v>
      </c>
      <c r="E971" s="7">
        <v>970</v>
      </c>
      <c r="F971" s="7">
        <v>970</v>
      </c>
      <c r="G971" s="11" t="s">
        <v>1024</v>
      </c>
      <c r="H971" s="20">
        <v>110972</v>
      </c>
      <c r="I971" s="12">
        <v>45506</v>
      </c>
      <c r="J971" s="12">
        <v>46114</v>
      </c>
      <c r="K971" s="25">
        <v>110054</v>
      </c>
      <c r="L971" s="23">
        <v>918</v>
      </c>
      <c r="M971" s="11"/>
      <c r="N971" s="7" t="str">
        <f ca="1">_xlfn.IFNA(VLOOKUP("2"&amp;B971,CountSpecific!E:F,2,0),"")</f>
        <v/>
      </c>
      <c r="O971" s="14" t="str">
        <f ca="1">_xlfn.IFNA(VLOOKUP("3"&amp;B971,CountSpecific!E:F,2,0),"")</f>
        <v/>
      </c>
      <c r="P971" s="7" t="str">
        <f ca="1">_xlfn.IFNA(VLOOKUP("4"&amp;B971,CountSpecific!E:F,2,0),"")</f>
        <v/>
      </c>
    </row>
    <row r="972" spans="1:16" customFormat="1" x14ac:dyDescent="0.25">
      <c r="A972" s="7">
        <v>971</v>
      </c>
      <c r="B972" s="11" t="s">
        <v>986</v>
      </c>
      <c r="C972" s="7" t="s">
        <v>1039</v>
      </c>
      <c r="D972" s="7">
        <v>971</v>
      </c>
      <c r="E972" s="7">
        <v>971</v>
      </c>
      <c r="F972" s="7">
        <v>971</v>
      </c>
      <c r="G972" s="11" t="s">
        <v>1021</v>
      </c>
      <c r="H972" s="20">
        <v>89366</v>
      </c>
      <c r="I972" s="12">
        <v>44088</v>
      </c>
      <c r="J972" s="12">
        <v>44118</v>
      </c>
      <c r="K972" s="25">
        <v>11197</v>
      </c>
      <c r="L972" s="23">
        <v>78169</v>
      </c>
      <c r="M972" s="11"/>
      <c r="N972" s="7" t="str">
        <f ca="1">_xlfn.IFNA(VLOOKUP("2"&amp;B972,CountSpecific!E:F,2,0),"")</f>
        <v/>
      </c>
      <c r="O972" s="14" t="str">
        <f ca="1">_xlfn.IFNA(VLOOKUP("3"&amp;B972,CountSpecific!E:F,2,0),"")</f>
        <v/>
      </c>
      <c r="P972" s="7" t="str">
        <f ca="1">_xlfn.IFNA(VLOOKUP("4"&amp;B972,CountSpecific!E:F,2,0),"")</f>
        <v/>
      </c>
    </row>
    <row r="973" spans="1:16" customFormat="1" x14ac:dyDescent="0.25">
      <c r="A973" s="7">
        <v>972</v>
      </c>
      <c r="B973" s="11" t="s">
        <v>987</v>
      </c>
      <c r="C973" s="7" t="s">
        <v>1039</v>
      </c>
      <c r="D973" s="7">
        <v>972</v>
      </c>
      <c r="E973" s="9">
        <v>972</v>
      </c>
      <c r="F973" s="7">
        <v>972</v>
      </c>
      <c r="G973" s="11" t="s">
        <v>1016</v>
      </c>
      <c r="H973" s="20">
        <v>5202</v>
      </c>
      <c r="I973" s="12">
        <v>43860</v>
      </c>
      <c r="J973" s="12">
        <v>43920</v>
      </c>
      <c r="K973" s="25">
        <v>2702</v>
      </c>
      <c r="L973" s="23">
        <v>2500</v>
      </c>
      <c r="M973" s="11"/>
      <c r="N973" s="7" t="str">
        <f ca="1">_xlfn.IFNA(VLOOKUP("2"&amp;B973,CountSpecific!E:F,2,0),"")</f>
        <v/>
      </c>
      <c r="O973" s="14" t="str">
        <f ca="1">_xlfn.IFNA(VLOOKUP("3"&amp;B973,CountSpecific!E:F,2,0),"")</f>
        <v/>
      </c>
      <c r="P973" s="7" t="str">
        <f ca="1">_xlfn.IFNA(VLOOKUP("4"&amp;B973,CountSpecific!E:F,2,0),"")</f>
        <v/>
      </c>
    </row>
    <row r="974" spans="1:16" customFormat="1" x14ac:dyDescent="0.25">
      <c r="A974" s="7">
        <v>973</v>
      </c>
      <c r="B974" s="11" t="s">
        <v>988</v>
      </c>
      <c r="C974" s="7" t="s">
        <v>1039</v>
      </c>
      <c r="D974" s="7">
        <v>973</v>
      </c>
      <c r="E974" s="7">
        <v>973</v>
      </c>
      <c r="F974" s="7">
        <v>973</v>
      </c>
      <c r="G974" s="11" t="s">
        <v>1024</v>
      </c>
      <c r="H974" s="20">
        <v>377752</v>
      </c>
      <c r="I974" s="12">
        <v>45498</v>
      </c>
      <c r="J974" s="12">
        <v>46198</v>
      </c>
      <c r="K974" s="25">
        <v>253836</v>
      </c>
      <c r="L974" s="23">
        <v>123916</v>
      </c>
      <c r="M974" s="11"/>
      <c r="N974" s="7" t="str">
        <f ca="1">_xlfn.IFNA(VLOOKUP("2"&amp;B974,CountSpecific!E:F,2,0),"")</f>
        <v/>
      </c>
      <c r="O974" s="14" t="str">
        <f ca="1">_xlfn.IFNA(VLOOKUP("3"&amp;B974,CountSpecific!E:F,2,0),"")</f>
        <v/>
      </c>
      <c r="P974" s="7" t="str">
        <f ca="1">_xlfn.IFNA(VLOOKUP("4"&amp;B974,CountSpecific!E:F,2,0),"")</f>
        <v/>
      </c>
    </row>
    <row r="975" spans="1:16" customFormat="1" x14ac:dyDescent="0.25">
      <c r="A975" s="7">
        <v>974</v>
      </c>
      <c r="B975" s="11" t="s">
        <v>989</v>
      </c>
      <c r="C975" s="7" t="s">
        <v>1039</v>
      </c>
      <c r="D975" s="7">
        <v>974</v>
      </c>
      <c r="E975" s="7">
        <v>974</v>
      </c>
      <c r="F975" s="7">
        <v>974</v>
      </c>
      <c r="G975" s="11" t="s">
        <v>1016</v>
      </c>
      <c r="H975" s="20">
        <v>9594</v>
      </c>
      <c r="I975" s="12">
        <v>44273</v>
      </c>
      <c r="J975" s="12">
        <v>44669</v>
      </c>
      <c r="K975" s="25">
        <v>4702</v>
      </c>
      <c r="L975" s="23">
        <v>4892</v>
      </c>
      <c r="M975" s="11"/>
      <c r="N975" s="7" t="str">
        <f ca="1">_xlfn.IFNA(VLOOKUP("2"&amp;B975,CountSpecific!E:F,2,0),"")</f>
        <v/>
      </c>
      <c r="O975" s="14" t="str">
        <f ca="1">_xlfn.IFNA(VLOOKUP("3"&amp;B975,CountSpecific!E:F,2,0),"")</f>
        <v/>
      </c>
      <c r="P975" s="7" t="str">
        <f ca="1">_xlfn.IFNA(VLOOKUP("4"&amp;B975,CountSpecific!E:F,2,0),"")</f>
        <v/>
      </c>
    </row>
    <row r="976" spans="1:16" customFormat="1" x14ac:dyDescent="0.25">
      <c r="A976" s="7">
        <v>975</v>
      </c>
      <c r="B976" s="11" t="s">
        <v>990</v>
      </c>
      <c r="C976" s="7" t="s">
        <v>1039</v>
      </c>
      <c r="D976" s="7">
        <v>975</v>
      </c>
      <c r="E976" s="9">
        <v>975</v>
      </c>
      <c r="F976" s="7">
        <v>975</v>
      </c>
      <c r="G976" s="11" t="s">
        <v>1020</v>
      </c>
      <c r="H976" s="20">
        <v>78812</v>
      </c>
      <c r="I976" s="12">
        <v>44553</v>
      </c>
      <c r="J976" s="12">
        <v>45039</v>
      </c>
      <c r="K976" s="25">
        <v>3806</v>
      </c>
      <c r="L976" s="23">
        <v>75006</v>
      </c>
      <c r="M976" s="11"/>
      <c r="N976" s="7" t="str">
        <f ca="1">_xlfn.IFNA(VLOOKUP("2"&amp;B976,CountSpecific!E:F,2,0),"")</f>
        <v/>
      </c>
      <c r="O976" s="14" t="str">
        <f ca="1">_xlfn.IFNA(VLOOKUP("3"&amp;B976,CountSpecific!E:F,2,0),"")</f>
        <v/>
      </c>
      <c r="P976" s="7" t="str">
        <f ca="1">_xlfn.IFNA(VLOOKUP("4"&amp;B976,CountSpecific!E:F,2,0),"")</f>
        <v/>
      </c>
    </row>
    <row r="977" spans="1:16" customFormat="1" x14ac:dyDescent="0.25">
      <c r="A977" s="7">
        <v>976</v>
      </c>
      <c r="B977" s="11" t="s">
        <v>991</v>
      </c>
      <c r="C977" s="7" t="s">
        <v>1039</v>
      </c>
      <c r="D977" s="7">
        <v>976</v>
      </c>
      <c r="E977" s="7">
        <v>976</v>
      </c>
      <c r="F977" s="7">
        <v>976</v>
      </c>
      <c r="G977" s="11" t="s">
        <v>1023</v>
      </c>
      <c r="H977" s="20">
        <v>282</v>
      </c>
      <c r="I977" s="12">
        <v>44016</v>
      </c>
      <c r="J977" s="12">
        <v>44412</v>
      </c>
      <c r="K977" s="25">
        <v>162</v>
      </c>
      <c r="L977" s="23">
        <v>120</v>
      </c>
      <c r="M977" s="11"/>
      <c r="N977" s="7" t="str">
        <f ca="1">_xlfn.IFNA(VLOOKUP("2"&amp;B977,CountSpecific!E:F,2,0),"")</f>
        <v/>
      </c>
      <c r="O977" s="14" t="str">
        <f ca="1">_xlfn.IFNA(VLOOKUP("3"&amp;B977,CountSpecific!E:F,2,0),"")</f>
        <v/>
      </c>
      <c r="P977" s="7" t="str">
        <f ca="1">_xlfn.IFNA(VLOOKUP("4"&amp;B977,CountSpecific!E:F,2,0),"")</f>
        <v/>
      </c>
    </row>
    <row r="978" spans="1:16" customFormat="1" x14ac:dyDescent="0.25">
      <c r="A978" s="7">
        <v>977</v>
      </c>
      <c r="B978" s="11" t="s">
        <v>992</v>
      </c>
      <c r="C978" s="7" t="s">
        <v>1039</v>
      </c>
      <c r="D978" s="7">
        <v>977</v>
      </c>
      <c r="E978" s="7">
        <v>977</v>
      </c>
      <c r="F978" s="7">
        <v>977</v>
      </c>
      <c r="G978" s="11" t="s">
        <v>1025</v>
      </c>
      <c r="H978" s="20">
        <v>119705</v>
      </c>
      <c r="I978" s="12">
        <v>45462</v>
      </c>
      <c r="J978" s="12">
        <v>45949</v>
      </c>
      <c r="K978" s="25">
        <v>79972</v>
      </c>
      <c r="L978" s="23">
        <v>39733</v>
      </c>
      <c r="M978" s="11"/>
      <c r="N978" s="7" t="str">
        <f ca="1">_xlfn.IFNA(VLOOKUP("2"&amp;B978,CountSpecific!E:F,2,0),"")</f>
        <v/>
      </c>
      <c r="O978" s="14" t="str">
        <f ca="1">_xlfn.IFNA(VLOOKUP("3"&amp;B978,CountSpecific!E:F,2,0),"")</f>
        <v/>
      </c>
      <c r="P978" s="7" t="str">
        <f ca="1">_xlfn.IFNA(VLOOKUP("4"&amp;B978,CountSpecific!E:F,2,0),"")</f>
        <v/>
      </c>
    </row>
    <row r="979" spans="1:16" customFormat="1" x14ac:dyDescent="0.25">
      <c r="A979" s="7">
        <v>978</v>
      </c>
      <c r="B979" s="11" t="s">
        <v>993</v>
      </c>
      <c r="C979" s="7" t="s">
        <v>1039</v>
      </c>
      <c r="D979" s="7">
        <v>978</v>
      </c>
      <c r="E979" s="9">
        <v>978</v>
      </c>
      <c r="F979" s="7">
        <v>978</v>
      </c>
      <c r="G979" s="11" t="s">
        <v>1027</v>
      </c>
      <c r="H979" s="20">
        <v>23996</v>
      </c>
      <c r="I979" s="12">
        <v>44393</v>
      </c>
      <c r="J979" s="12">
        <v>44546</v>
      </c>
      <c r="K979" s="25">
        <v>20963</v>
      </c>
      <c r="L979" s="23">
        <v>3033</v>
      </c>
      <c r="M979" s="11"/>
      <c r="N979" s="7" t="str">
        <f ca="1">_xlfn.IFNA(VLOOKUP("2"&amp;B979,CountSpecific!E:F,2,0),"")</f>
        <v/>
      </c>
      <c r="O979" s="14" t="str">
        <f ca="1">_xlfn.IFNA(VLOOKUP("3"&amp;B979,CountSpecific!E:F,2,0),"")</f>
        <v/>
      </c>
      <c r="P979" s="7" t="str">
        <f ca="1">_xlfn.IFNA(VLOOKUP("4"&amp;B979,CountSpecific!E:F,2,0),"")</f>
        <v/>
      </c>
    </row>
    <row r="980" spans="1:16" customFormat="1" x14ac:dyDescent="0.25">
      <c r="A980" s="7">
        <v>979</v>
      </c>
      <c r="B980" s="11" t="s">
        <v>994</v>
      </c>
      <c r="C980" s="7" t="s">
        <v>1039</v>
      </c>
      <c r="D980" s="7">
        <v>979</v>
      </c>
      <c r="E980" s="7">
        <v>979</v>
      </c>
      <c r="F980" s="7">
        <v>979</v>
      </c>
      <c r="G980" s="11" t="s">
        <v>1024</v>
      </c>
      <c r="H980" s="20">
        <v>297844</v>
      </c>
      <c r="I980" s="12">
        <v>44064</v>
      </c>
      <c r="J980" s="12">
        <v>44307</v>
      </c>
      <c r="K980" s="25">
        <v>90665</v>
      </c>
      <c r="L980" s="23">
        <v>207179</v>
      </c>
      <c r="M980" s="11"/>
      <c r="N980" s="7" t="str">
        <f ca="1">_xlfn.IFNA(VLOOKUP("2"&amp;B980,CountSpecific!E:F,2,0),"")</f>
        <v/>
      </c>
      <c r="O980" s="14" t="str">
        <f ca="1">_xlfn.IFNA(VLOOKUP("3"&amp;B980,CountSpecific!E:F,2,0),"")</f>
        <v/>
      </c>
      <c r="P980" s="7" t="str">
        <f ca="1">_xlfn.IFNA(VLOOKUP("4"&amp;B980,CountSpecific!E:F,2,0),"")</f>
        <v/>
      </c>
    </row>
    <row r="981" spans="1:16" customFormat="1" x14ac:dyDescent="0.25">
      <c r="A981" s="7">
        <v>980</v>
      </c>
      <c r="B981" s="11" t="s">
        <v>995</v>
      </c>
      <c r="C981" s="7" t="s">
        <v>1039</v>
      </c>
      <c r="D981" s="7">
        <v>980</v>
      </c>
      <c r="E981" s="7">
        <v>980</v>
      </c>
      <c r="F981" s="7">
        <v>980</v>
      </c>
      <c r="G981" s="11" t="s">
        <v>1027</v>
      </c>
      <c r="H981" s="20">
        <v>19645</v>
      </c>
      <c r="I981" s="12">
        <v>44851</v>
      </c>
      <c r="J981" s="12">
        <v>45339</v>
      </c>
      <c r="K981" s="25">
        <v>2544</v>
      </c>
      <c r="L981" s="23">
        <v>17101</v>
      </c>
      <c r="M981" s="11"/>
      <c r="N981" s="7" t="str">
        <f ca="1">_xlfn.IFNA(VLOOKUP("2"&amp;B981,CountSpecific!E:F,2,0),"")</f>
        <v/>
      </c>
      <c r="O981" s="14" t="str">
        <f ca="1">_xlfn.IFNA(VLOOKUP("3"&amp;B981,CountSpecific!E:F,2,0),"")</f>
        <v/>
      </c>
      <c r="P981" s="7" t="str">
        <f ca="1">_xlfn.IFNA(VLOOKUP("4"&amp;B981,CountSpecific!E:F,2,0),"")</f>
        <v/>
      </c>
    </row>
    <row r="982" spans="1:16" customFormat="1" x14ac:dyDescent="0.25">
      <c r="A982" s="7">
        <v>981</v>
      </c>
      <c r="B982" s="11" t="s">
        <v>996</v>
      </c>
      <c r="C982" s="7" t="s">
        <v>1039</v>
      </c>
      <c r="D982" s="7">
        <v>981</v>
      </c>
      <c r="E982" s="9">
        <v>981</v>
      </c>
      <c r="F982" s="7">
        <v>981</v>
      </c>
      <c r="G982" s="11" t="s">
        <v>1022</v>
      </c>
      <c r="H982" s="20">
        <v>21868</v>
      </c>
      <c r="I982" s="12">
        <v>43929</v>
      </c>
      <c r="J982" s="12">
        <v>44600</v>
      </c>
      <c r="K982" s="25">
        <v>9558</v>
      </c>
      <c r="L982" s="23">
        <v>12310</v>
      </c>
      <c r="M982" s="11"/>
      <c r="N982" s="7" t="str">
        <f ca="1">_xlfn.IFNA(VLOOKUP("2"&amp;B982,CountSpecific!E:F,2,0),"")</f>
        <v/>
      </c>
      <c r="O982" s="14" t="str">
        <f ca="1">_xlfn.IFNA(VLOOKUP("3"&amp;B982,CountSpecific!E:F,2,0),"")</f>
        <v/>
      </c>
      <c r="P982" s="7" t="str">
        <f ca="1">_xlfn.IFNA(VLOOKUP("4"&amp;B982,CountSpecific!E:F,2,0),"")</f>
        <v/>
      </c>
    </row>
    <row r="983" spans="1:16" customFormat="1" x14ac:dyDescent="0.25">
      <c r="A983" s="7">
        <v>982</v>
      </c>
      <c r="B983" s="11" t="s">
        <v>997</v>
      </c>
      <c r="C983" s="7" t="s">
        <v>1039</v>
      </c>
      <c r="D983" s="7">
        <v>982</v>
      </c>
      <c r="E983" s="7">
        <v>982</v>
      </c>
      <c r="F983" s="7">
        <v>982</v>
      </c>
      <c r="G983" s="11" t="s">
        <v>1016</v>
      </c>
      <c r="H983" s="20">
        <v>33076</v>
      </c>
      <c r="I983" s="12">
        <v>45242</v>
      </c>
      <c r="J983" s="12">
        <v>45303</v>
      </c>
      <c r="K983" s="25">
        <v>9595</v>
      </c>
      <c r="L983" s="23">
        <v>23481</v>
      </c>
      <c r="M983" s="11"/>
      <c r="N983" s="7" t="str">
        <f ca="1">_xlfn.IFNA(VLOOKUP("2"&amp;B983,CountSpecific!E:F,2,0),"")</f>
        <v/>
      </c>
      <c r="O983" s="14" t="str">
        <f ca="1">_xlfn.IFNA(VLOOKUP("3"&amp;B983,CountSpecific!E:F,2,0),"")</f>
        <v/>
      </c>
      <c r="P983" s="7" t="str">
        <f ca="1">_xlfn.IFNA(VLOOKUP("4"&amp;B983,CountSpecific!E:F,2,0),"")</f>
        <v/>
      </c>
    </row>
    <row r="984" spans="1:16" customFormat="1" x14ac:dyDescent="0.25">
      <c r="A984" s="7">
        <v>983</v>
      </c>
      <c r="B984" s="11" t="s">
        <v>998</v>
      </c>
      <c r="C984" s="7" t="s">
        <v>1039</v>
      </c>
      <c r="D984" s="7">
        <v>983</v>
      </c>
      <c r="E984" s="7">
        <v>983</v>
      </c>
      <c r="F984" s="7">
        <v>983</v>
      </c>
      <c r="G984" s="11" t="s">
        <v>1020</v>
      </c>
      <c r="H984" s="20">
        <v>237718</v>
      </c>
      <c r="I984" s="12">
        <v>44540</v>
      </c>
      <c r="J984" s="12">
        <v>44875</v>
      </c>
      <c r="K984" s="25">
        <v>3439</v>
      </c>
      <c r="L984" s="23">
        <v>234279</v>
      </c>
      <c r="M984" s="11"/>
      <c r="N984" s="7" t="str">
        <f ca="1">_xlfn.IFNA(VLOOKUP("2"&amp;B984,CountSpecific!E:F,2,0),"")</f>
        <v/>
      </c>
      <c r="O984" s="14" t="str">
        <f ca="1">_xlfn.IFNA(VLOOKUP("3"&amp;B984,CountSpecific!E:F,2,0),"")</f>
        <v/>
      </c>
      <c r="P984" s="7" t="str">
        <f ca="1">_xlfn.IFNA(VLOOKUP("4"&amp;B984,CountSpecific!E:F,2,0),"")</f>
        <v/>
      </c>
    </row>
    <row r="985" spans="1:16" customFormat="1" x14ac:dyDescent="0.25">
      <c r="A985" s="7">
        <v>984</v>
      </c>
      <c r="B985" s="11" t="s">
        <v>999</v>
      </c>
      <c r="C985" s="7" t="s">
        <v>1039</v>
      </c>
      <c r="D985" s="7">
        <v>984</v>
      </c>
      <c r="E985" s="9">
        <v>984</v>
      </c>
      <c r="F985" s="7">
        <v>984</v>
      </c>
      <c r="G985" s="11" t="s">
        <v>1027</v>
      </c>
      <c r="H985" s="20">
        <v>28368</v>
      </c>
      <c r="I985" s="12">
        <v>45572</v>
      </c>
      <c r="J985" s="12">
        <v>45695</v>
      </c>
      <c r="K985" s="25">
        <v>20209</v>
      </c>
      <c r="L985" s="23">
        <v>8159</v>
      </c>
      <c r="M985" s="11"/>
      <c r="N985" s="7" t="str">
        <f ca="1">_xlfn.IFNA(VLOOKUP("2"&amp;B985,CountSpecific!E:F,2,0),"")</f>
        <v/>
      </c>
      <c r="O985" s="14" t="str">
        <f ca="1">_xlfn.IFNA(VLOOKUP("3"&amp;B985,CountSpecific!E:F,2,0),"")</f>
        <v/>
      </c>
      <c r="P985" s="7" t="str">
        <f ca="1">_xlfn.IFNA(VLOOKUP("4"&amp;B985,CountSpecific!E:F,2,0),"")</f>
        <v/>
      </c>
    </row>
    <row r="986" spans="1:16" customFormat="1" x14ac:dyDescent="0.25">
      <c r="A986" s="7">
        <v>985</v>
      </c>
      <c r="B986" s="11" t="s">
        <v>1000</v>
      </c>
      <c r="C986" s="7" t="s">
        <v>1039</v>
      </c>
      <c r="D986" s="7">
        <v>985</v>
      </c>
      <c r="E986" s="7">
        <v>985</v>
      </c>
      <c r="F986" s="7">
        <v>985</v>
      </c>
      <c r="G986" s="11" t="s">
        <v>1027</v>
      </c>
      <c r="H986" s="20">
        <v>25117</v>
      </c>
      <c r="I986" s="12">
        <v>45315</v>
      </c>
      <c r="J986" s="12">
        <v>46015</v>
      </c>
      <c r="K986" s="25">
        <v>17612</v>
      </c>
      <c r="L986" s="23">
        <v>7505</v>
      </c>
      <c r="M986" s="11"/>
      <c r="N986" s="7" t="str">
        <f ca="1">_xlfn.IFNA(VLOOKUP("2"&amp;B986,CountSpecific!E:F,2,0),"")</f>
        <v/>
      </c>
      <c r="O986" s="14" t="str">
        <f ca="1">_xlfn.IFNA(VLOOKUP("3"&amp;B986,CountSpecific!E:F,2,0),"")</f>
        <v/>
      </c>
      <c r="P986" s="7" t="str">
        <f ca="1">_xlfn.IFNA(VLOOKUP("4"&amp;B986,CountSpecific!E:F,2,0),"")</f>
        <v/>
      </c>
    </row>
    <row r="987" spans="1:16" customFormat="1" x14ac:dyDescent="0.25">
      <c r="A987" s="7">
        <v>986</v>
      </c>
      <c r="B987" s="11" t="s">
        <v>1001</v>
      </c>
      <c r="C987" s="7" t="s">
        <v>1039</v>
      </c>
      <c r="D987" s="7">
        <v>986</v>
      </c>
      <c r="E987" s="7">
        <v>986</v>
      </c>
      <c r="F987" s="7">
        <v>986</v>
      </c>
      <c r="G987" s="11" t="s">
        <v>1027</v>
      </c>
      <c r="H987" s="20">
        <v>33921</v>
      </c>
      <c r="I987" s="12">
        <v>45463</v>
      </c>
      <c r="J987" s="12">
        <v>45889</v>
      </c>
      <c r="K987" s="25">
        <v>25451</v>
      </c>
      <c r="L987" s="23">
        <v>8470</v>
      </c>
      <c r="M987" s="11"/>
      <c r="N987" s="7" t="str">
        <f ca="1">_xlfn.IFNA(VLOOKUP("2"&amp;B987,CountSpecific!E:F,2,0),"")</f>
        <v/>
      </c>
      <c r="O987" s="14" t="str">
        <f ca="1">_xlfn.IFNA(VLOOKUP("3"&amp;B987,CountSpecific!E:F,2,0),"")</f>
        <v/>
      </c>
      <c r="P987" s="7" t="str">
        <f ca="1">_xlfn.IFNA(VLOOKUP("4"&amp;B987,CountSpecific!E:F,2,0),"")</f>
        <v/>
      </c>
    </row>
    <row r="988" spans="1:16" customFormat="1" x14ac:dyDescent="0.25">
      <c r="A988" s="7">
        <v>987</v>
      </c>
      <c r="B988" s="11" t="s">
        <v>1002</v>
      </c>
      <c r="C988" s="7" t="s">
        <v>1039</v>
      </c>
      <c r="D988" s="7">
        <v>987</v>
      </c>
      <c r="E988" s="9">
        <v>987</v>
      </c>
      <c r="F988" s="7">
        <v>987</v>
      </c>
      <c r="G988" s="11" t="s">
        <v>1020</v>
      </c>
      <c r="H988" s="20">
        <v>185205</v>
      </c>
      <c r="I988" s="12">
        <v>45229</v>
      </c>
      <c r="J988" s="12">
        <v>45412</v>
      </c>
      <c r="K988" s="25">
        <v>105795</v>
      </c>
      <c r="L988" s="23">
        <v>79410</v>
      </c>
      <c r="M988" s="11"/>
      <c r="N988" s="7" t="str">
        <f ca="1">_xlfn.IFNA(VLOOKUP("2"&amp;B988,CountSpecific!E:F,2,0),"")</f>
        <v/>
      </c>
      <c r="O988" s="14" t="str">
        <f ca="1">_xlfn.IFNA(VLOOKUP("3"&amp;B988,CountSpecific!E:F,2,0),"")</f>
        <v/>
      </c>
      <c r="P988" s="7" t="str">
        <f ca="1">_xlfn.IFNA(VLOOKUP("4"&amp;B988,CountSpecific!E:F,2,0),"")</f>
        <v/>
      </c>
    </row>
    <row r="989" spans="1:16" customFormat="1" x14ac:dyDescent="0.25">
      <c r="A989" s="7">
        <v>988</v>
      </c>
      <c r="B989" s="11" t="s">
        <v>1003</v>
      </c>
      <c r="C989" s="7" t="s">
        <v>1039</v>
      </c>
      <c r="D989" s="7">
        <v>988</v>
      </c>
      <c r="E989" s="7">
        <v>988</v>
      </c>
      <c r="F989" s="7">
        <v>988</v>
      </c>
      <c r="G989" s="11" t="s">
        <v>1024</v>
      </c>
      <c r="H989" s="20">
        <v>895194</v>
      </c>
      <c r="I989" s="12">
        <v>45080</v>
      </c>
      <c r="J989" s="12">
        <v>45141</v>
      </c>
      <c r="K989" s="25">
        <v>794986</v>
      </c>
      <c r="L989" s="23">
        <v>100208</v>
      </c>
      <c r="M989" s="11"/>
      <c r="N989" s="7" t="str">
        <f ca="1">_xlfn.IFNA(VLOOKUP("2"&amp;B989,CountSpecific!E:F,2,0),"")</f>
        <v/>
      </c>
      <c r="O989" s="14" t="str">
        <f ca="1">_xlfn.IFNA(VLOOKUP("3"&amp;B989,CountSpecific!E:F,2,0),"")</f>
        <v/>
      </c>
      <c r="P989" s="7" t="str">
        <f ca="1">_xlfn.IFNA(VLOOKUP("4"&amp;B989,CountSpecific!E:F,2,0),"")</f>
        <v/>
      </c>
    </row>
    <row r="990" spans="1:16" customFormat="1" x14ac:dyDescent="0.25">
      <c r="A990" s="7">
        <v>989</v>
      </c>
      <c r="B990" s="11" t="s">
        <v>1004</v>
      </c>
      <c r="C990" s="7" t="s">
        <v>1039</v>
      </c>
      <c r="D990" s="7">
        <v>989</v>
      </c>
      <c r="E990" s="7">
        <v>989</v>
      </c>
      <c r="F990" s="7">
        <v>989</v>
      </c>
      <c r="G990" s="11" t="s">
        <v>1027</v>
      </c>
      <c r="H990" s="20">
        <v>32417</v>
      </c>
      <c r="I990" s="12">
        <v>45005</v>
      </c>
      <c r="J990" s="12">
        <v>45311</v>
      </c>
      <c r="K990" s="25">
        <v>15488</v>
      </c>
      <c r="L990" s="23">
        <v>16929</v>
      </c>
      <c r="M990" s="11"/>
      <c r="N990" s="7" t="str">
        <f ca="1">_xlfn.IFNA(VLOOKUP("2"&amp;B990,CountSpecific!E:F,2,0),"")</f>
        <v/>
      </c>
      <c r="O990" s="14" t="str">
        <f ca="1">_xlfn.IFNA(VLOOKUP("3"&amp;B990,CountSpecific!E:F,2,0),"")</f>
        <v/>
      </c>
      <c r="P990" s="7" t="str">
        <f ca="1">_xlfn.IFNA(VLOOKUP("4"&amp;B990,CountSpecific!E:F,2,0),"")</f>
        <v/>
      </c>
    </row>
    <row r="991" spans="1:16" customFormat="1" x14ac:dyDescent="0.25">
      <c r="A991" s="7">
        <v>990</v>
      </c>
      <c r="B991" s="11" t="s">
        <v>1005</v>
      </c>
      <c r="C991" s="7" t="s">
        <v>1039</v>
      </c>
      <c r="D991" s="7">
        <v>990</v>
      </c>
      <c r="E991" s="9">
        <v>990</v>
      </c>
      <c r="F991" s="7">
        <v>990</v>
      </c>
      <c r="G991" s="11" t="s">
        <v>1026</v>
      </c>
      <c r="H991" s="20">
        <v>1301526</v>
      </c>
      <c r="I991" s="12">
        <v>44138</v>
      </c>
      <c r="J991" s="12">
        <v>44319</v>
      </c>
      <c r="K991" s="25">
        <v>441110</v>
      </c>
      <c r="L991" s="23">
        <v>860416</v>
      </c>
      <c r="M991" s="11"/>
      <c r="N991" s="7" t="str">
        <f ca="1">_xlfn.IFNA(VLOOKUP("2"&amp;B991,CountSpecific!E:F,2,0),"")</f>
        <v/>
      </c>
      <c r="O991" s="14" t="str">
        <f ca="1">_xlfn.IFNA(VLOOKUP("3"&amp;B991,CountSpecific!E:F,2,0),"")</f>
        <v/>
      </c>
      <c r="P991" s="7" t="str">
        <f ca="1">_xlfn.IFNA(VLOOKUP("4"&amp;B991,CountSpecific!E:F,2,0),"")</f>
        <v/>
      </c>
    </row>
    <row r="992" spans="1:16" customFormat="1" x14ac:dyDescent="0.25">
      <c r="A992" s="7">
        <v>991</v>
      </c>
      <c r="B992" s="11" t="s">
        <v>1006</v>
      </c>
      <c r="C992" s="7" t="s">
        <v>1039</v>
      </c>
      <c r="D992" s="7">
        <v>991</v>
      </c>
      <c r="E992" s="7">
        <v>991</v>
      </c>
      <c r="F992" s="7">
        <v>991</v>
      </c>
      <c r="G992" s="11" t="s">
        <v>1016</v>
      </c>
      <c r="H992" s="20">
        <v>4121</v>
      </c>
      <c r="I992" s="12">
        <v>44363</v>
      </c>
      <c r="J992" s="12">
        <v>44546</v>
      </c>
      <c r="K992" s="25">
        <v>664</v>
      </c>
      <c r="L992" s="23">
        <v>3457</v>
      </c>
      <c r="M992" s="11"/>
      <c r="N992" s="7" t="str">
        <f ca="1">_xlfn.IFNA(VLOOKUP("2"&amp;B992,CountSpecific!E:F,2,0),"")</f>
        <v/>
      </c>
      <c r="O992" s="14" t="str">
        <f ca="1">_xlfn.IFNA(VLOOKUP("3"&amp;B992,CountSpecific!E:F,2,0),"")</f>
        <v/>
      </c>
      <c r="P992" s="7" t="str">
        <f ca="1">_xlfn.IFNA(VLOOKUP("4"&amp;B992,CountSpecific!E:F,2,0),"")</f>
        <v/>
      </c>
    </row>
    <row r="993" spans="1:16" customFormat="1" x14ac:dyDescent="0.25">
      <c r="A993" s="7">
        <v>992</v>
      </c>
      <c r="B993" s="11" t="s">
        <v>1007</v>
      </c>
      <c r="C993" s="7" t="s">
        <v>1039</v>
      </c>
      <c r="D993" s="7">
        <v>992</v>
      </c>
      <c r="E993" s="7">
        <v>992</v>
      </c>
      <c r="F993" s="7">
        <v>992</v>
      </c>
      <c r="G993" s="11" t="s">
        <v>1025</v>
      </c>
      <c r="H993" s="20">
        <v>216411</v>
      </c>
      <c r="I993" s="12">
        <v>44970</v>
      </c>
      <c r="J993" s="12">
        <v>45486</v>
      </c>
      <c r="K993" s="25">
        <v>111153</v>
      </c>
      <c r="L993" s="23">
        <v>105258</v>
      </c>
      <c r="M993" s="11"/>
      <c r="N993" s="7" t="str">
        <f ca="1">_xlfn.IFNA(VLOOKUP("2"&amp;B993,CountSpecific!E:F,2,0),"")</f>
        <v/>
      </c>
      <c r="O993" s="14" t="str">
        <f ca="1">_xlfn.IFNA(VLOOKUP("3"&amp;B993,CountSpecific!E:F,2,0),"")</f>
        <v/>
      </c>
      <c r="P993" s="7" t="str">
        <f ca="1">_xlfn.IFNA(VLOOKUP("4"&amp;B993,CountSpecific!E:F,2,0),"")</f>
        <v/>
      </c>
    </row>
    <row r="994" spans="1:16" customFormat="1" x14ac:dyDescent="0.25">
      <c r="A994" s="7">
        <v>993</v>
      </c>
      <c r="B994" s="11" t="s">
        <v>1008</v>
      </c>
      <c r="C994" s="7" t="s">
        <v>1039</v>
      </c>
      <c r="D994" s="7">
        <v>993</v>
      </c>
      <c r="E994" s="9">
        <v>993</v>
      </c>
      <c r="F994" s="7">
        <v>993</v>
      </c>
      <c r="G994" s="11" t="s">
        <v>1025</v>
      </c>
      <c r="H994" s="20">
        <v>400824</v>
      </c>
      <c r="I994" s="12">
        <v>45360</v>
      </c>
      <c r="J994" s="12">
        <v>45817</v>
      </c>
      <c r="K994" s="25">
        <v>304609</v>
      </c>
      <c r="L994" s="23">
        <v>96215</v>
      </c>
      <c r="M994" s="11"/>
      <c r="N994" s="7" t="str">
        <f ca="1">_xlfn.IFNA(VLOOKUP("2"&amp;B994,CountSpecific!E:F,2,0),"")</f>
        <v/>
      </c>
      <c r="O994" s="14" t="str">
        <f ca="1">_xlfn.IFNA(VLOOKUP("3"&amp;B994,CountSpecific!E:F,2,0),"")</f>
        <v/>
      </c>
      <c r="P994" s="7" t="str">
        <f ca="1">_xlfn.IFNA(VLOOKUP("4"&amp;B994,CountSpecific!E:F,2,0),"")</f>
        <v/>
      </c>
    </row>
    <row r="995" spans="1:16" customFormat="1" x14ac:dyDescent="0.25">
      <c r="A995" s="7">
        <v>994</v>
      </c>
      <c r="B995" s="11" t="s">
        <v>1009</v>
      </c>
      <c r="C995" s="7" t="s">
        <v>1039</v>
      </c>
      <c r="D995" s="7">
        <v>994</v>
      </c>
      <c r="E995" s="7">
        <v>994</v>
      </c>
      <c r="F995" s="7">
        <v>994</v>
      </c>
      <c r="G995" s="11" t="s">
        <v>1023</v>
      </c>
      <c r="H995" s="20">
        <v>1292</v>
      </c>
      <c r="I995" s="12">
        <v>44668</v>
      </c>
      <c r="J995" s="12">
        <v>45308</v>
      </c>
      <c r="K995" s="25">
        <v>620</v>
      </c>
      <c r="L995" s="23">
        <v>672</v>
      </c>
      <c r="M995" s="11"/>
      <c r="N995" s="7" t="str">
        <f ca="1">_xlfn.IFNA(VLOOKUP("2"&amp;B995,CountSpecific!E:F,2,0),"")</f>
        <v/>
      </c>
      <c r="O995" s="14" t="str">
        <f ca="1">_xlfn.IFNA(VLOOKUP("3"&amp;B995,CountSpecific!E:F,2,0),"")</f>
        <v/>
      </c>
      <c r="P995" s="7" t="str">
        <f ca="1">_xlfn.IFNA(VLOOKUP("4"&amp;B995,CountSpecific!E:F,2,0),"")</f>
        <v/>
      </c>
    </row>
    <row r="996" spans="1:16" customFormat="1" x14ac:dyDescent="0.25">
      <c r="A996" s="7">
        <v>995</v>
      </c>
      <c r="B996" s="11" t="s">
        <v>1010</v>
      </c>
      <c r="C996" s="7" t="s">
        <v>1039</v>
      </c>
      <c r="D996" s="7">
        <v>995</v>
      </c>
      <c r="E996" s="7">
        <v>995</v>
      </c>
      <c r="F996" s="7">
        <v>995</v>
      </c>
      <c r="G996" s="11" t="s">
        <v>1021</v>
      </c>
      <c r="H996" s="20">
        <v>54348</v>
      </c>
      <c r="I996" s="12">
        <v>43907</v>
      </c>
      <c r="J996" s="12">
        <v>44547</v>
      </c>
      <c r="K996" s="25">
        <v>3786</v>
      </c>
      <c r="L996" s="23">
        <v>50562</v>
      </c>
      <c r="M996" s="11"/>
      <c r="N996" s="7" t="str">
        <f ca="1">_xlfn.IFNA(VLOOKUP("2"&amp;B996,CountSpecific!E:F,2,0),"")</f>
        <v/>
      </c>
      <c r="O996" s="14" t="str">
        <f ca="1">_xlfn.IFNA(VLOOKUP("3"&amp;B996,CountSpecific!E:F,2,0),"")</f>
        <v/>
      </c>
      <c r="P996" s="7" t="str">
        <f ca="1">_xlfn.IFNA(VLOOKUP("4"&amp;B996,CountSpecific!E:F,2,0),"")</f>
        <v/>
      </c>
    </row>
    <row r="997" spans="1:16" customFormat="1" x14ac:dyDescent="0.25">
      <c r="A997" s="7">
        <v>996</v>
      </c>
      <c r="B997" s="11" t="s">
        <v>1011</v>
      </c>
      <c r="C997" s="7" t="s">
        <v>1039</v>
      </c>
      <c r="D997" s="7">
        <v>996</v>
      </c>
      <c r="E997" s="9">
        <v>996</v>
      </c>
      <c r="F997" s="7">
        <v>996</v>
      </c>
      <c r="G997" s="11" t="s">
        <v>1016</v>
      </c>
      <c r="H997" s="20">
        <v>3904</v>
      </c>
      <c r="I997" s="12">
        <v>44495</v>
      </c>
      <c r="J997" s="12">
        <v>44799</v>
      </c>
      <c r="K997" s="25">
        <v>2821</v>
      </c>
      <c r="L997" s="23">
        <v>1083</v>
      </c>
      <c r="M997" s="11"/>
      <c r="N997" s="7" t="str">
        <f ca="1">_xlfn.IFNA(VLOOKUP("2"&amp;B997,CountSpecific!E:F,2,0),"")</f>
        <v/>
      </c>
      <c r="O997" s="14" t="str">
        <f ca="1">_xlfn.IFNA(VLOOKUP("3"&amp;B997,CountSpecific!E:F,2,0),"")</f>
        <v/>
      </c>
      <c r="P997" s="7" t="str">
        <f ca="1">_xlfn.IFNA(VLOOKUP("4"&amp;B997,CountSpecific!E:F,2,0),"")</f>
        <v/>
      </c>
    </row>
    <row r="998" spans="1:16" customFormat="1" x14ac:dyDescent="0.25">
      <c r="A998" s="7">
        <v>997</v>
      </c>
      <c r="B998" s="11" t="s">
        <v>1012</v>
      </c>
      <c r="C998" s="7" t="s">
        <v>1039</v>
      </c>
      <c r="D998" s="7">
        <v>997</v>
      </c>
      <c r="E998" s="7">
        <v>997</v>
      </c>
      <c r="F998" s="7">
        <v>997</v>
      </c>
      <c r="G998" s="11" t="s">
        <v>1022</v>
      </c>
      <c r="H998" s="20">
        <v>15944</v>
      </c>
      <c r="I998" s="12">
        <v>44535</v>
      </c>
      <c r="J998" s="12">
        <v>45021</v>
      </c>
      <c r="K998" s="25">
        <v>10724</v>
      </c>
      <c r="L998" s="23">
        <v>5220</v>
      </c>
      <c r="M998" s="11"/>
      <c r="N998" s="7" t="str">
        <f ca="1">_xlfn.IFNA(VLOOKUP("2"&amp;B998,CountSpecific!E:F,2,0),"")</f>
        <v/>
      </c>
      <c r="O998" s="14" t="str">
        <f ca="1">_xlfn.IFNA(VLOOKUP("3"&amp;B998,CountSpecific!E:F,2,0),"")</f>
        <v/>
      </c>
      <c r="P998" s="7" t="str">
        <f ca="1">_xlfn.IFNA(VLOOKUP("4"&amp;B998,CountSpecific!E:F,2,0),"")</f>
        <v/>
      </c>
    </row>
    <row r="999" spans="1:16" customFormat="1" x14ac:dyDescent="0.25">
      <c r="A999" s="7">
        <v>998</v>
      </c>
      <c r="B999" s="11" t="s">
        <v>1013</v>
      </c>
      <c r="C999" s="7" t="s">
        <v>1039</v>
      </c>
      <c r="D999" s="7">
        <v>998</v>
      </c>
      <c r="E999" s="7">
        <v>998</v>
      </c>
      <c r="F999" s="7">
        <v>998</v>
      </c>
      <c r="G999" s="11" t="s">
        <v>1027</v>
      </c>
      <c r="H999" s="20">
        <v>37006</v>
      </c>
      <c r="I999" s="12">
        <v>43899</v>
      </c>
      <c r="J999" s="12">
        <v>44295</v>
      </c>
      <c r="K999" s="25">
        <v>44</v>
      </c>
      <c r="L999" s="23">
        <v>36962</v>
      </c>
      <c r="M999" s="11"/>
      <c r="N999" s="7" t="str">
        <f ca="1">_xlfn.IFNA(VLOOKUP("2"&amp;B999,CountSpecific!E:F,2,0),"")</f>
        <v/>
      </c>
      <c r="O999" s="14" t="str">
        <f ca="1">_xlfn.IFNA(VLOOKUP("3"&amp;B999,CountSpecific!E:F,2,0),"")</f>
        <v/>
      </c>
      <c r="P999" s="7" t="str">
        <f ca="1">_xlfn.IFNA(VLOOKUP("4"&amp;B999,CountSpecific!E:F,2,0),"")</f>
        <v/>
      </c>
    </row>
    <row r="1000" spans="1:16" customFormat="1" x14ac:dyDescent="0.25">
      <c r="A1000" s="7">
        <v>999</v>
      </c>
      <c r="B1000" s="11" t="s">
        <v>1014</v>
      </c>
      <c r="C1000" s="7" t="s">
        <v>1039</v>
      </c>
      <c r="D1000" s="7">
        <v>999</v>
      </c>
      <c r="E1000" s="9">
        <v>999</v>
      </c>
      <c r="F1000" s="7">
        <v>999</v>
      </c>
      <c r="G1000" s="11" t="s">
        <v>1025</v>
      </c>
      <c r="H1000" s="20">
        <v>307867</v>
      </c>
      <c r="I1000" s="12">
        <v>45378</v>
      </c>
      <c r="J1000" s="12">
        <v>45531</v>
      </c>
      <c r="K1000" s="25">
        <v>216158</v>
      </c>
      <c r="L1000" s="23">
        <v>91709</v>
      </c>
      <c r="M1000" s="11"/>
      <c r="N1000" s="7" t="str">
        <f ca="1">_xlfn.IFNA(VLOOKUP("2"&amp;B1000,CountSpecific!E:F,2,0),"")</f>
        <v/>
      </c>
      <c r="O1000" s="14" t="str">
        <f ca="1">_xlfn.IFNA(VLOOKUP("3"&amp;B1000,CountSpecific!E:F,2,0),"")</f>
        <v/>
      </c>
      <c r="P1000" s="7" t="str">
        <f ca="1">_xlfn.IFNA(VLOOKUP("4"&amp;B1000,CountSpecific!E:F,2,0),"")</f>
        <v/>
      </c>
    </row>
    <row r="1001" spans="1:16" customFormat="1" x14ac:dyDescent="0.25">
      <c r="A1001" s="7">
        <v>1000</v>
      </c>
      <c r="B1001" s="11" t="s">
        <v>1015</v>
      </c>
      <c r="C1001" s="7" t="s">
        <v>1039</v>
      </c>
      <c r="D1001" s="7">
        <v>1000</v>
      </c>
      <c r="E1001" s="7">
        <v>1000</v>
      </c>
      <c r="F1001" s="7">
        <v>1000</v>
      </c>
      <c r="G1001" s="11" t="s">
        <v>1024</v>
      </c>
      <c r="H1001" s="20">
        <v>524340</v>
      </c>
      <c r="I1001" s="12">
        <v>45391</v>
      </c>
      <c r="J1001" s="12">
        <v>45513</v>
      </c>
      <c r="K1001" s="25">
        <v>291147</v>
      </c>
      <c r="L1001" s="23">
        <v>233193</v>
      </c>
      <c r="M1001" s="11"/>
      <c r="N1001" s="7" t="str">
        <f ca="1">_xlfn.IFNA(VLOOKUP("2"&amp;B1001,CountSpecific!E:F,2,0),"")</f>
        <v/>
      </c>
      <c r="O1001" s="14" t="str">
        <f ca="1">_xlfn.IFNA(VLOOKUP("3"&amp;B1001,CountSpecific!E:F,2,0),"")</f>
        <v/>
      </c>
      <c r="P1001" s="7" t="str">
        <f ca="1">_xlfn.IFNA(VLOOKUP("4"&amp;B1001,CountSpecific!E:F,2,0),"")</f>
        <v/>
      </c>
    </row>
  </sheetData>
  <autoFilter ref="A1:P1001" xr:uid="{00000000-0001-0000-0000-00000000000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3457E-2AC7-414A-B837-5C10AE348D24}">
  <dimension ref="A3:B13"/>
  <sheetViews>
    <sheetView workbookViewId="0">
      <selection activeCell="H20" sqref="H20"/>
    </sheetView>
  </sheetViews>
  <sheetFormatPr defaultRowHeight="15.75" x14ac:dyDescent="0.25"/>
  <cols>
    <col min="1" max="1" width="17.625" bestFit="1" customWidth="1"/>
    <col min="2" max="2" width="19.25" bestFit="1" customWidth="1"/>
  </cols>
  <sheetData>
    <row r="3" spans="1:2" x14ac:dyDescent="0.25">
      <c r="A3" s="32" t="s">
        <v>1047</v>
      </c>
      <c r="B3" t="s">
        <v>1050</v>
      </c>
    </row>
    <row r="4" spans="1:2" x14ac:dyDescent="0.25">
      <c r="A4" s="33" t="s">
        <v>1027</v>
      </c>
      <c r="B4" s="34">
        <v>4108157</v>
      </c>
    </row>
    <row r="5" spans="1:2" x14ac:dyDescent="0.25">
      <c r="A5" s="33" t="s">
        <v>1021</v>
      </c>
      <c r="B5" s="34">
        <v>5734888</v>
      </c>
    </row>
    <row r="6" spans="1:2" x14ac:dyDescent="0.25">
      <c r="A6" s="33" t="s">
        <v>1025</v>
      </c>
      <c r="B6" s="34">
        <v>28525921</v>
      </c>
    </row>
    <row r="7" spans="1:2" x14ac:dyDescent="0.25">
      <c r="A7" s="33" t="s">
        <v>1020</v>
      </c>
      <c r="B7" s="34">
        <v>30477433</v>
      </c>
    </row>
    <row r="8" spans="1:2" x14ac:dyDescent="0.25">
      <c r="A8" s="33" t="s">
        <v>1024</v>
      </c>
      <c r="B8" s="34">
        <v>50299455</v>
      </c>
    </row>
    <row r="9" spans="1:2" x14ac:dyDescent="0.25">
      <c r="A9" s="33" t="s">
        <v>1023</v>
      </c>
      <c r="B9" s="34">
        <v>85933</v>
      </c>
    </row>
    <row r="10" spans="1:2" x14ac:dyDescent="0.25">
      <c r="A10" s="33" t="s">
        <v>1016</v>
      </c>
      <c r="B10" s="34">
        <v>2705488</v>
      </c>
    </row>
    <row r="11" spans="1:2" x14ac:dyDescent="0.25">
      <c r="A11" s="33" t="s">
        <v>1026</v>
      </c>
      <c r="B11" s="34">
        <v>263284909</v>
      </c>
    </row>
    <row r="12" spans="1:2" x14ac:dyDescent="0.25">
      <c r="A12" s="33" t="s">
        <v>1022</v>
      </c>
      <c r="B12" s="34">
        <v>2436761</v>
      </c>
    </row>
    <row r="13" spans="1:2" x14ac:dyDescent="0.25">
      <c r="A13" s="33" t="s">
        <v>1049</v>
      </c>
      <c r="B13" s="34">
        <v>387658945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41CDA-5463-480E-9FB4-7CB870BEB28D}">
  <dimension ref="A1:I35"/>
  <sheetViews>
    <sheetView showGridLines="0" zoomScale="85" workbookViewId="0">
      <selection activeCell="C28" sqref="C28"/>
    </sheetView>
  </sheetViews>
  <sheetFormatPr defaultRowHeight="15.75" x14ac:dyDescent="0.25"/>
  <cols>
    <col min="1" max="1" width="17.625" bestFit="1" customWidth="1"/>
    <col min="2" max="2" width="13.625" bestFit="1" customWidth="1"/>
    <col min="3" max="3" width="17.875" bestFit="1" customWidth="1"/>
    <col min="4" max="4" width="19.25" bestFit="1" customWidth="1"/>
    <col min="5" max="1000" width="19.75" bestFit="1" customWidth="1"/>
    <col min="1001" max="1001" width="20.875" bestFit="1" customWidth="1"/>
    <col min="1002" max="1002" width="20.75" bestFit="1" customWidth="1"/>
  </cols>
  <sheetData>
    <row r="1" spans="1:9" x14ac:dyDescent="0.25">
      <c r="A1" s="35" t="s">
        <v>1058</v>
      </c>
      <c r="B1" s="35"/>
      <c r="C1" s="35"/>
      <c r="D1" s="35"/>
      <c r="E1" s="35"/>
      <c r="F1" s="35"/>
      <c r="G1" s="35"/>
      <c r="H1" s="35"/>
    </row>
    <row r="2" spans="1:9" x14ac:dyDescent="0.25">
      <c r="A2" s="35"/>
      <c r="B2" s="35"/>
      <c r="C2" s="35"/>
      <c r="D2" s="35"/>
      <c r="E2" s="35"/>
      <c r="F2" s="35"/>
      <c r="G2" s="35"/>
      <c r="H2" s="35"/>
    </row>
    <row r="3" spans="1:9" x14ac:dyDescent="0.25">
      <c r="A3" s="36"/>
      <c r="B3" s="36"/>
      <c r="C3" s="36"/>
      <c r="D3" s="36"/>
      <c r="E3" s="36"/>
      <c r="F3" s="36"/>
      <c r="G3" s="36"/>
      <c r="H3" s="36"/>
      <c r="I3" s="36"/>
    </row>
    <row r="4" spans="1:9" x14ac:dyDescent="0.25">
      <c r="A4" s="36" t="s">
        <v>1047</v>
      </c>
      <c r="B4" s="36" t="s">
        <v>1051</v>
      </c>
      <c r="C4" s="36" t="s">
        <v>1048</v>
      </c>
      <c r="D4" s="36"/>
      <c r="E4" s="36"/>
      <c r="F4" s="36"/>
      <c r="G4" s="36"/>
      <c r="H4" s="36"/>
      <c r="I4" s="36"/>
    </row>
    <row r="5" spans="1:9" x14ac:dyDescent="0.25">
      <c r="A5" s="37" t="s">
        <v>1027</v>
      </c>
      <c r="B5" s="38">
        <v>1921980</v>
      </c>
      <c r="C5" s="38">
        <v>2186177</v>
      </c>
      <c r="D5" s="36"/>
      <c r="E5" s="36"/>
      <c r="F5" s="36"/>
      <c r="G5" s="36"/>
      <c r="H5" s="36"/>
      <c r="I5" s="36"/>
    </row>
    <row r="6" spans="1:9" x14ac:dyDescent="0.25">
      <c r="A6" s="37" t="s">
        <v>1021</v>
      </c>
      <c r="B6" s="38">
        <v>2866775</v>
      </c>
      <c r="C6" s="38">
        <v>2868113</v>
      </c>
      <c r="D6" s="36"/>
      <c r="E6" s="36"/>
      <c r="F6" s="36"/>
      <c r="G6" s="36"/>
      <c r="H6" s="36"/>
      <c r="I6" s="36"/>
    </row>
    <row r="7" spans="1:9" x14ac:dyDescent="0.25">
      <c r="A7" s="37" t="s">
        <v>1025</v>
      </c>
      <c r="B7" s="38">
        <v>13625792</v>
      </c>
      <c r="C7" s="38">
        <v>14900129</v>
      </c>
      <c r="D7" s="36"/>
      <c r="E7" s="36"/>
      <c r="F7" s="36"/>
      <c r="G7" s="36"/>
      <c r="H7" s="36"/>
      <c r="I7" s="36"/>
    </row>
    <row r="8" spans="1:9" x14ac:dyDescent="0.25">
      <c r="A8" s="37" t="s">
        <v>1020</v>
      </c>
      <c r="B8" s="38">
        <v>16532682</v>
      </c>
      <c r="C8" s="38">
        <v>13944751</v>
      </c>
      <c r="D8" s="36"/>
      <c r="E8" s="36"/>
      <c r="F8" s="36"/>
      <c r="G8" s="36"/>
      <c r="H8" s="36"/>
      <c r="I8" s="36"/>
    </row>
    <row r="9" spans="1:9" x14ac:dyDescent="0.25">
      <c r="A9" s="37" t="s">
        <v>1024</v>
      </c>
      <c r="B9" s="38">
        <v>22615523</v>
      </c>
      <c r="C9" s="38">
        <v>27683932</v>
      </c>
      <c r="D9" s="36"/>
      <c r="E9" s="36"/>
      <c r="F9" s="36"/>
      <c r="G9" s="36"/>
      <c r="H9" s="36"/>
      <c r="I9" s="36"/>
    </row>
    <row r="10" spans="1:9" x14ac:dyDescent="0.25">
      <c r="A10" s="37" t="s">
        <v>1023</v>
      </c>
      <c r="B10" s="38">
        <v>41130</v>
      </c>
      <c r="C10" s="38">
        <v>44803</v>
      </c>
      <c r="D10" s="36"/>
      <c r="E10" s="36"/>
      <c r="F10" s="36"/>
      <c r="G10" s="36"/>
      <c r="H10" s="36"/>
      <c r="I10" s="36"/>
    </row>
    <row r="11" spans="1:9" x14ac:dyDescent="0.25">
      <c r="A11" s="37" t="s">
        <v>1016</v>
      </c>
      <c r="B11" s="38">
        <v>1253189</v>
      </c>
      <c r="C11" s="38">
        <v>1452299</v>
      </c>
      <c r="D11" s="36"/>
      <c r="E11" s="36"/>
      <c r="F11" s="36"/>
      <c r="G11" s="36"/>
      <c r="H11" s="36"/>
      <c r="I11" s="36"/>
    </row>
    <row r="12" spans="1:9" x14ac:dyDescent="0.25">
      <c r="A12" s="37" t="s">
        <v>1026</v>
      </c>
      <c r="B12" s="38">
        <v>135723960</v>
      </c>
      <c r="C12" s="38">
        <v>127560949</v>
      </c>
      <c r="D12" s="36"/>
      <c r="E12" s="36"/>
      <c r="F12" s="36"/>
      <c r="G12" s="36"/>
      <c r="H12" s="36"/>
      <c r="I12" s="36"/>
    </row>
    <row r="13" spans="1:9" x14ac:dyDescent="0.25">
      <c r="A13" s="37" t="s">
        <v>1022</v>
      </c>
      <c r="B13" s="38">
        <v>1160094</v>
      </c>
      <c r="C13" s="38">
        <v>1276667</v>
      </c>
      <c r="D13" s="36"/>
      <c r="E13" s="36"/>
      <c r="F13" s="36"/>
      <c r="G13" s="36"/>
      <c r="H13" s="36"/>
      <c r="I13" s="36"/>
    </row>
    <row r="14" spans="1:9" x14ac:dyDescent="0.25">
      <c r="A14" s="37" t="s">
        <v>1049</v>
      </c>
      <c r="B14" s="38">
        <v>195741125</v>
      </c>
      <c r="C14" s="38">
        <v>191917820</v>
      </c>
      <c r="D14" s="36"/>
      <c r="E14" s="36"/>
      <c r="F14" s="36"/>
      <c r="G14" s="36"/>
      <c r="H14" s="36"/>
      <c r="I14" s="36"/>
    </row>
    <row r="15" spans="1:9" x14ac:dyDescent="0.25">
      <c r="A15" s="36"/>
      <c r="B15" s="36"/>
      <c r="C15" s="36"/>
      <c r="D15" s="36"/>
      <c r="E15" s="36"/>
      <c r="F15" s="36"/>
      <c r="G15" s="36"/>
      <c r="H15" s="36"/>
      <c r="I15" s="36"/>
    </row>
    <row r="16" spans="1:9" x14ac:dyDescent="0.25">
      <c r="A16" s="36"/>
      <c r="B16" s="36"/>
      <c r="C16" s="36"/>
      <c r="D16" s="36"/>
      <c r="E16" s="36"/>
      <c r="F16" s="36"/>
      <c r="G16" s="36" t="s">
        <v>1059</v>
      </c>
      <c r="H16" s="36"/>
      <c r="I16" s="36"/>
    </row>
    <row r="17" spans="1:9" x14ac:dyDescent="0.25">
      <c r="A17" s="36"/>
      <c r="B17" s="36"/>
      <c r="C17" s="36"/>
      <c r="D17" s="36"/>
      <c r="E17" s="36"/>
      <c r="F17" s="36"/>
      <c r="G17" s="36"/>
      <c r="H17" s="36"/>
      <c r="I17" s="36"/>
    </row>
    <row r="18" spans="1:9" x14ac:dyDescent="0.25">
      <c r="A18" s="36"/>
      <c r="B18" s="36"/>
      <c r="C18" s="36"/>
      <c r="D18" s="36"/>
      <c r="E18" s="36"/>
      <c r="F18" s="36"/>
      <c r="G18" s="36"/>
      <c r="H18" s="36"/>
      <c r="I18" s="36"/>
    </row>
    <row r="19" spans="1:9" x14ac:dyDescent="0.25">
      <c r="A19" s="36"/>
      <c r="B19" s="36"/>
      <c r="C19" s="36"/>
      <c r="D19" s="36"/>
      <c r="E19" s="36"/>
      <c r="F19" s="36"/>
      <c r="G19" s="36"/>
      <c r="H19" s="36"/>
      <c r="I19" s="36"/>
    </row>
    <row r="20" spans="1:9" x14ac:dyDescent="0.25">
      <c r="A20" s="36"/>
      <c r="B20" s="36"/>
      <c r="C20" s="36"/>
      <c r="D20" s="36"/>
      <c r="E20" s="36"/>
      <c r="F20" s="36"/>
      <c r="G20" s="36"/>
      <c r="H20" s="36"/>
      <c r="I20" s="36"/>
    </row>
    <row r="21" spans="1:9" x14ac:dyDescent="0.25">
      <c r="A21" s="36"/>
      <c r="B21" s="36"/>
      <c r="C21" s="36"/>
      <c r="D21" s="36"/>
      <c r="E21" s="36"/>
      <c r="F21" s="36"/>
      <c r="G21" s="36"/>
      <c r="H21" s="36"/>
      <c r="I21" s="36"/>
    </row>
    <row r="22" spans="1:9" x14ac:dyDescent="0.25">
      <c r="A22" s="36"/>
      <c r="B22" s="36"/>
      <c r="C22" s="36"/>
      <c r="D22" s="36"/>
      <c r="E22" s="36"/>
      <c r="F22" s="36"/>
      <c r="G22" s="36"/>
      <c r="H22" s="36"/>
      <c r="I22" s="36"/>
    </row>
    <row r="23" spans="1:9" x14ac:dyDescent="0.25">
      <c r="A23" s="36"/>
      <c r="B23" s="36"/>
      <c r="C23" s="36"/>
      <c r="D23" s="36"/>
      <c r="E23" s="36"/>
      <c r="F23" s="36"/>
      <c r="G23" s="36"/>
      <c r="H23" s="36"/>
      <c r="I23" s="36"/>
    </row>
    <row r="24" spans="1:9" x14ac:dyDescent="0.25">
      <c r="A24" s="36"/>
      <c r="B24" s="36"/>
      <c r="C24" s="36"/>
      <c r="D24" s="36"/>
      <c r="E24" s="36"/>
      <c r="F24" s="36"/>
      <c r="G24" s="36"/>
      <c r="H24" s="36"/>
      <c r="I24" s="36"/>
    </row>
    <row r="25" spans="1:9" x14ac:dyDescent="0.25">
      <c r="A25" s="36"/>
      <c r="B25" s="36"/>
      <c r="C25" s="36"/>
      <c r="D25" s="36"/>
      <c r="E25" s="36"/>
      <c r="F25" s="36"/>
      <c r="G25" s="36"/>
      <c r="H25" s="36"/>
      <c r="I25" s="36"/>
    </row>
    <row r="26" spans="1:9" x14ac:dyDescent="0.25">
      <c r="A26" s="36"/>
      <c r="B26" s="36"/>
      <c r="C26" s="36"/>
      <c r="D26" s="36"/>
      <c r="E26" s="36"/>
      <c r="F26" s="36"/>
      <c r="G26" s="36"/>
      <c r="H26" s="36"/>
      <c r="I26" s="36"/>
    </row>
    <row r="27" spans="1:9" x14ac:dyDescent="0.25">
      <c r="A27" s="36"/>
      <c r="B27" s="36"/>
      <c r="C27" s="36"/>
      <c r="D27" s="36"/>
      <c r="E27" s="36"/>
      <c r="F27" s="36"/>
      <c r="G27" s="36"/>
      <c r="H27" s="36"/>
      <c r="I27" s="36"/>
    </row>
    <row r="28" spans="1:9" x14ac:dyDescent="0.25">
      <c r="A28" s="36"/>
      <c r="B28" s="36"/>
      <c r="C28" s="36"/>
      <c r="D28" s="36"/>
      <c r="E28" s="36"/>
      <c r="F28" s="36"/>
      <c r="G28" s="36"/>
      <c r="H28" s="36"/>
      <c r="I28" s="36"/>
    </row>
    <row r="29" spans="1:9" x14ac:dyDescent="0.25">
      <c r="A29" s="36"/>
      <c r="B29" s="36"/>
      <c r="C29" s="36"/>
      <c r="D29" s="36"/>
      <c r="E29" s="36"/>
      <c r="F29" s="36"/>
      <c r="G29" s="36"/>
      <c r="H29" s="36"/>
      <c r="I29" s="36"/>
    </row>
    <row r="30" spans="1:9" x14ac:dyDescent="0.25">
      <c r="A30" s="36"/>
      <c r="B30" s="36"/>
      <c r="C30" s="36"/>
      <c r="D30" s="36"/>
      <c r="E30" s="36"/>
      <c r="F30" s="36"/>
      <c r="G30" s="36"/>
      <c r="H30" s="36"/>
      <c r="I30" s="36"/>
    </row>
    <row r="31" spans="1:9" x14ac:dyDescent="0.25">
      <c r="A31" s="36"/>
      <c r="B31" s="36"/>
      <c r="C31" s="36"/>
      <c r="D31" s="36"/>
      <c r="E31" s="36"/>
      <c r="F31" s="36"/>
      <c r="G31" s="36"/>
      <c r="H31" s="36"/>
      <c r="I31" s="36"/>
    </row>
    <row r="32" spans="1:9" x14ac:dyDescent="0.25">
      <c r="A32" s="36"/>
      <c r="B32" s="36"/>
      <c r="C32" s="36"/>
      <c r="D32" s="36"/>
      <c r="E32" s="36"/>
      <c r="F32" s="36"/>
      <c r="G32" s="36"/>
      <c r="H32" s="36"/>
      <c r="I32" s="36"/>
    </row>
    <row r="33" spans="1:9" x14ac:dyDescent="0.25">
      <c r="A33" s="36"/>
      <c r="B33" s="36"/>
      <c r="C33" s="36"/>
      <c r="D33" s="36"/>
      <c r="E33" s="36"/>
      <c r="F33" s="36"/>
      <c r="G33" s="36"/>
      <c r="H33" s="36"/>
      <c r="I33" s="36"/>
    </row>
    <row r="34" spans="1:9" x14ac:dyDescent="0.25">
      <c r="A34" s="36"/>
      <c r="B34" s="36"/>
      <c r="C34" s="36"/>
      <c r="D34" s="36"/>
      <c r="E34" s="36"/>
      <c r="F34" s="36"/>
      <c r="G34" s="36"/>
      <c r="H34" s="36"/>
      <c r="I34" s="36"/>
    </row>
    <row r="35" spans="1:9" x14ac:dyDescent="0.25">
      <c r="A35" s="36"/>
      <c r="B35" s="36"/>
      <c r="C35" s="36"/>
      <c r="D35" s="36"/>
      <c r="E35" s="36"/>
      <c r="F35" s="36"/>
      <c r="G35" s="36"/>
      <c r="H35" s="36"/>
      <c r="I35" s="36"/>
    </row>
  </sheetData>
  <mergeCells count="1">
    <mergeCell ref="A1:H2"/>
  </mergeCell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2920C-6411-46B0-A345-9734CC8CD1A6}">
  <dimension ref="A1:T1001"/>
  <sheetViews>
    <sheetView workbookViewId="0">
      <selection activeCell="H13" sqref="H13"/>
    </sheetView>
  </sheetViews>
  <sheetFormatPr defaultColWidth="8.625" defaultRowHeight="15.75" x14ac:dyDescent="0.25"/>
  <cols>
    <col min="1" max="1" width="4.625" customWidth="1"/>
    <col min="2" max="2" width="19" bestFit="1" customWidth="1"/>
    <col min="3" max="3" width="8.875" customWidth="1"/>
    <col min="4" max="4" width="7.5" customWidth="1"/>
    <col min="5" max="5" width="5.125" customWidth="1"/>
    <col min="6" max="6" width="6" customWidth="1"/>
    <col min="7" max="7" width="9.75" customWidth="1"/>
    <col min="8" max="8" width="12.625" style="21" bestFit="1" customWidth="1"/>
    <col min="9" max="9" width="13.625" style="28" bestFit="1" customWidth="1"/>
    <col min="10" max="10" width="10.5" style="28" bestFit="1" customWidth="1"/>
    <col min="11" max="11" width="10.375" style="26" bestFit="1" customWidth="1"/>
    <col min="12" max="12" width="12.375" style="26" bestFit="1" customWidth="1"/>
    <col min="13" max="14" width="15.875" style="16" customWidth="1"/>
    <col min="15" max="17" width="9.875" style="16" bestFit="1" customWidth="1"/>
    <col min="18" max="16384" width="8.625" style="16"/>
  </cols>
  <sheetData>
    <row r="1" spans="1:20" s="3" customFormat="1" ht="26.45" customHeight="1" x14ac:dyDescent="0.25">
      <c r="A1" s="2" t="s">
        <v>9</v>
      </c>
      <c r="B1" s="2" t="s">
        <v>0</v>
      </c>
      <c r="C1" s="2" t="s">
        <v>1017</v>
      </c>
      <c r="D1" s="2" t="s">
        <v>8</v>
      </c>
      <c r="E1" s="2" t="s">
        <v>7</v>
      </c>
      <c r="F1" s="2" t="s">
        <v>1</v>
      </c>
      <c r="G1" s="2" t="s">
        <v>2</v>
      </c>
      <c r="H1" s="17" t="s">
        <v>3</v>
      </c>
      <c r="I1" s="27" t="s">
        <v>4</v>
      </c>
      <c r="J1" s="27" t="s">
        <v>6</v>
      </c>
      <c r="K1" s="22" t="s">
        <v>5</v>
      </c>
      <c r="L1" s="22" t="s">
        <v>1019</v>
      </c>
      <c r="M1" s="2" t="s">
        <v>1056</v>
      </c>
      <c r="N1" s="2" t="s">
        <v>1057</v>
      </c>
      <c r="O1" s="22" t="s">
        <v>1045</v>
      </c>
      <c r="P1" s="22" t="s">
        <v>1046</v>
      </c>
      <c r="Q1" s="29" t="s">
        <v>1041</v>
      </c>
      <c r="R1" s="29" t="s">
        <v>1042</v>
      </c>
      <c r="S1" s="29" t="s">
        <v>1043</v>
      </c>
      <c r="T1" s="29" t="s">
        <v>1044</v>
      </c>
    </row>
    <row r="2" spans="1:20" s="8" customFormat="1" x14ac:dyDescent="0.25">
      <c r="A2" s="7">
        <v>1</v>
      </c>
      <c r="B2" s="7" t="s">
        <v>1018</v>
      </c>
      <c r="C2" s="7" t="s">
        <v>1039</v>
      </c>
      <c r="D2" s="7">
        <v>1</v>
      </c>
      <c r="E2" s="7">
        <v>1</v>
      </c>
      <c r="F2" s="7">
        <v>1</v>
      </c>
      <c r="G2" s="7" t="s">
        <v>1020</v>
      </c>
      <c r="H2" s="18">
        <v>22324</v>
      </c>
      <c r="I2" s="12">
        <v>44340</v>
      </c>
      <c r="J2" s="12">
        <v>44858</v>
      </c>
      <c r="K2" s="23">
        <v>1854</v>
      </c>
      <c r="L2" s="23">
        <v>20470</v>
      </c>
      <c r="M2" s="30" t="s">
        <v>1029</v>
      </c>
      <c r="N2" s="30" t="s">
        <v>1053</v>
      </c>
      <c r="O2" s="26">
        <v>387658945</v>
      </c>
      <c r="P2" s="26">
        <v>195741125</v>
      </c>
      <c r="Q2" s="26">
        <v>191917820</v>
      </c>
      <c r="R2" s="26">
        <v>387658.94500000001</v>
      </c>
      <c r="S2" s="26">
        <v>4854120</v>
      </c>
      <c r="T2" s="26">
        <v>58</v>
      </c>
    </row>
    <row r="3" spans="1:20" s="8" customFormat="1" x14ac:dyDescent="0.25">
      <c r="A3" s="7">
        <v>2</v>
      </c>
      <c r="B3" s="7" t="s">
        <v>18</v>
      </c>
      <c r="C3" s="7" t="s">
        <v>1039</v>
      </c>
      <c r="D3" s="7">
        <v>2</v>
      </c>
      <c r="E3" s="7">
        <v>2</v>
      </c>
      <c r="F3" s="7">
        <v>2</v>
      </c>
      <c r="G3" s="7" t="s">
        <v>1021</v>
      </c>
      <c r="H3" s="18">
        <v>93325</v>
      </c>
      <c r="I3" s="12">
        <v>45059</v>
      </c>
      <c r="J3" s="12">
        <v>45151</v>
      </c>
      <c r="K3" s="23">
        <v>31112</v>
      </c>
      <c r="L3" s="23">
        <v>62213</v>
      </c>
      <c r="M3" s="30" t="s">
        <v>1033</v>
      </c>
      <c r="N3" s="30" t="s">
        <v>1054</v>
      </c>
    </row>
    <row r="4" spans="1:20" s="10" customFormat="1" x14ac:dyDescent="0.25">
      <c r="A4" s="9">
        <v>3</v>
      </c>
      <c r="B4" s="9" t="s">
        <v>19</v>
      </c>
      <c r="C4" s="7" t="s">
        <v>1039</v>
      </c>
      <c r="D4" s="7">
        <v>3</v>
      </c>
      <c r="E4" s="9">
        <v>3</v>
      </c>
      <c r="F4" s="7">
        <v>3</v>
      </c>
      <c r="G4" s="9" t="s">
        <v>1022</v>
      </c>
      <c r="H4" s="19">
        <v>16472</v>
      </c>
      <c r="I4" s="12">
        <v>45394</v>
      </c>
      <c r="J4" s="12">
        <v>46034</v>
      </c>
      <c r="K4" s="24">
        <v>5804</v>
      </c>
      <c r="L4" s="23">
        <v>10668</v>
      </c>
      <c r="M4" s="31" t="s">
        <v>1035</v>
      </c>
      <c r="N4" s="30" t="s">
        <v>1054</v>
      </c>
    </row>
    <row r="5" spans="1:20" s="8" customFormat="1" x14ac:dyDescent="0.25">
      <c r="A5" s="7">
        <v>4</v>
      </c>
      <c r="B5" s="7" t="s">
        <v>20</v>
      </c>
      <c r="C5" s="7" t="s">
        <v>1039</v>
      </c>
      <c r="D5" s="7">
        <v>4</v>
      </c>
      <c r="E5" s="7">
        <v>4</v>
      </c>
      <c r="F5" s="7">
        <v>4</v>
      </c>
      <c r="G5" s="7" t="s">
        <v>1023</v>
      </c>
      <c r="H5" s="18">
        <v>340</v>
      </c>
      <c r="I5" s="12">
        <v>45223</v>
      </c>
      <c r="J5" s="12">
        <v>45467</v>
      </c>
      <c r="K5" s="23">
        <v>152</v>
      </c>
      <c r="L5" s="23">
        <v>188</v>
      </c>
      <c r="M5" s="30" t="s">
        <v>1036</v>
      </c>
      <c r="N5" s="30" t="s">
        <v>1053</v>
      </c>
    </row>
    <row r="6" spans="1:20" s="8" customFormat="1" x14ac:dyDescent="0.25">
      <c r="A6" s="7">
        <v>5</v>
      </c>
      <c r="B6" s="7" t="s">
        <v>21</v>
      </c>
      <c r="C6" s="7" t="s">
        <v>1039</v>
      </c>
      <c r="D6" s="7">
        <v>5</v>
      </c>
      <c r="E6" s="7">
        <v>5</v>
      </c>
      <c r="F6" s="7">
        <v>5</v>
      </c>
      <c r="G6" s="7" t="s">
        <v>1024</v>
      </c>
      <c r="H6" s="18">
        <v>683724</v>
      </c>
      <c r="I6" s="12">
        <v>44906</v>
      </c>
      <c r="J6" s="12">
        <v>45607</v>
      </c>
      <c r="K6" s="23">
        <v>482448</v>
      </c>
      <c r="L6" s="23">
        <v>201276</v>
      </c>
      <c r="M6" s="30" t="s">
        <v>1037</v>
      </c>
      <c r="N6" s="30" t="s">
        <v>1054</v>
      </c>
    </row>
    <row r="7" spans="1:20" s="8" customFormat="1" x14ac:dyDescent="0.25">
      <c r="A7" s="7">
        <v>6</v>
      </c>
      <c r="B7" s="7" t="s">
        <v>22</v>
      </c>
      <c r="C7" s="7" t="s">
        <v>1039</v>
      </c>
      <c r="D7" s="7">
        <v>6</v>
      </c>
      <c r="E7" s="9">
        <v>6</v>
      </c>
      <c r="F7" s="7">
        <v>6</v>
      </c>
      <c r="G7" s="7" t="s">
        <v>1025</v>
      </c>
      <c r="H7" s="18">
        <v>192652</v>
      </c>
      <c r="I7" s="12">
        <v>44716</v>
      </c>
      <c r="J7" s="12">
        <v>44777</v>
      </c>
      <c r="K7" s="23">
        <v>185259</v>
      </c>
      <c r="L7" s="23">
        <v>7393</v>
      </c>
      <c r="M7" s="30" t="s">
        <v>1052</v>
      </c>
      <c r="N7" s="30" t="s">
        <v>1055</v>
      </c>
    </row>
    <row r="8" spans="1:20" s="8" customFormat="1" x14ac:dyDescent="0.25">
      <c r="A8" s="7">
        <v>7</v>
      </c>
      <c r="B8" s="7" t="s">
        <v>23</v>
      </c>
      <c r="C8" s="7" t="s">
        <v>1039</v>
      </c>
      <c r="D8" s="7">
        <v>7</v>
      </c>
      <c r="E8" s="7">
        <v>7</v>
      </c>
      <c r="F8" s="7">
        <v>7</v>
      </c>
      <c r="G8" s="7" t="s">
        <v>1016</v>
      </c>
      <c r="H8" s="18">
        <v>13989</v>
      </c>
      <c r="I8" s="12">
        <v>45334</v>
      </c>
      <c r="J8" s="12">
        <v>45850</v>
      </c>
      <c r="K8" s="23">
        <v>3966</v>
      </c>
      <c r="L8" s="23">
        <v>10023</v>
      </c>
      <c r="M8" s="30" t="s">
        <v>1052</v>
      </c>
      <c r="N8" s="30" t="s">
        <v>1055</v>
      </c>
    </row>
    <row r="9" spans="1:20" s="8" customFormat="1" x14ac:dyDescent="0.25">
      <c r="A9" s="7">
        <v>8</v>
      </c>
      <c r="B9" s="7" t="s">
        <v>24</v>
      </c>
      <c r="C9" s="7" t="s">
        <v>1039</v>
      </c>
      <c r="D9" s="7">
        <v>8</v>
      </c>
      <c r="E9" s="7">
        <v>8</v>
      </c>
      <c r="F9" s="7">
        <v>8</v>
      </c>
      <c r="G9" s="7" t="s">
        <v>1020</v>
      </c>
      <c r="H9" s="18">
        <v>99042</v>
      </c>
      <c r="I9" s="12">
        <v>44450</v>
      </c>
      <c r="J9" s="12">
        <v>45118</v>
      </c>
      <c r="K9" s="23">
        <v>59886</v>
      </c>
      <c r="L9" s="23">
        <v>39156</v>
      </c>
      <c r="M9" s="30" t="s">
        <v>1052</v>
      </c>
      <c r="N9" s="30" t="s">
        <v>1055</v>
      </c>
    </row>
    <row r="10" spans="1:20" s="8" customFormat="1" x14ac:dyDescent="0.25">
      <c r="A10" s="7">
        <v>9</v>
      </c>
      <c r="B10" s="7" t="s">
        <v>25</v>
      </c>
      <c r="C10" s="7" t="s">
        <v>1039</v>
      </c>
      <c r="D10" s="7">
        <v>9</v>
      </c>
      <c r="E10" s="9">
        <v>9</v>
      </c>
      <c r="F10" s="7">
        <v>9</v>
      </c>
      <c r="G10" s="7" t="s">
        <v>1020</v>
      </c>
      <c r="H10" s="18">
        <v>133970</v>
      </c>
      <c r="I10" s="12">
        <v>45468</v>
      </c>
      <c r="J10" s="12">
        <v>45986</v>
      </c>
      <c r="K10" s="23">
        <v>58161</v>
      </c>
      <c r="L10" s="23">
        <v>75809</v>
      </c>
      <c r="M10" s="30" t="s">
        <v>1052</v>
      </c>
      <c r="N10" s="30" t="s">
        <v>1055</v>
      </c>
    </row>
    <row r="11" spans="1:20" s="8" customFormat="1" x14ac:dyDescent="0.25">
      <c r="A11" s="7">
        <v>10</v>
      </c>
      <c r="B11" s="7" t="s">
        <v>26</v>
      </c>
      <c r="C11" s="7" t="s">
        <v>1039</v>
      </c>
      <c r="D11" s="7">
        <v>10</v>
      </c>
      <c r="E11" s="7">
        <v>10</v>
      </c>
      <c r="F11" s="7">
        <v>10</v>
      </c>
      <c r="G11" s="7" t="s">
        <v>1026</v>
      </c>
      <c r="H11" s="18">
        <v>4211767</v>
      </c>
      <c r="I11" s="12">
        <v>45418</v>
      </c>
      <c r="J11" s="12">
        <v>45510</v>
      </c>
      <c r="K11" s="23">
        <v>3550946</v>
      </c>
      <c r="L11" s="23">
        <v>660821</v>
      </c>
      <c r="M11" s="30" t="s">
        <v>1052</v>
      </c>
      <c r="N11" s="30" t="s">
        <v>1055</v>
      </c>
    </row>
    <row r="12" spans="1:20" customFormat="1" x14ac:dyDescent="0.25">
      <c r="A12" s="7">
        <v>11</v>
      </c>
      <c r="B12" s="11" t="s">
        <v>27</v>
      </c>
      <c r="C12" s="7" t="s">
        <v>1039</v>
      </c>
      <c r="D12" s="7">
        <v>11</v>
      </c>
      <c r="E12" s="7">
        <v>11</v>
      </c>
      <c r="F12" s="7">
        <v>11</v>
      </c>
      <c r="G12" s="11" t="s">
        <v>1027</v>
      </c>
      <c r="H12" s="20">
        <v>19929</v>
      </c>
      <c r="I12" s="12">
        <v>45557</v>
      </c>
      <c r="J12" s="12">
        <v>45891</v>
      </c>
      <c r="K12" s="25">
        <v>17110</v>
      </c>
      <c r="L12" s="23">
        <v>2819</v>
      </c>
      <c r="M12" s="30" t="s">
        <v>1052</v>
      </c>
      <c r="N12" s="30" t="s">
        <v>1055</v>
      </c>
    </row>
    <row r="13" spans="1:20" customFormat="1" x14ac:dyDescent="0.25">
      <c r="A13" s="7">
        <v>12</v>
      </c>
      <c r="B13" s="11" t="s">
        <v>28</v>
      </c>
      <c r="C13" s="7" t="s">
        <v>1039</v>
      </c>
      <c r="D13" s="7">
        <v>12</v>
      </c>
      <c r="E13" s="9">
        <v>12</v>
      </c>
      <c r="F13" s="7">
        <v>12</v>
      </c>
      <c r="G13" s="11" t="s">
        <v>1024</v>
      </c>
      <c r="H13" s="20">
        <v>609985</v>
      </c>
      <c r="I13" s="12">
        <v>44664</v>
      </c>
      <c r="J13" s="12">
        <v>45273</v>
      </c>
      <c r="K13" s="25">
        <v>354138</v>
      </c>
      <c r="L13" s="23">
        <v>255847</v>
      </c>
      <c r="M13" s="30" t="s">
        <v>1052</v>
      </c>
      <c r="N13" s="30" t="s">
        <v>1055</v>
      </c>
    </row>
    <row r="14" spans="1:20" customFormat="1" x14ac:dyDescent="0.25">
      <c r="A14" s="7">
        <v>13</v>
      </c>
      <c r="B14" s="11" t="s">
        <v>29</v>
      </c>
      <c r="C14" s="7" t="s">
        <v>1039</v>
      </c>
      <c r="D14" s="7">
        <v>13</v>
      </c>
      <c r="E14" s="7">
        <v>13</v>
      </c>
      <c r="F14" s="7">
        <v>13</v>
      </c>
      <c r="G14" s="11" t="s">
        <v>1022</v>
      </c>
      <c r="H14" s="20">
        <v>5566</v>
      </c>
      <c r="I14" s="12">
        <v>43882</v>
      </c>
      <c r="J14" s="12">
        <v>44186</v>
      </c>
      <c r="K14" s="25">
        <v>2183</v>
      </c>
      <c r="L14" s="23">
        <v>3383</v>
      </c>
      <c r="M14" s="30" t="s">
        <v>1052</v>
      </c>
      <c r="N14" s="30" t="s">
        <v>1055</v>
      </c>
    </row>
    <row r="15" spans="1:20" customFormat="1" x14ac:dyDescent="0.25">
      <c r="A15" s="7">
        <v>14</v>
      </c>
      <c r="B15" s="11" t="s">
        <v>30</v>
      </c>
      <c r="C15" s="7" t="s">
        <v>1039</v>
      </c>
      <c r="D15" s="7">
        <v>14</v>
      </c>
      <c r="E15" s="7">
        <v>14</v>
      </c>
      <c r="F15" s="7">
        <v>14</v>
      </c>
      <c r="G15" s="11" t="s">
        <v>1023</v>
      </c>
      <c r="H15" s="20">
        <v>1130</v>
      </c>
      <c r="I15" s="12">
        <v>45534</v>
      </c>
      <c r="J15" s="12">
        <v>46142</v>
      </c>
      <c r="K15" s="25">
        <v>490</v>
      </c>
      <c r="L15" s="23">
        <v>640</v>
      </c>
      <c r="M15" s="30" t="s">
        <v>1052</v>
      </c>
      <c r="N15" s="30" t="s">
        <v>1055</v>
      </c>
    </row>
    <row r="16" spans="1:20" customFormat="1" x14ac:dyDescent="0.25">
      <c r="A16" s="7">
        <v>15</v>
      </c>
      <c r="B16" s="11" t="s">
        <v>31</v>
      </c>
      <c r="C16" s="7" t="s">
        <v>1039</v>
      </c>
      <c r="D16" s="7">
        <v>15</v>
      </c>
      <c r="E16" s="9">
        <v>15</v>
      </c>
      <c r="F16" s="7">
        <v>15</v>
      </c>
      <c r="G16" s="11" t="s">
        <v>1020</v>
      </c>
      <c r="H16" s="20">
        <v>104801</v>
      </c>
      <c r="I16" s="12">
        <v>45257</v>
      </c>
      <c r="J16" s="12">
        <v>45957</v>
      </c>
      <c r="K16" s="25">
        <v>5117</v>
      </c>
      <c r="L16" s="23">
        <v>99684</v>
      </c>
      <c r="M16" s="30" t="s">
        <v>1040</v>
      </c>
      <c r="N16" s="30" t="s">
        <v>1054</v>
      </c>
    </row>
    <row r="17" spans="1:14" customFormat="1" x14ac:dyDescent="0.25">
      <c r="A17" s="7">
        <v>16</v>
      </c>
      <c r="B17" s="11" t="s">
        <v>32</v>
      </c>
      <c r="C17" s="7" t="s">
        <v>1039</v>
      </c>
      <c r="D17" s="7">
        <v>16</v>
      </c>
      <c r="E17" s="7">
        <v>16</v>
      </c>
      <c r="F17" s="7">
        <v>16</v>
      </c>
      <c r="G17" s="11" t="s">
        <v>1021</v>
      </c>
      <c r="H17" s="20">
        <v>15389</v>
      </c>
      <c r="I17" s="12">
        <v>45149</v>
      </c>
      <c r="J17" s="12">
        <v>45788</v>
      </c>
      <c r="K17" s="25">
        <v>8919</v>
      </c>
      <c r="L17" s="23">
        <v>6470</v>
      </c>
      <c r="M17" s="30" t="s">
        <v>1052</v>
      </c>
      <c r="N17" s="30" t="s">
        <v>1055</v>
      </c>
    </row>
    <row r="18" spans="1:14" customFormat="1" x14ac:dyDescent="0.25">
      <c r="A18" s="7">
        <v>17</v>
      </c>
      <c r="B18" s="11" t="s">
        <v>33</v>
      </c>
      <c r="C18" s="7" t="s">
        <v>1039</v>
      </c>
      <c r="D18" s="7">
        <v>17</v>
      </c>
      <c r="E18" s="7">
        <v>17</v>
      </c>
      <c r="F18" s="7">
        <v>17</v>
      </c>
      <c r="G18" s="11" t="s">
        <v>1016</v>
      </c>
      <c r="H18" s="20">
        <v>6671</v>
      </c>
      <c r="I18" s="12">
        <v>44241</v>
      </c>
      <c r="J18" s="12">
        <v>44848</v>
      </c>
      <c r="K18" s="25">
        <v>766</v>
      </c>
      <c r="L18" s="23">
        <v>5905</v>
      </c>
      <c r="M18" s="30" t="s">
        <v>1052</v>
      </c>
      <c r="N18" s="30" t="s">
        <v>1055</v>
      </c>
    </row>
    <row r="19" spans="1:14" customFormat="1" x14ac:dyDescent="0.25">
      <c r="A19" s="7">
        <v>18</v>
      </c>
      <c r="B19" s="11" t="s">
        <v>34</v>
      </c>
      <c r="C19" s="7" t="s">
        <v>1039</v>
      </c>
      <c r="D19" s="7">
        <v>18</v>
      </c>
      <c r="E19" s="9">
        <v>18</v>
      </c>
      <c r="F19" s="7">
        <v>18</v>
      </c>
      <c r="G19" s="11" t="s">
        <v>1027</v>
      </c>
      <c r="H19" s="20">
        <v>46970</v>
      </c>
      <c r="I19" s="12">
        <v>44235</v>
      </c>
      <c r="J19" s="12">
        <v>44689</v>
      </c>
      <c r="K19" s="25">
        <v>13624</v>
      </c>
      <c r="L19" s="23">
        <v>33346</v>
      </c>
      <c r="M19" s="30" t="s">
        <v>1052</v>
      </c>
      <c r="N19" s="30" t="s">
        <v>1055</v>
      </c>
    </row>
    <row r="20" spans="1:14" customFormat="1" x14ac:dyDescent="0.25">
      <c r="A20" s="7">
        <v>19</v>
      </c>
      <c r="B20" s="11" t="s">
        <v>35</v>
      </c>
      <c r="C20" s="7" t="s">
        <v>1039</v>
      </c>
      <c r="D20" s="7">
        <v>19</v>
      </c>
      <c r="E20" s="7">
        <v>19</v>
      </c>
      <c r="F20" s="7">
        <v>19</v>
      </c>
      <c r="G20" s="11" t="s">
        <v>1027</v>
      </c>
      <c r="H20" s="20">
        <v>32334</v>
      </c>
      <c r="I20" s="12">
        <v>44247</v>
      </c>
      <c r="J20" s="12">
        <v>44671</v>
      </c>
      <c r="K20" s="25">
        <v>27498</v>
      </c>
      <c r="L20" s="23">
        <v>4836</v>
      </c>
      <c r="M20" s="30" t="s">
        <v>1052</v>
      </c>
      <c r="N20" s="30" t="s">
        <v>1055</v>
      </c>
    </row>
    <row r="21" spans="1:14" customFormat="1" x14ac:dyDescent="0.25">
      <c r="A21" s="7">
        <v>20</v>
      </c>
      <c r="B21" s="11" t="s">
        <v>36</v>
      </c>
      <c r="C21" s="7" t="s">
        <v>1039</v>
      </c>
      <c r="D21" s="7">
        <v>20</v>
      </c>
      <c r="E21" s="7">
        <v>20</v>
      </c>
      <c r="F21" s="7">
        <v>20</v>
      </c>
      <c r="G21" s="11" t="s">
        <v>1026</v>
      </c>
      <c r="H21" s="20">
        <v>541667</v>
      </c>
      <c r="I21" s="12">
        <v>44136</v>
      </c>
      <c r="J21" s="12">
        <v>44378</v>
      </c>
      <c r="K21" s="25">
        <v>340862</v>
      </c>
      <c r="L21" s="23">
        <v>200805</v>
      </c>
      <c r="M21" s="30" t="s">
        <v>1052</v>
      </c>
      <c r="N21" s="30" t="s">
        <v>1055</v>
      </c>
    </row>
    <row r="22" spans="1:14" customFormat="1" x14ac:dyDescent="0.25">
      <c r="A22" s="7">
        <v>21</v>
      </c>
      <c r="B22" s="11" t="s">
        <v>37</v>
      </c>
      <c r="C22" s="7" t="s">
        <v>1039</v>
      </c>
      <c r="D22" s="7">
        <v>21</v>
      </c>
      <c r="E22" s="9">
        <v>21</v>
      </c>
      <c r="F22" s="7">
        <v>21</v>
      </c>
      <c r="G22" s="11" t="s">
        <v>1022</v>
      </c>
      <c r="H22" s="20">
        <v>21075</v>
      </c>
      <c r="I22" s="12">
        <v>45647</v>
      </c>
      <c r="J22" s="12">
        <v>45798</v>
      </c>
      <c r="K22" s="25">
        <v>1819</v>
      </c>
      <c r="L22" s="23">
        <v>19256</v>
      </c>
      <c r="M22" s="30" t="s">
        <v>1052</v>
      </c>
      <c r="N22" s="30" t="s">
        <v>1055</v>
      </c>
    </row>
    <row r="23" spans="1:14" customFormat="1" x14ac:dyDescent="0.25">
      <c r="A23" s="7">
        <v>22</v>
      </c>
      <c r="B23" s="11" t="s">
        <v>38</v>
      </c>
      <c r="C23" s="7" t="s">
        <v>1039</v>
      </c>
      <c r="D23" s="7">
        <v>22</v>
      </c>
      <c r="E23" s="7">
        <v>22</v>
      </c>
      <c r="F23" s="7">
        <v>22</v>
      </c>
      <c r="G23" s="11" t="s">
        <v>1024</v>
      </c>
      <c r="H23" s="20">
        <v>534956</v>
      </c>
      <c r="I23" s="12">
        <v>44932</v>
      </c>
      <c r="J23" s="12">
        <v>45022</v>
      </c>
      <c r="K23" s="25">
        <v>145572</v>
      </c>
      <c r="L23" s="23">
        <v>389384</v>
      </c>
      <c r="M23" s="30" t="s">
        <v>1052</v>
      </c>
      <c r="N23" s="30" t="s">
        <v>1055</v>
      </c>
    </row>
    <row r="24" spans="1:14" customFormat="1" x14ac:dyDescent="0.25">
      <c r="A24" s="7">
        <v>23</v>
      </c>
      <c r="B24" s="11" t="s">
        <v>39</v>
      </c>
      <c r="C24" s="7" t="s">
        <v>1039</v>
      </c>
      <c r="D24" s="7">
        <v>23</v>
      </c>
      <c r="E24" s="7">
        <v>23</v>
      </c>
      <c r="F24" s="7">
        <v>23</v>
      </c>
      <c r="G24" s="11" t="s">
        <v>1016</v>
      </c>
      <c r="H24" s="20">
        <v>40497</v>
      </c>
      <c r="I24" s="12">
        <v>44115</v>
      </c>
      <c r="J24" s="12">
        <v>44511</v>
      </c>
      <c r="K24" s="25">
        <v>21508</v>
      </c>
      <c r="L24" s="23">
        <v>18989</v>
      </c>
      <c r="M24" s="30" t="s">
        <v>1052</v>
      </c>
      <c r="N24" s="30" t="s">
        <v>1055</v>
      </c>
    </row>
    <row r="25" spans="1:14" customFormat="1" x14ac:dyDescent="0.25">
      <c r="A25" s="7">
        <v>24</v>
      </c>
      <c r="B25" s="11" t="s">
        <v>40</v>
      </c>
      <c r="C25" s="7" t="s">
        <v>1039</v>
      </c>
      <c r="D25" s="7">
        <v>24</v>
      </c>
      <c r="E25" s="9">
        <v>24</v>
      </c>
      <c r="F25" s="7">
        <v>24</v>
      </c>
      <c r="G25" s="11" t="s">
        <v>1027</v>
      </c>
      <c r="H25" s="20">
        <v>54842</v>
      </c>
      <c r="I25" s="12">
        <v>45104</v>
      </c>
      <c r="J25" s="12">
        <v>45287</v>
      </c>
      <c r="K25" s="25">
        <v>3908</v>
      </c>
      <c r="L25" s="23">
        <v>50934</v>
      </c>
      <c r="M25" s="30" t="s">
        <v>1052</v>
      </c>
      <c r="N25" s="30" t="s">
        <v>1055</v>
      </c>
    </row>
    <row r="26" spans="1:14" customFormat="1" x14ac:dyDescent="0.25">
      <c r="A26" s="7">
        <v>25</v>
      </c>
      <c r="B26" s="11" t="s">
        <v>41</v>
      </c>
      <c r="C26" s="7" t="s">
        <v>1039</v>
      </c>
      <c r="D26" s="7">
        <v>25</v>
      </c>
      <c r="E26" s="7">
        <v>25</v>
      </c>
      <c r="F26" s="7">
        <v>25</v>
      </c>
      <c r="G26" s="11" t="s">
        <v>1027</v>
      </c>
      <c r="H26" s="20">
        <v>37396</v>
      </c>
      <c r="I26" s="12">
        <v>45055</v>
      </c>
      <c r="J26" s="12">
        <v>45239</v>
      </c>
      <c r="K26" s="25">
        <v>8978</v>
      </c>
      <c r="L26" s="23">
        <v>28418</v>
      </c>
      <c r="M26" s="30" t="s">
        <v>1052</v>
      </c>
      <c r="N26" s="30" t="s">
        <v>1055</v>
      </c>
    </row>
    <row r="27" spans="1:14" customFormat="1" x14ac:dyDescent="0.25">
      <c r="A27" s="7">
        <v>26</v>
      </c>
      <c r="B27" s="11" t="s">
        <v>42</v>
      </c>
      <c r="C27" s="7" t="s">
        <v>1039</v>
      </c>
      <c r="D27" s="7">
        <v>26</v>
      </c>
      <c r="E27" s="7">
        <v>26</v>
      </c>
      <c r="F27" s="7">
        <v>26</v>
      </c>
      <c r="G27" s="11" t="s">
        <v>1024</v>
      </c>
      <c r="H27" s="20">
        <v>429120</v>
      </c>
      <c r="I27" s="12">
        <v>45038</v>
      </c>
      <c r="J27" s="12">
        <v>45191</v>
      </c>
      <c r="K27" s="25">
        <v>413104</v>
      </c>
      <c r="L27" s="23">
        <v>16016</v>
      </c>
      <c r="M27" s="30" t="s">
        <v>1052</v>
      </c>
      <c r="N27" s="30" t="s">
        <v>1055</v>
      </c>
    </row>
    <row r="28" spans="1:14" customFormat="1" x14ac:dyDescent="0.25">
      <c r="A28" s="7">
        <v>27</v>
      </c>
      <c r="B28" s="11" t="s">
        <v>43</v>
      </c>
      <c r="C28" s="7" t="s">
        <v>1039</v>
      </c>
      <c r="D28" s="7">
        <v>27</v>
      </c>
      <c r="E28" s="9">
        <v>27</v>
      </c>
      <c r="F28" s="7">
        <v>27</v>
      </c>
      <c r="G28" s="11" t="s">
        <v>1024</v>
      </c>
      <c r="H28" s="20">
        <v>980114</v>
      </c>
      <c r="I28" s="12">
        <v>43917</v>
      </c>
      <c r="J28" s="12">
        <v>44466</v>
      </c>
      <c r="K28" s="25">
        <v>439120</v>
      </c>
      <c r="L28" s="23">
        <v>540994</v>
      </c>
      <c r="M28" s="30" t="s">
        <v>1052</v>
      </c>
      <c r="N28" s="30" t="s">
        <v>1055</v>
      </c>
    </row>
    <row r="29" spans="1:14" customFormat="1" x14ac:dyDescent="0.25">
      <c r="A29" s="7">
        <v>28</v>
      </c>
      <c r="B29" s="11" t="s">
        <v>44</v>
      </c>
      <c r="C29" s="7" t="s">
        <v>1039</v>
      </c>
      <c r="D29" s="7">
        <v>28</v>
      </c>
      <c r="E29" s="7">
        <v>28</v>
      </c>
      <c r="F29" s="7">
        <v>28</v>
      </c>
      <c r="G29" s="11" t="s">
        <v>1026</v>
      </c>
      <c r="H29" s="20">
        <v>657029</v>
      </c>
      <c r="I29" s="12">
        <v>44251</v>
      </c>
      <c r="J29" s="12">
        <v>44401</v>
      </c>
      <c r="K29" s="25">
        <v>344694</v>
      </c>
      <c r="L29" s="23">
        <v>312335</v>
      </c>
      <c r="M29" s="30" t="s">
        <v>1052</v>
      </c>
      <c r="N29" s="30" t="s">
        <v>1055</v>
      </c>
    </row>
    <row r="30" spans="1:14" customFormat="1" x14ac:dyDescent="0.25">
      <c r="A30" s="7">
        <v>29</v>
      </c>
      <c r="B30" s="11" t="s">
        <v>45</v>
      </c>
      <c r="C30" s="7" t="s">
        <v>1039</v>
      </c>
      <c r="D30" s="7">
        <v>29</v>
      </c>
      <c r="E30" s="7">
        <v>29</v>
      </c>
      <c r="F30" s="7">
        <v>29</v>
      </c>
      <c r="G30" s="11" t="s">
        <v>1024</v>
      </c>
      <c r="H30" s="20">
        <v>608670</v>
      </c>
      <c r="I30" s="12">
        <v>45041</v>
      </c>
      <c r="J30" s="12">
        <v>45316</v>
      </c>
      <c r="K30" s="25">
        <v>221930</v>
      </c>
      <c r="L30" s="23">
        <v>386740</v>
      </c>
      <c r="M30" s="30" t="s">
        <v>1052</v>
      </c>
      <c r="N30" s="30" t="s">
        <v>1055</v>
      </c>
    </row>
    <row r="31" spans="1:14" customFormat="1" x14ac:dyDescent="0.25">
      <c r="A31" s="7">
        <v>30</v>
      </c>
      <c r="B31" s="11" t="s">
        <v>46</v>
      </c>
      <c r="C31" s="7" t="s">
        <v>1039</v>
      </c>
      <c r="D31" s="7">
        <v>30</v>
      </c>
      <c r="E31" s="9">
        <v>30</v>
      </c>
      <c r="F31" s="7">
        <v>30</v>
      </c>
      <c r="G31" s="11" t="s">
        <v>1020</v>
      </c>
      <c r="H31" s="20">
        <v>69941</v>
      </c>
      <c r="I31" s="12">
        <v>45279</v>
      </c>
      <c r="J31" s="12">
        <v>45584</v>
      </c>
      <c r="K31" s="25">
        <v>47144</v>
      </c>
      <c r="L31" s="23">
        <v>22797</v>
      </c>
      <c r="M31" s="30" t="s">
        <v>1052</v>
      </c>
      <c r="N31" s="30" t="s">
        <v>1055</v>
      </c>
    </row>
    <row r="32" spans="1:14" customFormat="1" x14ac:dyDescent="0.25">
      <c r="A32" s="7">
        <v>31</v>
      </c>
      <c r="B32" s="11" t="s">
        <v>47</v>
      </c>
      <c r="C32" s="7" t="s">
        <v>1039</v>
      </c>
      <c r="D32" s="7">
        <v>31</v>
      </c>
      <c r="E32" s="7">
        <v>31</v>
      </c>
      <c r="F32" s="7">
        <v>31</v>
      </c>
      <c r="G32" s="11" t="s">
        <v>1025</v>
      </c>
      <c r="H32" s="20">
        <v>475478</v>
      </c>
      <c r="I32" s="12">
        <v>45117</v>
      </c>
      <c r="J32" s="12">
        <v>45332</v>
      </c>
      <c r="K32" s="25">
        <v>191226</v>
      </c>
      <c r="L32" s="23">
        <v>284252</v>
      </c>
      <c r="M32" s="30" t="s">
        <v>1052</v>
      </c>
      <c r="N32" s="30" t="s">
        <v>1055</v>
      </c>
    </row>
    <row r="33" spans="1:14" customFormat="1" x14ac:dyDescent="0.25">
      <c r="A33" s="7">
        <v>32</v>
      </c>
      <c r="B33" s="11" t="s">
        <v>48</v>
      </c>
      <c r="C33" s="7" t="s">
        <v>1039</v>
      </c>
      <c r="D33" s="7">
        <v>32</v>
      </c>
      <c r="E33" s="7">
        <v>32</v>
      </c>
      <c r="F33" s="7">
        <v>32</v>
      </c>
      <c r="G33" s="11" t="s">
        <v>1020</v>
      </c>
      <c r="H33" s="20">
        <v>179303</v>
      </c>
      <c r="I33" s="12">
        <v>43981</v>
      </c>
      <c r="J33" s="12">
        <v>44530</v>
      </c>
      <c r="K33" s="25">
        <v>171617</v>
      </c>
      <c r="L33" s="23">
        <v>7686</v>
      </c>
      <c r="M33" s="30" t="s">
        <v>1052</v>
      </c>
      <c r="N33" s="30" t="s">
        <v>1055</v>
      </c>
    </row>
    <row r="34" spans="1:14" customFormat="1" x14ac:dyDescent="0.25">
      <c r="A34" s="7">
        <v>33</v>
      </c>
      <c r="B34" s="11" t="s">
        <v>49</v>
      </c>
      <c r="C34" s="7" t="s">
        <v>1039</v>
      </c>
      <c r="D34" s="7">
        <v>33</v>
      </c>
      <c r="E34" s="9">
        <v>33</v>
      </c>
      <c r="F34" s="7">
        <v>33</v>
      </c>
      <c r="G34" s="11" t="s">
        <v>1024</v>
      </c>
      <c r="H34" s="20">
        <v>236482</v>
      </c>
      <c r="I34" s="12">
        <v>44847</v>
      </c>
      <c r="J34" s="12">
        <v>45151</v>
      </c>
      <c r="K34" s="25">
        <v>119010</v>
      </c>
      <c r="L34" s="23">
        <v>117472</v>
      </c>
      <c r="M34" s="30" t="s">
        <v>1052</v>
      </c>
      <c r="N34" s="30" t="s">
        <v>1055</v>
      </c>
    </row>
    <row r="35" spans="1:14" customFormat="1" x14ac:dyDescent="0.25">
      <c r="A35" s="7">
        <v>34</v>
      </c>
      <c r="B35" s="11" t="s">
        <v>50</v>
      </c>
      <c r="C35" s="7" t="s">
        <v>1039</v>
      </c>
      <c r="D35" s="7">
        <v>34</v>
      </c>
      <c r="E35" s="7">
        <v>34</v>
      </c>
      <c r="F35" s="7">
        <v>34</v>
      </c>
      <c r="G35" s="11" t="s">
        <v>1024</v>
      </c>
      <c r="H35" s="20">
        <v>616617</v>
      </c>
      <c r="I35" s="12">
        <v>44180</v>
      </c>
      <c r="J35" s="12">
        <v>44331</v>
      </c>
      <c r="K35" s="25">
        <v>190231</v>
      </c>
      <c r="L35" s="23">
        <v>426386</v>
      </c>
      <c r="M35" s="30" t="s">
        <v>1052</v>
      </c>
      <c r="N35" s="30" t="s">
        <v>1055</v>
      </c>
    </row>
    <row r="36" spans="1:14" customFormat="1" x14ac:dyDescent="0.25">
      <c r="A36" s="7">
        <v>35</v>
      </c>
      <c r="B36" s="11" t="s">
        <v>51</v>
      </c>
      <c r="C36" s="7" t="s">
        <v>1039</v>
      </c>
      <c r="D36" s="7">
        <v>35</v>
      </c>
      <c r="E36" s="7">
        <v>35</v>
      </c>
      <c r="F36" s="7">
        <v>35</v>
      </c>
      <c r="G36" s="11" t="s">
        <v>1025</v>
      </c>
      <c r="H36" s="20">
        <v>205683</v>
      </c>
      <c r="I36" s="12">
        <v>45052</v>
      </c>
      <c r="J36" s="12">
        <v>45357</v>
      </c>
      <c r="K36" s="25">
        <v>6030</v>
      </c>
      <c r="L36" s="23">
        <v>199653</v>
      </c>
      <c r="M36" s="30" t="s">
        <v>1052</v>
      </c>
      <c r="N36" s="30" t="s">
        <v>1055</v>
      </c>
    </row>
    <row r="37" spans="1:14" customFormat="1" x14ac:dyDescent="0.25">
      <c r="A37" s="7">
        <v>36</v>
      </c>
      <c r="B37" s="11" t="s">
        <v>52</v>
      </c>
      <c r="C37" s="7" t="s">
        <v>1039</v>
      </c>
      <c r="D37" s="7">
        <v>36</v>
      </c>
      <c r="E37" s="9">
        <v>36</v>
      </c>
      <c r="F37" s="7">
        <v>36</v>
      </c>
      <c r="G37" s="11" t="s">
        <v>1021</v>
      </c>
      <c r="H37" s="20">
        <v>82878</v>
      </c>
      <c r="I37" s="12">
        <v>44668</v>
      </c>
      <c r="J37" s="12">
        <v>45216</v>
      </c>
      <c r="K37" s="25">
        <v>79550</v>
      </c>
      <c r="L37" s="23">
        <v>3328</v>
      </c>
      <c r="M37" s="30" t="s">
        <v>1052</v>
      </c>
      <c r="N37" s="30" t="s">
        <v>1055</v>
      </c>
    </row>
    <row r="38" spans="1:14" customFormat="1" x14ac:dyDescent="0.25">
      <c r="A38" s="7">
        <v>37</v>
      </c>
      <c r="B38" s="11" t="s">
        <v>53</v>
      </c>
      <c r="C38" s="7" t="s">
        <v>1039</v>
      </c>
      <c r="D38" s="7">
        <v>37</v>
      </c>
      <c r="E38" s="7">
        <v>37</v>
      </c>
      <c r="F38" s="7">
        <v>37</v>
      </c>
      <c r="G38" s="11" t="s">
        <v>1024</v>
      </c>
      <c r="H38" s="20">
        <v>574723</v>
      </c>
      <c r="I38" s="12">
        <v>45332</v>
      </c>
      <c r="J38" s="12">
        <v>45879</v>
      </c>
      <c r="K38" s="25">
        <v>414726</v>
      </c>
      <c r="L38" s="23">
        <v>159997</v>
      </c>
      <c r="M38" s="30" t="s">
        <v>1052</v>
      </c>
      <c r="N38" s="30" t="s">
        <v>1055</v>
      </c>
    </row>
    <row r="39" spans="1:14" customFormat="1" x14ac:dyDescent="0.25">
      <c r="A39" s="7">
        <v>38</v>
      </c>
      <c r="B39" s="11" t="s">
        <v>54</v>
      </c>
      <c r="C39" s="7" t="s">
        <v>1039</v>
      </c>
      <c r="D39" s="7">
        <v>38</v>
      </c>
      <c r="E39" s="7">
        <v>38</v>
      </c>
      <c r="F39" s="7">
        <v>38</v>
      </c>
      <c r="G39" s="11" t="s">
        <v>1027</v>
      </c>
      <c r="H39" s="20">
        <v>19526</v>
      </c>
      <c r="I39" s="12">
        <v>44172</v>
      </c>
      <c r="J39" s="12">
        <v>44811</v>
      </c>
      <c r="K39" s="25">
        <v>11764</v>
      </c>
      <c r="L39" s="23">
        <v>7762</v>
      </c>
      <c r="M39" s="30" t="s">
        <v>1052</v>
      </c>
      <c r="N39" s="30" t="s">
        <v>1055</v>
      </c>
    </row>
    <row r="40" spans="1:14" customFormat="1" x14ac:dyDescent="0.25">
      <c r="A40" s="7">
        <v>39</v>
      </c>
      <c r="B40" s="11" t="s">
        <v>55</v>
      </c>
      <c r="C40" s="7" t="s">
        <v>1039</v>
      </c>
      <c r="D40" s="7">
        <v>39</v>
      </c>
      <c r="E40" s="9">
        <v>39</v>
      </c>
      <c r="F40" s="7">
        <v>39</v>
      </c>
      <c r="G40" s="11" t="s">
        <v>1022</v>
      </c>
      <c r="H40" s="20">
        <v>34093</v>
      </c>
      <c r="I40" s="12">
        <v>44755</v>
      </c>
      <c r="J40" s="12">
        <v>44908</v>
      </c>
      <c r="K40" s="25">
        <v>5348</v>
      </c>
      <c r="L40" s="23">
        <v>28745</v>
      </c>
      <c r="M40" s="30" t="s">
        <v>1052</v>
      </c>
      <c r="N40" s="30" t="s">
        <v>1055</v>
      </c>
    </row>
    <row r="41" spans="1:14" customFormat="1" x14ac:dyDescent="0.25">
      <c r="A41" s="7">
        <v>40</v>
      </c>
      <c r="B41" s="11" t="s">
        <v>56</v>
      </c>
      <c r="C41" s="7" t="s">
        <v>1039</v>
      </c>
      <c r="D41" s="7">
        <v>40</v>
      </c>
      <c r="E41" s="7">
        <v>40</v>
      </c>
      <c r="F41" s="7">
        <v>40</v>
      </c>
      <c r="G41" s="11" t="s">
        <v>1020</v>
      </c>
      <c r="H41" s="20">
        <v>257160</v>
      </c>
      <c r="I41" s="12">
        <v>45692</v>
      </c>
      <c r="J41" s="12">
        <v>45842</v>
      </c>
      <c r="K41" s="25">
        <v>34713</v>
      </c>
      <c r="L41" s="23">
        <v>222447</v>
      </c>
      <c r="M41" s="30" t="s">
        <v>1052</v>
      </c>
      <c r="N41" s="30" t="s">
        <v>1055</v>
      </c>
    </row>
    <row r="42" spans="1:14" customFormat="1" x14ac:dyDescent="0.25">
      <c r="A42" s="7">
        <v>41</v>
      </c>
      <c r="B42" s="11" t="s">
        <v>57</v>
      </c>
      <c r="C42" s="7" t="s">
        <v>1039</v>
      </c>
      <c r="D42" s="7">
        <v>41</v>
      </c>
      <c r="E42" s="7">
        <v>41</v>
      </c>
      <c r="F42" s="7">
        <v>41</v>
      </c>
      <c r="G42" s="11" t="s">
        <v>1026</v>
      </c>
      <c r="H42" s="20">
        <v>2843925</v>
      </c>
      <c r="I42" s="12">
        <v>43953</v>
      </c>
      <c r="J42" s="12">
        <v>44502</v>
      </c>
      <c r="K42" s="25">
        <v>2004052</v>
      </c>
      <c r="L42" s="23">
        <v>839873</v>
      </c>
      <c r="M42" s="30" t="s">
        <v>1052</v>
      </c>
      <c r="N42" s="30" t="s">
        <v>1055</v>
      </c>
    </row>
    <row r="43" spans="1:14" customFormat="1" x14ac:dyDescent="0.25">
      <c r="A43" s="7">
        <v>42</v>
      </c>
      <c r="B43" s="11" t="s">
        <v>58</v>
      </c>
      <c r="C43" s="7" t="s">
        <v>1039</v>
      </c>
      <c r="D43" s="7">
        <v>42</v>
      </c>
      <c r="E43" s="9">
        <v>42</v>
      </c>
      <c r="F43" s="7">
        <v>42</v>
      </c>
      <c r="G43" s="11" t="s">
        <v>1023</v>
      </c>
      <c r="H43" s="20">
        <v>728</v>
      </c>
      <c r="I43" s="12">
        <v>44084</v>
      </c>
      <c r="J43" s="12">
        <v>44783</v>
      </c>
      <c r="K43" s="25">
        <v>523</v>
      </c>
      <c r="L43" s="23">
        <v>205</v>
      </c>
      <c r="M43" s="30" t="s">
        <v>1052</v>
      </c>
      <c r="N43" s="30" t="s">
        <v>1055</v>
      </c>
    </row>
    <row r="44" spans="1:14" customFormat="1" x14ac:dyDescent="0.25">
      <c r="A44" s="7">
        <v>43</v>
      </c>
      <c r="B44" s="11" t="s">
        <v>59</v>
      </c>
      <c r="C44" s="7" t="s">
        <v>1039</v>
      </c>
      <c r="D44" s="7">
        <v>43</v>
      </c>
      <c r="E44" s="7">
        <v>43</v>
      </c>
      <c r="F44" s="7">
        <v>43</v>
      </c>
      <c r="G44" s="11" t="s">
        <v>1026</v>
      </c>
      <c r="H44" s="20">
        <v>3920084</v>
      </c>
      <c r="I44" s="12">
        <v>44537</v>
      </c>
      <c r="J44" s="12">
        <v>44902</v>
      </c>
      <c r="K44" s="25">
        <v>3705171</v>
      </c>
      <c r="L44" s="23">
        <v>214913</v>
      </c>
      <c r="M44" s="30" t="s">
        <v>1052</v>
      </c>
      <c r="N44" s="30" t="s">
        <v>1055</v>
      </c>
    </row>
    <row r="45" spans="1:14" customFormat="1" x14ac:dyDescent="0.25">
      <c r="A45" s="7">
        <v>44</v>
      </c>
      <c r="B45" s="11" t="s">
        <v>60</v>
      </c>
      <c r="C45" s="7" t="s">
        <v>1039</v>
      </c>
      <c r="D45" s="7">
        <v>44</v>
      </c>
      <c r="E45" s="7">
        <v>44</v>
      </c>
      <c r="F45" s="7">
        <v>44</v>
      </c>
      <c r="G45" s="11" t="s">
        <v>1022</v>
      </c>
      <c r="H45" s="20">
        <v>13380</v>
      </c>
      <c r="I45" s="12">
        <v>45090</v>
      </c>
      <c r="J45" s="12">
        <v>45548</v>
      </c>
      <c r="K45" s="25">
        <v>5706</v>
      </c>
      <c r="L45" s="23">
        <v>7674</v>
      </c>
      <c r="M45" s="30" t="s">
        <v>1052</v>
      </c>
      <c r="N45" s="30" t="s">
        <v>1055</v>
      </c>
    </row>
    <row r="46" spans="1:14" customFormat="1" x14ac:dyDescent="0.25">
      <c r="A46" s="7">
        <v>45</v>
      </c>
      <c r="B46" s="11" t="s">
        <v>61</v>
      </c>
      <c r="C46" s="7" t="s">
        <v>1039</v>
      </c>
      <c r="D46" s="7">
        <v>45</v>
      </c>
      <c r="E46" s="9">
        <v>45</v>
      </c>
      <c r="F46" s="7">
        <v>45</v>
      </c>
      <c r="G46" s="11" t="s">
        <v>1027</v>
      </c>
      <c r="H46" s="20">
        <v>22397</v>
      </c>
      <c r="I46" s="12">
        <v>45456</v>
      </c>
      <c r="J46" s="12">
        <v>45882</v>
      </c>
      <c r="K46" s="25">
        <v>20246</v>
      </c>
      <c r="L46" s="23">
        <v>2151</v>
      </c>
      <c r="M46" s="30" t="s">
        <v>1052</v>
      </c>
      <c r="N46" s="30" t="s">
        <v>1055</v>
      </c>
    </row>
    <row r="47" spans="1:14" customFormat="1" x14ac:dyDescent="0.25">
      <c r="A47" s="7">
        <v>46</v>
      </c>
      <c r="B47" s="11" t="s">
        <v>62</v>
      </c>
      <c r="C47" s="7" t="s">
        <v>1039</v>
      </c>
      <c r="D47" s="7">
        <v>46</v>
      </c>
      <c r="E47" s="7">
        <v>46</v>
      </c>
      <c r="F47" s="7">
        <v>46</v>
      </c>
      <c r="G47" s="11" t="s">
        <v>1023</v>
      </c>
      <c r="H47" s="20">
        <v>1211</v>
      </c>
      <c r="I47" s="12">
        <v>44516</v>
      </c>
      <c r="J47" s="12">
        <v>44546</v>
      </c>
      <c r="K47" s="25">
        <v>109</v>
      </c>
      <c r="L47" s="23">
        <v>1102</v>
      </c>
      <c r="M47" s="30" t="s">
        <v>1052</v>
      </c>
      <c r="N47" s="30" t="s">
        <v>1055</v>
      </c>
    </row>
    <row r="48" spans="1:14" customFormat="1" x14ac:dyDescent="0.25">
      <c r="A48" s="7">
        <v>47</v>
      </c>
      <c r="B48" s="11" t="s">
        <v>63</v>
      </c>
      <c r="C48" s="7" t="s">
        <v>1039</v>
      </c>
      <c r="D48" s="7">
        <v>47</v>
      </c>
      <c r="E48" s="7">
        <v>47</v>
      </c>
      <c r="F48" s="7">
        <v>47</v>
      </c>
      <c r="G48" s="11" t="s">
        <v>1026</v>
      </c>
      <c r="H48" s="20">
        <v>3780558</v>
      </c>
      <c r="I48" s="12">
        <v>45448</v>
      </c>
      <c r="J48" s="12">
        <v>45966</v>
      </c>
      <c r="K48" s="25">
        <v>2160371</v>
      </c>
      <c r="L48" s="23">
        <v>1620187</v>
      </c>
      <c r="M48" s="30" t="s">
        <v>1052</v>
      </c>
      <c r="N48" s="30" t="s">
        <v>1055</v>
      </c>
    </row>
    <row r="49" spans="1:14" customFormat="1" x14ac:dyDescent="0.25">
      <c r="A49" s="7">
        <v>48</v>
      </c>
      <c r="B49" s="11" t="s">
        <v>64</v>
      </c>
      <c r="C49" s="7" t="s">
        <v>1039</v>
      </c>
      <c r="D49" s="7">
        <v>48</v>
      </c>
      <c r="E49" s="9">
        <v>48</v>
      </c>
      <c r="F49" s="7">
        <v>48</v>
      </c>
      <c r="G49" s="11" t="s">
        <v>1026</v>
      </c>
      <c r="H49" s="20">
        <v>1461218</v>
      </c>
      <c r="I49" s="12">
        <v>43938</v>
      </c>
      <c r="J49" s="12">
        <v>44152</v>
      </c>
      <c r="K49" s="25">
        <v>1176663</v>
      </c>
      <c r="L49" s="23">
        <v>284555</v>
      </c>
      <c r="M49" s="30" t="s">
        <v>1052</v>
      </c>
      <c r="N49" s="30" t="s">
        <v>1055</v>
      </c>
    </row>
    <row r="50" spans="1:14" customFormat="1" x14ac:dyDescent="0.25">
      <c r="A50" s="7">
        <v>49</v>
      </c>
      <c r="B50" s="11" t="s">
        <v>65</v>
      </c>
      <c r="C50" s="7" t="s">
        <v>1039</v>
      </c>
      <c r="D50" s="7">
        <v>49</v>
      </c>
      <c r="E50" s="7">
        <v>49</v>
      </c>
      <c r="F50" s="7">
        <v>49</v>
      </c>
      <c r="G50" s="11" t="s">
        <v>1024</v>
      </c>
      <c r="H50" s="20">
        <v>443758</v>
      </c>
      <c r="I50" s="12">
        <v>45157</v>
      </c>
      <c r="J50" s="12">
        <v>45827</v>
      </c>
      <c r="K50" s="25">
        <v>172489</v>
      </c>
      <c r="L50" s="23">
        <v>271269</v>
      </c>
      <c r="M50" s="30" t="s">
        <v>1052</v>
      </c>
      <c r="N50" s="30" t="s">
        <v>1055</v>
      </c>
    </row>
    <row r="51" spans="1:14" customFormat="1" x14ac:dyDescent="0.25">
      <c r="A51" s="7">
        <v>50</v>
      </c>
      <c r="B51" s="11" t="s">
        <v>66</v>
      </c>
      <c r="C51" s="7" t="s">
        <v>1039</v>
      </c>
      <c r="D51" s="7">
        <v>50</v>
      </c>
      <c r="E51" s="7">
        <v>50</v>
      </c>
      <c r="F51" s="7">
        <v>50</v>
      </c>
      <c r="G51" s="11" t="s">
        <v>1022</v>
      </c>
      <c r="H51" s="20">
        <v>11563</v>
      </c>
      <c r="I51" s="12">
        <v>44024</v>
      </c>
      <c r="J51" s="12">
        <v>44632</v>
      </c>
      <c r="K51" s="25">
        <v>7252</v>
      </c>
      <c r="L51" s="23">
        <v>4311</v>
      </c>
      <c r="M51" s="30" t="s">
        <v>1052</v>
      </c>
      <c r="N51" s="30" t="s">
        <v>1055</v>
      </c>
    </row>
    <row r="52" spans="1:14" customFormat="1" x14ac:dyDescent="0.25">
      <c r="A52" s="7">
        <v>51</v>
      </c>
      <c r="B52" s="11" t="s">
        <v>67</v>
      </c>
      <c r="C52" s="7" t="s">
        <v>1039</v>
      </c>
      <c r="D52" s="7">
        <v>51</v>
      </c>
      <c r="E52" s="9">
        <v>51</v>
      </c>
      <c r="F52" s="7">
        <v>51</v>
      </c>
      <c r="G52" s="11" t="s">
        <v>1023</v>
      </c>
      <c r="H52" s="20">
        <v>1256</v>
      </c>
      <c r="I52" s="12">
        <v>44236</v>
      </c>
      <c r="J52" s="12">
        <v>44690</v>
      </c>
      <c r="K52" s="25">
        <v>516</v>
      </c>
      <c r="L52" s="23">
        <v>740</v>
      </c>
      <c r="M52" s="30" t="s">
        <v>1052</v>
      </c>
      <c r="N52" s="30" t="s">
        <v>1055</v>
      </c>
    </row>
    <row r="53" spans="1:14" customFormat="1" x14ac:dyDescent="0.25">
      <c r="A53" s="7">
        <v>52</v>
      </c>
      <c r="B53" s="11" t="s">
        <v>68</v>
      </c>
      <c r="C53" s="7" t="s">
        <v>1039</v>
      </c>
      <c r="D53" s="7">
        <v>52</v>
      </c>
      <c r="E53" s="7">
        <v>52</v>
      </c>
      <c r="F53" s="7">
        <v>52</v>
      </c>
      <c r="G53" s="11" t="s">
        <v>1016</v>
      </c>
      <c r="H53" s="20">
        <v>3071</v>
      </c>
      <c r="I53" s="12">
        <v>44747</v>
      </c>
      <c r="J53" s="12">
        <v>45327</v>
      </c>
      <c r="K53" s="25">
        <v>2668</v>
      </c>
      <c r="L53" s="23">
        <v>403</v>
      </c>
      <c r="M53" s="30" t="s">
        <v>1052</v>
      </c>
      <c r="N53" s="30" t="s">
        <v>1055</v>
      </c>
    </row>
    <row r="54" spans="1:14" customFormat="1" x14ac:dyDescent="0.25">
      <c r="A54" s="7">
        <v>53</v>
      </c>
      <c r="B54" s="11" t="s">
        <v>69</v>
      </c>
      <c r="C54" s="7" t="s">
        <v>1039</v>
      </c>
      <c r="D54" s="7">
        <v>53</v>
      </c>
      <c r="E54" s="7">
        <v>53</v>
      </c>
      <c r="F54" s="7">
        <v>53</v>
      </c>
      <c r="G54" s="11" t="s">
        <v>1025</v>
      </c>
      <c r="H54" s="20">
        <v>327343</v>
      </c>
      <c r="I54" s="12">
        <v>45410</v>
      </c>
      <c r="J54" s="12">
        <v>45866</v>
      </c>
      <c r="K54" s="25">
        <v>166873</v>
      </c>
      <c r="L54" s="23">
        <v>160470</v>
      </c>
      <c r="M54" s="30" t="s">
        <v>1052</v>
      </c>
      <c r="N54" s="30" t="s">
        <v>1055</v>
      </c>
    </row>
    <row r="55" spans="1:14" customFormat="1" x14ac:dyDescent="0.25">
      <c r="A55" s="7">
        <v>54</v>
      </c>
      <c r="B55" s="11" t="s">
        <v>70</v>
      </c>
      <c r="C55" s="7" t="s">
        <v>1039</v>
      </c>
      <c r="D55" s="7">
        <v>54</v>
      </c>
      <c r="E55" s="9">
        <v>54</v>
      </c>
      <c r="F55" s="7">
        <v>54</v>
      </c>
      <c r="G55" s="11" t="s">
        <v>1026</v>
      </c>
      <c r="H55" s="20">
        <v>690999</v>
      </c>
      <c r="I55" s="12">
        <v>43835</v>
      </c>
      <c r="J55" s="12">
        <v>44382</v>
      </c>
      <c r="K55" s="25">
        <v>25347</v>
      </c>
      <c r="L55" s="23">
        <v>665652</v>
      </c>
      <c r="M55" s="30" t="s">
        <v>1052</v>
      </c>
      <c r="N55" s="30" t="s">
        <v>1055</v>
      </c>
    </row>
    <row r="56" spans="1:14" customFormat="1" x14ac:dyDescent="0.25">
      <c r="A56" s="7">
        <v>55</v>
      </c>
      <c r="B56" s="11" t="s">
        <v>71</v>
      </c>
      <c r="C56" s="7" t="s">
        <v>1039</v>
      </c>
      <c r="D56" s="7">
        <v>55</v>
      </c>
      <c r="E56" s="7">
        <v>55</v>
      </c>
      <c r="F56" s="7">
        <v>55</v>
      </c>
      <c r="G56" s="11" t="s">
        <v>1020</v>
      </c>
      <c r="H56" s="20">
        <v>448987</v>
      </c>
      <c r="I56" s="12">
        <v>44591</v>
      </c>
      <c r="J56" s="12">
        <v>45290</v>
      </c>
      <c r="K56" s="25">
        <v>116125</v>
      </c>
      <c r="L56" s="23">
        <v>332862</v>
      </c>
      <c r="M56" s="30" t="s">
        <v>1052</v>
      </c>
      <c r="N56" s="30" t="s">
        <v>1055</v>
      </c>
    </row>
    <row r="57" spans="1:14" customFormat="1" x14ac:dyDescent="0.25">
      <c r="A57" s="7">
        <v>56</v>
      </c>
      <c r="B57" s="11" t="s">
        <v>72</v>
      </c>
      <c r="C57" s="7" t="s">
        <v>1039</v>
      </c>
      <c r="D57" s="7">
        <v>56</v>
      </c>
      <c r="E57" s="7">
        <v>56</v>
      </c>
      <c r="F57" s="7">
        <v>56</v>
      </c>
      <c r="G57" s="11" t="s">
        <v>1025</v>
      </c>
      <c r="H57" s="20">
        <v>189877</v>
      </c>
      <c r="I57" s="12">
        <v>44785</v>
      </c>
      <c r="J57" s="12">
        <v>45394</v>
      </c>
      <c r="K57" s="25">
        <v>159893</v>
      </c>
      <c r="L57" s="23">
        <v>29984</v>
      </c>
      <c r="M57" s="30" t="s">
        <v>1052</v>
      </c>
      <c r="N57" s="30" t="s">
        <v>1055</v>
      </c>
    </row>
    <row r="58" spans="1:14" customFormat="1" x14ac:dyDescent="0.25">
      <c r="A58" s="7">
        <v>57</v>
      </c>
      <c r="B58" s="11" t="s">
        <v>73</v>
      </c>
      <c r="C58" s="7" t="s">
        <v>1039</v>
      </c>
      <c r="D58" s="7">
        <v>57</v>
      </c>
      <c r="E58" s="9">
        <v>57</v>
      </c>
      <c r="F58" s="7">
        <v>57</v>
      </c>
      <c r="G58" s="11" t="s">
        <v>1020</v>
      </c>
      <c r="H58" s="20">
        <v>170482</v>
      </c>
      <c r="I58" s="12">
        <v>44449</v>
      </c>
      <c r="J58" s="12">
        <v>44602</v>
      </c>
      <c r="K58" s="25">
        <v>81816</v>
      </c>
      <c r="L58" s="23">
        <v>88666</v>
      </c>
      <c r="M58" s="30" t="s">
        <v>1052</v>
      </c>
      <c r="N58" s="30" t="s">
        <v>1055</v>
      </c>
    </row>
    <row r="59" spans="1:14" customFormat="1" x14ac:dyDescent="0.25">
      <c r="A59" s="7">
        <v>58</v>
      </c>
      <c r="B59" s="11" t="s">
        <v>74</v>
      </c>
      <c r="C59" s="7" t="s">
        <v>1039</v>
      </c>
      <c r="D59" s="7">
        <v>58</v>
      </c>
      <c r="E59" s="7">
        <v>58</v>
      </c>
      <c r="F59" s="7">
        <v>58</v>
      </c>
      <c r="G59" s="11" t="s">
        <v>1020</v>
      </c>
      <c r="H59" s="20">
        <v>316237</v>
      </c>
      <c r="I59" s="12">
        <v>44405</v>
      </c>
      <c r="J59" s="12">
        <v>44589</v>
      </c>
      <c r="K59" s="25">
        <v>296198</v>
      </c>
      <c r="L59" s="23">
        <v>20039</v>
      </c>
      <c r="M59" s="30" t="s">
        <v>1052</v>
      </c>
      <c r="N59" s="30" t="s">
        <v>1055</v>
      </c>
    </row>
    <row r="60" spans="1:14" customFormat="1" x14ac:dyDescent="0.25">
      <c r="A60" s="7">
        <v>59</v>
      </c>
      <c r="B60" s="11" t="s">
        <v>75</v>
      </c>
      <c r="C60" s="7" t="s">
        <v>1039</v>
      </c>
      <c r="D60" s="7">
        <v>59</v>
      </c>
      <c r="E60" s="7">
        <v>59</v>
      </c>
      <c r="F60" s="7">
        <v>59</v>
      </c>
      <c r="G60" s="11" t="s">
        <v>1020</v>
      </c>
      <c r="H60" s="20">
        <v>145784</v>
      </c>
      <c r="I60" s="12">
        <v>45147</v>
      </c>
      <c r="J60" s="12">
        <v>45817</v>
      </c>
      <c r="K60" s="25">
        <v>129902</v>
      </c>
      <c r="L60" s="23">
        <v>15882</v>
      </c>
      <c r="M60" s="30" t="s">
        <v>1052</v>
      </c>
      <c r="N60" s="30" t="s">
        <v>1055</v>
      </c>
    </row>
    <row r="61" spans="1:14" customFormat="1" x14ac:dyDescent="0.25">
      <c r="A61" s="7">
        <v>60</v>
      </c>
      <c r="B61" s="11" t="s">
        <v>76</v>
      </c>
      <c r="C61" s="7" t="s">
        <v>1039</v>
      </c>
      <c r="D61" s="7">
        <v>60</v>
      </c>
      <c r="E61" s="9">
        <v>60</v>
      </c>
      <c r="F61" s="7">
        <v>60</v>
      </c>
      <c r="G61" s="11" t="s">
        <v>1021</v>
      </c>
      <c r="H61" s="20">
        <v>32375</v>
      </c>
      <c r="I61" s="12">
        <v>44066</v>
      </c>
      <c r="J61" s="12">
        <v>44584</v>
      </c>
      <c r="K61" s="25">
        <v>26645</v>
      </c>
      <c r="L61" s="23">
        <v>5730</v>
      </c>
      <c r="M61" s="30" t="s">
        <v>1052</v>
      </c>
      <c r="N61" s="30" t="s">
        <v>1055</v>
      </c>
    </row>
    <row r="62" spans="1:14" customFormat="1" x14ac:dyDescent="0.25">
      <c r="A62" s="7">
        <v>61</v>
      </c>
      <c r="B62" s="11" t="s">
        <v>77</v>
      </c>
      <c r="C62" s="7" t="s">
        <v>1039</v>
      </c>
      <c r="D62" s="7">
        <v>61</v>
      </c>
      <c r="E62" s="7">
        <v>61</v>
      </c>
      <c r="F62" s="7">
        <v>61</v>
      </c>
      <c r="G62" s="11" t="s">
        <v>1016</v>
      </c>
      <c r="H62" s="20">
        <v>48758</v>
      </c>
      <c r="I62" s="12">
        <v>44210</v>
      </c>
      <c r="J62" s="12">
        <v>44848</v>
      </c>
      <c r="K62" s="25">
        <v>8869</v>
      </c>
      <c r="L62" s="23">
        <v>39889</v>
      </c>
      <c r="M62" s="30" t="s">
        <v>1052</v>
      </c>
      <c r="N62" s="30" t="s">
        <v>1055</v>
      </c>
    </row>
    <row r="63" spans="1:14" customFormat="1" x14ac:dyDescent="0.25">
      <c r="A63" s="7">
        <v>62</v>
      </c>
      <c r="B63" s="11" t="s">
        <v>78</v>
      </c>
      <c r="C63" s="7" t="s">
        <v>1039</v>
      </c>
      <c r="D63" s="7">
        <v>62</v>
      </c>
      <c r="E63" s="7">
        <v>62</v>
      </c>
      <c r="F63" s="7">
        <v>62</v>
      </c>
      <c r="G63" s="11" t="s">
        <v>1027</v>
      </c>
      <c r="H63" s="20">
        <v>44237</v>
      </c>
      <c r="I63" s="12">
        <v>45717</v>
      </c>
      <c r="J63" s="12">
        <v>46054</v>
      </c>
      <c r="K63" s="25">
        <v>10216</v>
      </c>
      <c r="L63" s="23">
        <v>34021</v>
      </c>
      <c r="M63" s="30" t="s">
        <v>1052</v>
      </c>
      <c r="N63" s="30" t="s">
        <v>1055</v>
      </c>
    </row>
    <row r="64" spans="1:14" customFormat="1" x14ac:dyDescent="0.25">
      <c r="A64" s="7">
        <v>63</v>
      </c>
      <c r="B64" s="11" t="s">
        <v>79</v>
      </c>
      <c r="C64" s="7" t="s">
        <v>1039</v>
      </c>
      <c r="D64" s="7">
        <v>63</v>
      </c>
      <c r="E64" s="9">
        <v>63</v>
      </c>
      <c r="F64" s="7">
        <v>63</v>
      </c>
      <c r="G64" s="11" t="s">
        <v>1025</v>
      </c>
      <c r="H64" s="20">
        <v>189786</v>
      </c>
      <c r="I64" s="12">
        <v>43876</v>
      </c>
      <c r="J64" s="12">
        <v>44089</v>
      </c>
      <c r="K64" s="25">
        <v>89846</v>
      </c>
      <c r="L64" s="23">
        <v>99940</v>
      </c>
      <c r="M64" s="30" t="s">
        <v>1052</v>
      </c>
      <c r="N64" s="30" t="s">
        <v>1055</v>
      </c>
    </row>
    <row r="65" spans="1:14" customFormat="1" x14ac:dyDescent="0.25">
      <c r="A65" s="7">
        <v>64</v>
      </c>
      <c r="B65" s="11" t="s">
        <v>80</v>
      </c>
      <c r="C65" s="7" t="s">
        <v>1039</v>
      </c>
      <c r="D65" s="7">
        <v>64</v>
      </c>
      <c r="E65" s="7">
        <v>64</v>
      </c>
      <c r="F65" s="7">
        <v>64</v>
      </c>
      <c r="G65" s="11" t="s">
        <v>1023</v>
      </c>
      <c r="H65" s="20">
        <v>1071</v>
      </c>
      <c r="I65" s="12">
        <v>43937</v>
      </c>
      <c r="J65" s="12">
        <v>44302</v>
      </c>
      <c r="K65" s="25">
        <v>438</v>
      </c>
      <c r="L65" s="23">
        <v>633</v>
      </c>
      <c r="M65" s="30" t="s">
        <v>1052</v>
      </c>
      <c r="N65" s="30" t="s">
        <v>1055</v>
      </c>
    </row>
    <row r="66" spans="1:14" customFormat="1" x14ac:dyDescent="0.25">
      <c r="A66" s="7">
        <v>65</v>
      </c>
      <c r="B66" s="11" t="s">
        <v>81</v>
      </c>
      <c r="C66" s="7" t="s">
        <v>1039</v>
      </c>
      <c r="D66" s="7">
        <v>65</v>
      </c>
      <c r="E66" s="7">
        <v>65</v>
      </c>
      <c r="F66" s="7">
        <v>65</v>
      </c>
      <c r="G66" s="11" t="s">
        <v>1024</v>
      </c>
      <c r="H66" s="20">
        <v>127429</v>
      </c>
      <c r="I66" s="12">
        <v>44370</v>
      </c>
      <c r="J66" s="12">
        <v>45069</v>
      </c>
      <c r="K66" s="25">
        <v>15921</v>
      </c>
      <c r="L66" s="23">
        <v>111508</v>
      </c>
      <c r="M66" s="30" t="s">
        <v>1052</v>
      </c>
      <c r="N66" s="30" t="s">
        <v>1055</v>
      </c>
    </row>
    <row r="67" spans="1:14" customFormat="1" x14ac:dyDescent="0.25">
      <c r="A67" s="7">
        <v>66</v>
      </c>
      <c r="B67" s="11" t="s">
        <v>82</v>
      </c>
      <c r="C67" s="7" t="s">
        <v>1039</v>
      </c>
      <c r="D67" s="7">
        <v>66</v>
      </c>
      <c r="E67" s="9">
        <v>66</v>
      </c>
      <c r="F67" s="7">
        <v>66</v>
      </c>
      <c r="G67" s="11" t="s">
        <v>1016</v>
      </c>
      <c r="H67" s="20">
        <v>14617</v>
      </c>
      <c r="I67" s="12">
        <v>45228</v>
      </c>
      <c r="J67" s="12">
        <v>45898</v>
      </c>
      <c r="K67" s="25">
        <v>13603</v>
      </c>
      <c r="L67" s="23">
        <v>1014</v>
      </c>
      <c r="M67" s="30" t="s">
        <v>1052</v>
      </c>
      <c r="N67" s="30" t="s">
        <v>1055</v>
      </c>
    </row>
    <row r="68" spans="1:14" customFormat="1" x14ac:dyDescent="0.25">
      <c r="A68" s="7">
        <v>67</v>
      </c>
      <c r="B68" s="11" t="s">
        <v>83</v>
      </c>
      <c r="C68" s="7" t="s">
        <v>1039</v>
      </c>
      <c r="D68" s="7">
        <v>67</v>
      </c>
      <c r="E68" s="7">
        <v>67</v>
      </c>
      <c r="F68" s="7">
        <v>67</v>
      </c>
      <c r="G68" s="11" t="s">
        <v>1020</v>
      </c>
      <c r="H68" s="20">
        <v>373231</v>
      </c>
      <c r="I68" s="12">
        <v>44107</v>
      </c>
      <c r="J68" s="12">
        <v>44715</v>
      </c>
      <c r="K68" s="25">
        <v>371478</v>
      </c>
      <c r="L68" s="23">
        <v>1753</v>
      </c>
      <c r="M68" s="30" t="s">
        <v>1052</v>
      </c>
      <c r="N68" s="30" t="s">
        <v>1055</v>
      </c>
    </row>
    <row r="69" spans="1:14" customFormat="1" x14ac:dyDescent="0.25">
      <c r="A69" s="7">
        <v>68</v>
      </c>
      <c r="B69" s="11" t="s">
        <v>84</v>
      </c>
      <c r="C69" s="7" t="s">
        <v>1039</v>
      </c>
      <c r="D69" s="7">
        <v>68</v>
      </c>
      <c r="E69" s="7">
        <v>68</v>
      </c>
      <c r="F69" s="7">
        <v>68</v>
      </c>
      <c r="G69" s="11" t="s">
        <v>1021</v>
      </c>
      <c r="H69" s="20">
        <v>23128</v>
      </c>
      <c r="I69" s="12">
        <v>44788</v>
      </c>
      <c r="J69" s="12">
        <v>45214</v>
      </c>
      <c r="K69" s="25">
        <v>10332</v>
      </c>
      <c r="L69" s="23">
        <v>12796</v>
      </c>
      <c r="M69" s="30" t="s">
        <v>1052</v>
      </c>
      <c r="N69" s="30" t="s">
        <v>1055</v>
      </c>
    </row>
    <row r="70" spans="1:14" customFormat="1" x14ac:dyDescent="0.25">
      <c r="A70" s="7">
        <v>69</v>
      </c>
      <c r="B70" s="11" t="s">
        <v>85</v>
      </c>
      <c r="C70" s="7" t="s">
        <v>1039</v>
      </c>
      <c r="D70" s="7">
        <v>69</v>
      </c>
      <c r="E70" s="9">
        <v>69</v>
      </c>
      <c r="F70" s="7">
        <v>69</v>
      </c>
      <c r="G70" s="11" t="s">
        <v>1016</v>
      </c>
      <c r="H70" s="20">
        <v>5771</v>
      </c>
      <c r="I70" s="12">
        <v>44164</v>
      </c>
      <c r="J70" s="12">
        <v>44833</v>
      </c>
      <c r="K70" s="25">
        <v>4591</v>
      </c>
      <c r="L70" s="23">
        <v>1180</v>
      </c>
      <c r="M70" s="30" t="s">
        <v>1052</v>
      </c>
      <c r="N70" s="30" t="s">
        <v>1055</v>
      </c>
    </row>
    <row r="71" spans="1:14" customFormat="1" x14ac:dyDescent="0.25">
      <c r="A71" s="7">
        <v>70</v>
      </c>
      <c r="B71" s="11" t="s">
        <v>86</v>
      </c>
      <c r="C71" s="7" t="s">
        <v>1039</v>
      </c>
      <c r="D71" s="7">
        <v>70</v>
      </c>
      <c r="E71" s="7">
        <v>70</v>
      </c>
      <c r="F71" s="7">
        <v>70</v>
      </c>
      <c r="G71" s="11" t="s">
        <v>1016</v>
      </c>
      <c r="H71" s="20">
        <v>24713</v>
      </c>
      <c r="I71" s="12">
        <v>45299</v>
      </c>
      <c r="J71" s="12">
        <v>45724</v>
      </c>
      <c r="K71" s="25">
        <v>7042</v>
      </c>
      <c r="L71" s="23">
        <v>17671</v>
      </c>
      <c r="M71" s="30" t="s">
        <v>1052</v>
      </c>
      <c r="N71" s="30" t="s">
        <v>1055</v>
      </c>
    </row>
    <row r="72" spans="1:14" customFormat="1" x14ac:dyDescent="0.25">
      <c r="A72" s="7">
        <v>71</v>
      </c>
      <c r="B72" s="11" t="s">
        <v>87</v>
      </c>
      <c r="C72" s="7" t="s">
        <v>1039</v>
      </c>
      <c r="D72" s="7">
        <v>71</v>
      </c>
      <c r="E72" s="7">
        <v>71</v>
      </c>
      <c r="F72" s="7">
        <v>71</v>
      </c>
      <c r="G72" s="11" t="s">
        <v>1016</v>
      </c>
      <c r="H72" s="20">
        <v>1547</v>
      </c>
      <c r="I72" s="12">
        <v>44363</v>
      </c>
      <c r="J72" s="12">
        <v>45093</v>
      </c>
      <c r="K72" s="25">
        <v>459</v>
      </c>
      <c r="L72" s="23">
        <v>1088</v>
      </c>
      <c r="M72" s="30" t="s">
        <v>1052</v>
      </c>
      <c r="N72" s="30" t="s">
        <v>1055</v>
      </c>
    </row>
    <row r="73" spans="1:14" customFormat="1" x14ac:dyDescent="0.25">
      <c r="A73" s="7">
        <v>72</v>
      </c>
      <c r="B73" s="11" t="s">
        <v>88</v>
      </c>
      <c r="C73" s="7" t="s">
        <v>1039</v>
      </c>
      <c r="D73" s="7">
        <v>72</v>
      </c>
      <c r="E73" s="9">
        <v>72</v>
      </c>
      <c r="F73" s="7">
        <v>72</v>
      </c>
      <c r="G73" s="11" t="s">
        <v>1021</v>
      </c>
      <c r="H73" s="20">
        <v>34277</v>
      </c>
      <c r="I73" s="12">
        <v>43892</v>
      </c>
      <c r="J73" s="12">
        <v>44167</v>
      </c>
      <c r="K73" s="25">
        <v>33063</v>
      </c>
      <c r="L73" s="23">
        <v>1214</v>
      </c>
      <c r="M73" s="30" t="s">
        <v>1052</v>
      </c>
      <c r="N73" s="30" t="s">
        <v>1055</v>
      </c>
    </row>
    <row r="74" spans="1:14" customFormat="1" x14ac:dyDescent="0.25">
      <c r="A74" s="7">
        <v>73</v>
      </c>
      <c r="B74" s="11" t="s">
        <v>89</v>
      </c>
      <c r="C74" s="7" t="s">
        <v>1039</v>
      </c>
      <c r="D74" s="7">
        <v>73</v>
      </c>
      <c r="E74" s="7">
        <v>73</v>
      </c>
      <c r="F74" s="7">
        <v>73</v>
      </c>
      <c r="G74" s="11" t="s">
        <v>1023</v>
      </c>
      <c r="H74" s="20">
        <v>1454</v>
      </c>
      <c r="I74" s="12">
        <v>44621</v>
      </c>
      <c r="J74" s="12">
        <v>44713</v>
      </c>
      <c r="K74" s="25">
        <v>333</v>
      </c>
      <c r="L74" s="23">
        <v>1121</v>
      </c>
      <c r="M74" s="30" t="s">
        <v>1052</v>
      </c>
      <c r="N74" s="30" t="s">
        <v>1055</v>
      </c>
    </row>
    <row r="75" spans="1:14" customFormat="1" x14ac:dyDescent="0.25">
      <c r="A75" s="7">
        <v>74</v>
      </c>
      <c r="B75" s="11" t="s">
        <v>90</v>
      </c>
      <c r="C75" s="7" t="s">
        <v>1039</v>
      </c>
      <c r="D75" s="7">
        <v>74</v>
      </c>
      <c r="E75" s="7">
        <v>74</v>
      </c>
      <c r="F75" s="7">
        <v>74</v>
      </c>
      <c r="G75" s="11" t="s">
        <v>1027</v>
      </c>
      <c r="H75" s="20">
        <v>24040</v>
      </c>
      <c r="I75" s="12">
        <v>44655</v>
      </c>
      <c r="J75" s="12">
        <v>45142</v>
      </c>
      <c r="K75" s="25">
        <v>17792</v>
      </c>
      <c r="L75" s="23">
        <v>6248</v>
      </c>
      <c r="M75" s="30" t="s">
        <v>1052</v>
      </c>
      <c r="N75" s="30" t="s">
        <v>1055</v>
      </c>
    </row>
    <row r="76" spans="1:14" customFormat="1" x14ac:dyDescent="0.25">
      <c r="A76" s="7">
        <v>75</v>
      </c>
      <c r="B76" s="11" t="s">
        <v>91</v>
      </c>
      <c r="C76" s="7" t="s">
        <v>1039</v>
      </c>
      <c r="D76" s="7">
        <v>75</v>
      </c>
      <c r="E76" s="9">
        <v>75</v>
      </c>
      <c r="F76" s="7">
        <v>75</v>
      </c>
      <c r="G76" s="11" t="s">
        <v>1021</v>
      </c>
      <c r="H76" s="20">
        <v>27092</v>
      </c>
      <c r="I76" s="12">
        <v>44735</v>
      </c>
      <c r="J76" s="12">
        <v>44980</v>
      </c>
      <c r="K76" s="25">
        <v>4906</v>
      </c>
      <c r="L76" s="23">
        <v>22186</v>
      </c>
      <c r="M76" s="30" t="s">
        <v>1052</v>
      </c>
      <c r="N76" s="30" t="s">
        <v>1055</v>
      </c>
    </row>
    <row r="77" spans="1:14" customFormat="1" x14ac:dyDescent="0.25">
      <c r="A77" s="7">
        <v>76</v>
      </c>
      <c r="B77" s="11" t="s">
        <v>92</v>
      </c>
      <c r="C77" s="7" t="s">
        <v>1039</v>
      </c>
      <c r="D77" s="7">
        <v>76</v>
      </c>
      <c r="E77" s="7">
        <v>76</v>
      </c>
      <c r="F77" s="7">
        <v>76</v>
      </c>
      <c r="G77" s="11" t="s">
        <v>1026</v>
      </c>
      <c r="H77" s="20">
        <v>2743459</v>
      </c>
      <c r="I77" s="12">
        <v>45136</v>
      </c>
      <c r="J77" s="12">
        <v>45198</v>
      </c>
      <c r="K77" s="25">
        <v>2009911</v>
      </c>
      <c r="L77" s="23">
        <v>733548</v>
      </c>
      <c r="M77" s="30" t="s">
        <v>1052</v>
      </c>
      <c r="N77" s="30" t="s">
        <v>1055</v>
      </c>
    </row>
    <row r="78" spans="1:14" customFormat="1" x14ac:dyDescent="0.25">
      <c r="A78" s="7">
        <v>77</v>
      </c>
      <c r="B78" s="11" t="s">
        <v>93</v>
      </c>
      <c r="C78" s="7" t="s">
        <v>1039</v>
      </c>
      <c r="D78" s="7">
        <v>77</v>
      </c>
      <c r="E78" s="7">
        <v>77</v>
      </c>
      <c r="F78" s="7">
        <v>77</v>
      </c>
      <c r="G78" s="11" t="s">
        <v>1023</v>
      </c>
      <c r="H78" s="20">
        <v>733</v>
      </c>
      <c r="I78" s="12">
        <v>44694</v>
      </c>
      <c r="J78" s="12">
        <v>45029</v>
      </c>
      <c r="K78" s="25">
        <v>5</v>
      </c>
      <c r="L78" s="23">
        <v>728</v>
      </c>
      <c r="M78" s="30" t="s">
        <v>1052</v>
      </c>
      <c r="N78" s="30" t="s">
        <v>1055</v>
      </c>
    </row>
    <row r="79" spans="1:14" customFormat="1" x14ac:dyDescent="0.25">
      <c r="A79" s="7">
        <v>78</v>
      </c>
      <c r="B79" s="11" t="s">
        <v>94</v>
      </c>
      <c r="C79" s="7" t="s">
        <v>1039</v>
      </c>
      <c r="D79" s="7">
        <v>78</v>
      </c>
      <c r="E79" s="9">
        <v>78</v>
      </c>
      <c r="F79" s="7">
        <v>78</v>
      </c>
      <c r="G79" s="11" t="s">
        <v>1026</v>
      </c>
      <c r="H79" s="20">
        <v>961372</v>
      </c>
      <c r="I79" s="12">
        <v>44035</v>
      </c>
      <c r="J79" s="12">
        <v>44704</v>
      </c>
      <c r="K79" s="25">
        <v>34673</v>
      </c>
      <c r="L79" s="23">
        <v>926699</v>
      </c>
      <c r="M79" s="30" t="s">
        <v>1052</v>
      </c>
      <c r="N79" s="30" t="s">
        <v>1055</v>
      </c>
    </row>
    <row r="80" spans="1:14" customFormat="1" x14ac:dyDescent="0.25">
      <c r="A80" s="7">
        <v>79</v>
      </c>
      <c r="B80" s="11" t="s">
        <v>95</v>
      </c>
      <c r="C80" s="7" t="s">
        <v>1039</v>
      </c>
      <c r="D80" s="7">
        <v>79</v>
      </c>
      <c r="E80" s="7">
        <v>79</v>
      </c>
      <c r="F80" s="7">
        <v>79</v>
      </c>
      <c r="G80" s="11" t="s">
        <v>1027</v>
      </c>
      <c r="H80" s="20">
        <v>18750</v>
      </c>
      <c r="I80" s="12">
        <v>44671</v>
      </c>
      <c r="J80" s="12">
        <v>44762</v>
      </c>
      <c r="K80" s="25">
        <v>4653</v>
      </c>
      <c r="L80" s="23">
        <v>14097</v>
      </c>
      <c r="M80" s="30" t="s">
        <v>1052</v>
      </c>
      <c r="N80" s="30" t="s">
        <v>1055</v>
      </c>
    </row>
    <row r="81" spans="1:14" customFormat="1" x14ac:dyDescent="0.25">
      <c r="A81" s="7">
        <v>80</v>
      </c>
      <c r="B81" s="11" t="s">
        <v>96</v>
      </c>
      <c r="C81" s="7" t="s">
        <v>1039</v>
      </c>
      <c r="D81" s="7">
        <v>80</v>
      </c>
      <c r="E81" s="7">
        <v>80</v>
      </c>
      <c r="F81" s="7">
        <v>80</v>
      </c>
      <c r="G81" s="11" t="s">
        <v>1027</v>
      </c>
      <c r="H81" s="20">
        <v>53196</v>
      </c>
      <c r="I81" s="12">
        <v>45201</v>
      </c>
      <c r="J81" s="12">
        <v>45262</v>
      </c>
      <c r="K81" s="25">
        <v>47244</v>
      </c>
      <c r="L81" s="23">
        <v>5952</v>
      </c>
      <c r="M81" s="30" t="s">
        <v>1052</v>
      </c>
      <c r="N81" s="30" t="s">
        <v>1055</v>
      </c>
    </row>
    <row r="82" spans="1:14" customFormat="1" x14ac:dyDescent="0.25">
      <c r="A82" s="7">
        <v>81</v>
      </c>
      <c r="B82" s="11" t="s">
        <v>97</v>
      </c>
      <c r="C82" s="7" t="s">
        <v>1039</v>
      </c>
      <c r="D82" s="7">
        <v>81</v>
      </c>
      <c r="E82" s="9">
        <v>81</v>
      </c>
      <c r="F82" s="7">
        <v>81</v>
      </c>
      <c r="G82" s="11" t="s">
        <v>1020</v>
      </c>
      <c r="H82" s="20">
        <v>239630</v>
      </c>
      <c r="I82" s="12">
        <v>44671</v>
      </c>
      <c r="J82" s="12">
        <v>44762</v>
      </c>
      <c r="K82" s="25">
        <v>59571</v>
      </c>
      <c r="L82" s="23">
        <v>180059</v>
      </c>
      <c r="M82" s="30" t="s">
        <v>1052</v>
      </c>
      <c r="N82" s="30" t="s">
        <v>1055</v>
      </c>
    </row>
    <row r="83" spans="1:14" customFormat="1" x14ac:dyDescent="0.25">
      <c r="A83" s="7">
        <v>82</v>
      </c>
      <c r="B83" s="11" t="s">
        <v>98</v>
      </c>
      <c r="C83" s="7" t="s">
        <v>1039</v>
      </c>
      <c r="D83" s="7">
        <v>82</v>
      </c>
      <c r="E83" s="7">
        <v>82</v>
      </c>
      <c r="F83" s="7">
        <v>82</v>
      </c>
      <c r="G83" s="11" t="s">
        <v>1016</v>
      </c>
      <c r="H83" s="20">
        <v>12779</v>
      </c>
      <c r="I83" s="12">
        <v>45122</v>
      </c>
      <c r="J83" s="12">
        <v>45488</v>
      </c>
      <c r="K83" s="25">
        <v>3891</v>
      </c>
      <c r="L83" s="23">
        <v>8888</v>
      </c>
      <c r="M83" s="30" t="s">
        <v>1052</v>
      </c>
      <c r="N83" s="30" t="s">
        <v>1055</v>
      </c>
    </row>
    <row r="84" spans="1:14" customFormat="1" x14ac:dyDescent="0.25">
      <c r="A84" s="7">
        <v>83</v>
      </c>
      <c r="B84" s="11" t="s">
        <v>99</v>
      </c>
      <c r="C84" s="7" t="s">
        <v>1039</v>
      </c>
      <c r="D84" s="7">
        <v>83</v>
      </c>
      <c r="E84" s="7">
        <v>83</v>
      </c>
      <c r="F84" s="7">
        <v>83</v>
      </c>
      <c r="G84" s="11" t="s">
        <v>1027</v>
      </c>
      <c r="H84" s="20">
        <v>18108</v>
      </c>
      <c r="I84" s="12">
        <v>45343</v>
      </c>
      <c r="J84" s="12">
        <v>45798</v>
      </c>
      <c r="K84" s="25">
        <v>1322</v>
      </c>
      <c r="L84" s="23">
        <v>16786</v>
      </c>
      <c r="M84" s="30" t="s">
        <v>1052</v>
      </c>
      <c r="N84" s="30" t="s">
        <v>1055</v>
      </c>
    </row>
    <row r="85" spans="1:14" customFormat="1" x14ac:dyDescent="0.25">
      <c r="A85" s="7">
        <v>84</v>
      </c>
      <c r="B85" s="11" t="s">
        <v>100</v>
      </c>
      <c r="C85" s="7" t="s">
        <v>1039</v>
      </c>
      <c r="D85" s="7">
        <v>84</v>
      </c>
      <c r="E85" s="9">
        <v>84</v>
      </c>
      <c r="F85" s="7">
        <v>84</v>
      </c>
      <c r="G85" s="11" t="s">
        <v>1024</v>
      </c>
      <c r="H85" s="20">
        <v>176483</v>
      </c>
      <c r="I85" s="12">
        <v>44151</v>
      </c>
      <c r="J85" s="12">
        <v>44516</v>
      </c>
      <c r="K85" s="25">
        <v>72533</v>
      </c>
      <c r="L85" s="23">
        <v>103950</v>
      </c>
      <c r="M85" s="30" t="s">
        <v>1052</v>
      </c>
      <c r="N85" s="30" t="s">
        <v>1055</v>
      </c>
    </row>
    <row r="86" spans="1:14" customFormat="1" x14ac:dyDescent="0.25">
      <c r="A86" s="7">
        <v>85</v>
      </c>
      <c r="B86" s="11" t="s">
        <v>101</v>
      </c>
      <c r="C86" s="7" t="s">
        <v>1039</v>
      </c>
      <c r="D86" s="7">
        <v>85</v>
      </c>
      <c r="E86" s="7">
        <v>85</v>
      </c>
      <c r="F86" s="7">
        <v>85</v>
      </c>
      <c r="G86" s="11" t="s">
        <v>1023</v>
      </c>
      <c r="H86" s="20">
        <v>557</v>
      </c>
      <c r="I86" s="12">
        <v>44969</v>
      </c>
      <c r="J86" s="12">
        <v>45242</v>
      </c>
      <c r="K86" s="25">
        <v>176</v>
      </c>
      <c r="L86" s="23">
        <v>381</v>
      </c>
      <c r="M86" s="30" t="s">
        <v>1052</v>
      </c>
      <c r="N86" s="30" t="s">
        <v>1055</v>
      </c>
    </row>
    <row r="87" spans="1:14" customFormat="1" x14ac:dyDescent="0.25">
      <c r="A87" s="7">
        <v>86</v>
      </c>
      <c r="B87" s="11" t="s">
        <v>102</v>
      </c>
      <c r="C87" s="7" t="s">
        <v>1039</v>
      </c>
      <c r="D87" s="7">
        <v>86</v>
      </c>
      <c r="E87" s="7">
        <v>86</v>
      </c>
      <c r="F87" s="7">
        <v>86</v>
      </c>
      <c r="G87" s="11" t="s">
        <v>1023</v>
      </c>
      <c r="H87" s="20">
        <v>635</v>
      </c>
      <c r="I87" s="12">
        <v>44265</v>
      </c>
      <c r="J87" s="12">
        <v>44844</v>
      </c>
      <c r="K87" s="25">
        <v>198</v>
      </c>
      <c r="L87" s="23">
        <v>437</v>
      </c>
      <c r="M87" s="30" t="s">
        <v>1052</v>
      </c>
      <c r="N87" s="30" t="s">
        <v>1055</v>
      </c>
    </row>
    <row r="88" spans="1:14" customFormat="1" x14ac:dyDescent="0.25">
      <c r="A88" s="7">
        <v>87</v>
      </c>
      <c r="B88" s="11" t="s">
        <v>103</v>
      </c>
      <c r="C88" s="7" t="s">
        <v>1039</v>
      </c>
      <c r="D88" s="7">
        <v>87</v>
      </c>
      <c r="E88" s="9">
        <v>87</v>
      </c>
      <c r="F88" s="7">
        <v>87</v>
      </c>
      <c r="G88" s="11" t="s">
        <v>1020</v>
      </c>
      <c r="H88" s="20">
        <v>373871</v>
      </c>
      <c r="I88" s="12">
        <v>44134</v>
      </c>
      <c r="J88" s="12">
        <v>44438</v>
      </c>
      <c r="K88" s="25">
        <v>338527</v>
      </c>
      <c r="L88" s="23">
        <v>35344</v>
      </c>
      <c r="M88" s="30" t="s">
        <v>1052</v>
      </c>
      <c r="N88" s="30" t="s">
        <v>1055</v>
      </c>
    </row>
    <row r="89" spans="1:14" customFormat="1" x14ac:dyDescent="0.25">
      <c r="A89" s="7">
        <v>88</v>
      </c>
      <c r="B89" s="11" t="s">
        <v>104</v>
      </c>
      <c r="C89" s="7" t="s">
        <v>1039</v>
      </c>
      <c r="D89" s="7">
        <v>88</v>
      </c>
      <c r="E89" s="7">
        <v>88</v>
      </c>
      <c r="F89" s="7">
        <v>88</v>
      </c>
      <c r="G89" s="11" t="s">
        <v>1027</v>
      </c>
      <c r="H89" s="20">
        <v>51104</v>
      </c>
      <c r="I89" s="12">
        <v>44977</v>
      </c>
      <c r="J89" s="12">
        <v>45432</v>
      </c>
      <c r="K89" s="25">
        <v>2920</v>
      </c>
      <c r="L89" s="23">
        <v>48184</v>
      </c>
      <c r="M89" s="30" t="s">
        <v>1052</v>
      </c>
      <c r="N89" s="30" t="s">
        <v>1055</v>
      </c>
    </row>
    <row r="90" spans="1:14" customFormat="1" x14ac:dyDescent="0.25">
      <c r="A90" s="7">
        <v>89</v>
      </c>
      <c r="B90" s="11" t="s">
        <v>105</v>
      </c>
      <c r="C90" s="7" t="s">
        <v>1039</v>
      </c>
      <c r="D90" s="7">
        <v>89</v>
      </c>
      <c r="E90" s="7">
        <v>89</v>
      </c>
      <c r="F90" s="7">
        <v>89</v>
      </c>
      <c r="G90" s="11" t="s">
        <v>1016</v>
      </c>
      <c r="H90" s="20">
        <v>41984</v>
      </c>
      <c r="I90" s="12">
        <v>44544</v>
      </c>
      <c r="J90" s="12">
        <v>44940</v>
      </c>
      <c r="K90" s="25">
        <v>5528</v>
      </c>
      <c r="L90" s="23">
        <v>36456</v>
      </c>
      <c r="M90" s="30" t="s">
        <v>1052</v>
      </c>
      <c r="N90" s="30" t="s">
        <v>1055</v>
      </c>
    </row>
    <row r="91" spans="1:14" customFormat="1" x14ac:dyDescent="0.25">
      <c r="A91" s="7">
        <v>90</v>
      </c>
      <c r="B91" s="11" t="s">
        <v>106</v>
      </c>
      <c r="C91" s="7" t="s">
        <v>1039</v>
      </c>
      <c r="D91" s="7">
        <v>90</v>
      </c>
      <c r="E91" s="9">
        <v>90</v>
      </c>
      <c r="F91" s="7">
        <v>90</v>
      </c>
      <c r="G91" s="11" t="s">
        <v>1026</v>
      </c>
      <c r="H91" s="20">
        <v>4439261</v>
      </c>
      <c r="I91" s="12">
        <v>44422</v>
      </c>
      <c r="J91" s="12">
        <v>45121</v>
      </c>
      <c r="K91" s="25">
        <v>3527433</v>
      </c>
      <c r="L91" s="23">
        <v>911828</v>
      </c>
      <c r="M91" s="30" t="s">
        <v>1052</v>
      </c>
      <c r="N91" s="30" t="s">
        <v>1055</v>
      </c>
    </row>
    <row r="92" spans="1:14" customFormat="1" x14ac:dyDescent="0.25">
      <c r="A92" s="7">
        <v>91</v>
      </c>
      <c r="B92" s="11" t="s">
        <v>107</v>
      </c>
      <c r="C92" s="7" t="s">
        <v>1039</v>
      </c>
      <c r="D92" s="7">
        <v>91</v>
      </c>
      <c r="E92" s="7">
        <v>91</v>
      </c>
      <c r="F92" s="7">
        <v>91</v>
      </c>
      <c r="G92" s="11" t="s">
        <v>1025</v>
      </c>
      <c r="H92" s="20">
        <v>183473</v>
      </c>
      <c r="I92" s="12">
        <v>43996</v>
      </c>
      <c r="J92" s="12">
        <v>44665</v>
      </c>
      <c r="K92" s="25">
        <v>117937</v>
      </c>
      <c r="L92" s="23">
        <v>65536</v>
      </c>
      <c r="M92" s="30" t="s">
        <v>1052</v>
      </c>
      <c r="N92" s="30" t="s">
        <v>1055</v>
      </c>
    </row>
    <row r="93" spans="1:14" customFormat="1" x14ac:dyDescent="0.25">
      <c r="A93" s="7">
        <v>92</v>
      </c>
      <c r="B93" s="11" t="s">
        <v>108</v>
      </c>
      <c r="C93" s="7" t="s">
        <v>1039</v>
      </c>
      <c r="D93" s="7">
        <v>92</v>
      </c>
      <c r="E93" s="7">
        <v>92</v>
      </c>
      <c r="F93" s="7">
        <v>92</v>
      </c>
      <c r="G93" s="11" t="s">
        <v>1022</v>
      </c>
      <c r="H93" s="20">
        <v>28730</v>
      </c>
      <c r="I93" s="12">
        <v>44560</v>
      </c>
      <c r="J93" s="12">
        <v>44985</v>
      </c>
      <c r="K93" s="25">
        <v>16848</v>
      </c>
      <c r="L93" s="23">
        <v>11882</v>
      </c>
      <c r="M93" s="30" t="s">
        <v>1052</v>
      </c>
      <c r="N93" s="30" t="s">
        <v>1055</v>
      </c>
    </row>
    <row r="94" spans="1:14" customFormat="1" x14ac:dyDescent="0.25">
      <c r="A94" s="7">
        <v>93</v>
      </c>
      <c r="B94" s="11" t="s">
        <v>109</v>
      </c>
      <c r="C94" s="7" t="s">
        <v>1039</v>
      </c>
      <c r="D94" s="7">
        <v>93</v>
      </c>
      <c r="E94" s="9">
        <v>93</v>
      </c>
      <c r="F94" s="7">
        <v>93</v>
      </c>
      <c r="G94" s="11" t="s">
        <v>1016</v>
      </c>
      <c r="H94" s="20">
        <v>2914</v>
      </c>
      <c r="I94" s="12">
        <v>44102</v>
      </c>
      <c r="J94" s="12">
        <v>44163</v>
      </c>
      <c r="K94" s="25">
        <v>337</v>
      </c>
      <c r="L94" s="23">
        <v>2577</v>
      </c>
      <c r="M94" s="30" t="s">
        <v>1052</v>
      </c>
      <c r="N94" s="30" t="s">
        <v>1055</v>
      </c>
    </row>
    <row r="95" spans="1:14" customFormat="1" x14ac:dyDescent="0.25">
      <c r="A95" s="7">
        <v>94</v>
      </c>
      <c r="B95" s="11" t="s">
        <v>110</v>
      </c>
      <c r="C95" s="7" t="s">
        <v>1039</v>
      </c>
      <c r="D95" s="7">
        <v>94</v>
      </c>
      <c r="E95" s="7">
        <v>94</v>
      </c>
      <c r="F95" s="7">
        <v>94</v>
      </c>
      <c r="G95" s="11" t="s">
        <v>1024</v>
      </c>
      <c r="H95" s="20">
        <v>843462</v>
      </c>
      <c r="I95" s="12">
        <v>45007</v>
      </c>
      <c r="J95" s="12">
        <v>45344</v>
      </c>
      <c r="K95" s="25">
        <v>246003</v>
      </c>
      <c r="L95" s="23">
        <v>597459</v>
      </c>
      <c r="M95" s="30" t="s">
        <v>1052</v>
      </c>
      <c r="N95" s="30" t="s">
        <v>1055</v>
      </c>
    </row>
    <row r="96" spans="1:14" customFormat="1" x14ac:dyDescent="0.25">
      <c r="A96" s="7">
        <v>95</v>
      </c>
      <c r="B96" s="11" t="s">
        <v>111</v>
      </c>
      <c r="C96" s="7" t="s">
        <v>1039</v>
      </c>
      <c r="D96" s="7">
        <v>95</v>
      </c>
      <c r="E96" s="7">
        <v>95</v>
      </c>
      <c r="F96" s="7">
        <v>95</v>
      </c>
      <c r="G96" s="11" t="s">
        <v>1027</v>
      </c>
      <c r="H96" s="20">
        <v>38325</v>
      </c>
      <c r="I96" s="12">
        <v>44828</v>
      </c>
      <c r="J96" s="12">
        <v>45131</v>
      </c>
      <c r="K96" s="25">
        <v>14210</v>
      </c>
      <c r="L96" s="23">
        <v>24115</v>
      </c>
      <c r="M96" s="30" t="s">
        <v>1052</v>
      </c>
      <c r="N96" s="30" t="s">
        <v>1055</v>
      </c>
    </row>
    <row r="97" spans="1:14" customFormat="1" x14ac:dyDescent="0.25">
      <c r="A97" s="7">
        <v>96</v>
      </c>
      <c r="B97" s="11" t="s">
        <v>112</v>
      </c>
      <c r="C97" s="7" t="s">
        <v>1039</v>
      </c>
      <c r="D97" s="7">
        <v>96</v>
      </c>
      <c r="E97" s="9">
        <v>96</v>
      </c>
      <c r="F97" s="7">
        <v>96</v>
      </c>
      <c r="G97" s="11" t="s">
        <v>1020</v>
      </c>
      <c r="H97" s="20">
        <v>399876</v>
      </c>
      <c r="I97" s="12">
        <v>43940</v>
      </c>
      <c r="J97" s="12">
        <v>44154</v>
      </c>
      <c r="K97" s="25">
        <v>223165</v>
      </c>
      <c r="L97" s="23">
        <v>176711</v>
      </c>
      <c r="M97" s="30" t="s">
        <v>1052</v>
      </c>
      <c r="N97" s="30" t="s">
        <v>1055</v>
      </c>
    </row>
    <row r="98" spans="1:14" customFormat="1" x14ac:dyDescent="0.25">
      <c r="A98" s="7">
        <v>97</v>
      </c>
      <c r="B98" s="11" t="s">
        <v>113</v>
      </c>
      <c r="C98" s="7" t="s">
        <v>1039</v>
      </c>
      <c r="D98" s="7">
        <v>97</v>
      </c>
      <c r="E98" s="7">
        <v>97</v>
      </c>
      <c r="F98" s="7">
        <v>97</v>
      </c>
      <c r="G98" s="11" t="s">
        <v>1027</v>
      </c>
      <c r="H98" s="20">
        <v>49075</v>
      </c>
      <c r="I98" s="12">
        <v>44179</v>
      </c>
      <c r="J98" s="12">
        <v>44787</v>
      </c>
      <c r="K98" s="25">
        <v>7314</v>
      </c>
      <c r="L98" s="23">
        <v>41761</v>
      </c>
      <c r="M98" s="30" t="s">
        <v>1052</v>
      </c>
      <c r="N98" s="30" t="s">
        <v>1055</v>
      </c>
    </row>
    <row r="99" spans="1:14" customFormat="1" x14ac:dyDescent="0.25">
      <c r="A99" s="7">
        <v>98</v>
      </c>
      <c r="B99" s="11" t="s">
        <v>114</v>
      </c>
      <c r="C99" s="7" t="s">
        <v>1039</v>
      </c>
      <c r="D99" s="7">
        <v>98</v>
      </c>
      <c r="E99" s="7">
        <v>98</v>
      </c>
      <c r="F99" s="7">
        <v>98</v>
      </c>
      <c r="G99" s="11" t="s">
        <v>1021</v>
      </c>
      <c r="H99" s="20">
        <v>40349</v>
      </c>
      <c r="I99" s="12">
        <v>44419</v>
      </c>
      <c r="J99" s="12">
        <v>44968</v>
      </c>
      <c r="K99" s="25">
        <v>21531</v>
      </c>
      <c r="L99" s="23">
        <v>18818</v>
      </c>
      <c r="M99" s="30" t="s">
        <v>1052</v>
      </c>
      <c r="N99" s="30" t="s">
        <v>1055</v>
      </c>
    </row>
    <row r="100" spans="1:14" customFormat="1" x14ac:dyDescent="0.25">
      <c r="A100" s="7">
        <v>99</v>
      </c>
      <c r="B100" s="11" t="s">
        <v>115</v>
      </c>
      <c r="C100" s="7" t="s">
        <v>1039</v>
      </c>
      <c r="D100" s="7">
        <v>99</v>
      </c>
      <c r="E100" s="9">
        <v>99</v>
      </c>
      <c r="F100" s="7">
        <v>99</v>
      </c>
      <c r="G100" s="11" t="s">
        <v>1016</v>
      </c>
      <c r="H100" s="20">
        <v>45299</v>
      </c>
      <c r="I100" s="12">
        <v>43905</v>
      </c>
      <c r="J100" s="12">
        <v>43997</v>
      </c>
      <c r="K100" s="25">
        <v>11741</v>
      </c>
      <c r="L100" s="23">
        <v>33558</v>
      </c>
      <c r="M100" s="30" t="s">
        <v>1052</v>
      </c>
      <c r="N100" s="30" t="s">
        <v>1055</v>
      </c>
    </row>
    <row r="101" spans="1:14" customFormat="1" x14ac:dyDescent="0.25">
      <c r="A101" s="7">
        <v>100</v>
      </c>
      <c r="B101" s="11" t="s">
        <v>116</v>
      </c>
      <c r="C101" s="7" t="s">
        <v>1039</v>
      </c>
      <c r="D101" s="7">
        <v>100</v>
      </c>
      <c r="E101" s="7">
        <v>100</v>
      </c>
      <c r="F101" s="7">
        <v>100</v>
      </c>
      <c r="G101" s="11" t="s">
        <v>1022</v>
      </c>
      <c r="H101" s="20">
        <v>17097</v>
      </c>
      <c r="I101" s="12">
        <v>44503</v>
      </c>
      <c r="J101" s="12">
        <v>44623</v>
      </c>
      <c r="K101" s="25">
        <v>16664</v>
      </c>
      <c r="L101" s="23">
        <v>433</v>
      </c>
      <c r="M101" s="30" t="s">
        <v>1052</v>
      </c>
      <c r="N101" s="30" t="s">
        <v>1055</v>
      </c>
    </row>
    <row r="102" spans="1:14" customFormat="1" x14ac:dyDescent="0.25">
      <c r="A102" s="7">
        <v>101</v>
      </c>
      <c r="B102" s="11" t="s">
        <v>117</v>
      </c>
      <c r="C102" s="7" t="s">
        <v>1039</v>
      </c>
      <c r="D102" s="7">
        <v>101</v>
      </c>
      <c r="E102" s="7">
        <v>101</v>
      </c>
      <c r="F102" s="7">
        <v>101</v>
      </c>
      <c r="G102" s="11" t="s">
        <v>1023</v>
      </c>
      <c r="H102" s="20">
        <v>685</v>
      </c>
      <c r="I102" s="12">
        <v>44906</v>
      </c>
      <c r="J102" s="12">
        <v>45454</v>
      </c>
      <c r="K102" s="25">
        <v>328</v>
      </c>
      <c r="L102" s="23">
        <v>357</v>
      </c>
      <c r="M102" s="30" t="s">
        <v>1052</v>
      </c>
      <c r="N102" s="30" t="s">
        <v>1055</v>
      </c>
    </row>
    <row r="103" spans="1:14" customFormat="1" x14ac:dyDescent="0.25">
      <c r="A103" s="7">
        <v>102</v>
      </c>
      <c r="B103" s="11" t="s">
        <v>118</v>
      </c>
      <c r="C103" s="7" t="s">
        <v>1039</v>
      </c>
      <c r="D103" s="7">
        <v>102</v>
      </c>
      <c r="E103" s="9">
        <v>102</v>
      </c>
      <c r="F103" s="7">
        <v>102</v>
      </c>
      <c r="G103" s="11" t="s">
        <v>1016</v>
      </c>
      <c r="H103" s="20">
        <v>6160</v>
      </c>
      <c r="I103" s="12">
        <v>44679</v>
      </c>
      <c r="J103" s="12">
        <v>44893</v>
      </c>
      <c r="K103" s="25">
        <v>1211</v>
      </c>
      <c r="L103" s="23">
        <v>4949</v>
      </c>
      <c r="M103" s="30" t="s">
        <v>1052</v>
      </c>
      <c r="N103" s="30" t="s">
        <v>1055</v>
      </c>
    </row>
    <row r="104" spans="1:14" customFormat="1" x14ac:dyDescent="0.25">
      <c r="A104" s="7">
        <v>103</v>
      </c>
      <c r="B104" s="11" t="s">
        <v>119</v>
      </c>
      <c r="C104" s="7" t="s">
        <v>1039</v>
      </c>
      <c r="D104" s="7">
        <v>103</v>
      </c>
      <c r="E104" s="7">
        <v>103</v>
      </c>
      <c r="F104" s="7">
        <v>103</v>
      </c>
      <c r="G104" s="11" t="s">
        <v>1020</v>
      </c>
      <c r="H104" s="20">
        <v>249108</v>
      </c>
      <c r="I104" s="12">
        <v>43989</v>
      </c>
      <c r="J104" s="12">
        <v>44384</v>
      </c>
      <c r="K104" s="25">
        <v>237554</v>
      </c>
      <c r="L104" s="23">
        <v>11554</v>
      </c>
      <c r="M104" s="30" t="s">
        <v>1052</v>
      </c>
      <c r="N104" s="30" t="s">
        <v>1055</v>
      </c>
    </row>
    <row r="105" spans="1:14" customFormat="1" x14ac:dyDescent="0.25">
      <c r="A105" s="7">
        <v>104</v>
      </c>
      <c r="B105" s="11" t="s">
        <v>120</v>
      </c>
      <c r="C105" s="7" t="s">
        <v>1039</v>
      </c>
      <c r="D105" s="7">
        <v>104</v>
      </c>
      <c r="E105" s="7">
        <v>104</v>
      </c>
      <c r="F105" s="7">
        <v>104</v>
      </c>
      <c r="G105" s="11" t="s">
        <v>1027</v>
      </c>
      <c r="H105" s="20">
        <v>39141</v>
      </c>
      <c r="I105" s="12">
        <v>43887</v>
      </c>
      <c r="J105" s="12">
        <v>44465</v>
      </c>
      <c r="K105" s="25">
        <v>23617</v>
      </c>
      <c r="L105" s="23">
        <v>15524</v>
      </c>
      <c r="M105" s="30" t="s">
        <v>1052</v>
      </c>
      <c r="N105" s="30" t="s">
        <v>1055</v>
      </c>
    </row>
    <row r="106" spans="1:14" customFormat="1" x14ac:dyDescent="0.25">
      <c r="A106" s="7">
        <v>105</v>
      </c>
      <c r="B106" s="11" t="s">
        <v>121</v>
      </c>
      <c r="C106" s="7" t="s">
        <v>1039</v>
      </c>
      <c r="D106" s="7">
        <v>105</v>
      </c>
      <c r="E106" s="9">
        <v>105</v>
      </c>
      <c r="F106" s="7">
        <v>105</v>
      </c>
      <c r="G106" s="11" t="s">
        <v>1022</v>
      </c>
      <c r="H106" s="20">
        <v>18524</v>
      </c>
      <c r="I106" s="12">
        <v>44084</v>
      </c>
      <c r="J106" s="12">
        <v>44691</v>
      </c>
      <c r="K106" s="25">
        <v>10447</v>
      </c>
      <c r="L106" s="23">
        <v>8077</v>
      </c>
      <c r="M106" s="30" t="s">
        <v>1052</v>
      </c>
      <c r="N106" s="30" t="s">
        <v>1055</v>
      </c>
    </row>
    <row r="107" spans="1:14" customFormat="1" x14ac:dyDescent="0.25">
      <c r="A107" s="7">
        <v>106</v>
      </c>
      <c r="B107" s="11" t="s">
        <v>122</v>
      </c>
      <c r="C107" s="7" t="s">
        <v>1039</v>
      </c>
      <c r="D107" s="7">
        <v>106</v>
      </c>
      <c r="E107" s="7">
        <v>106</v>
      </c>
      <c r="F107" s="7">
        <v>106</v>
      </c>
      <c r="G107" s="11" t="s">
        <v>1026</v>
      </c>
      <c r="H107" s="20">
        <v>3354124</v>
      </c>
      <c r="I107" s="12">
        <v>45195</v>
      </c>
      <c r="J107" s="12">
        <v>45438</v>
      </c>
      <c r="K107" s="25">
        <v>3325670</v>
      </c>
      <c r="L107" s="23">
        <v>28454</v>
      </c>
      <c r="M107" s="30" t="s">
        <v>1052</v>
      </c>
      <c r="N107" s="30" t="s">
        <v>1055</v>
      </c>
    </row>
    <row r="108" spans="1:14" customFormat="1" x14ac:dyDescent="0.25">
      <c r="A108" s="7">
        <v>107</v>
      </c>
      <c r="B108" s="11" t="s">
        <v>123</v>
      </c>
      <c r="C108" s="7" t="s">
        <v>1039</v>
      </c>
      <c r="D108" s="7">
        <v>107</v>
      </c>
      <c r="E108" s="7">
        <v>107</v>
      </c>
      <c r="F108" s="7">
        <v>107</v>
      </c>
      <c r="G108" s="11" t="s">
        <v>1023</v>
      </c>
      <c r="H108" s="20">
        <v>556</v>
      </c>
      <c r="I108" s="12">
        <v>44370</v>
      </c>
      <c r="J108" s="12">
        <v>44888</v>
      </c>
      <c r="K108" s="25">
        <v>17</v>
      </c>
      <c r="L108" s="23">
        <v>539</v>
      </c>
      <c r="M108" s="30" t="s">
        <v>1052</v>
      </c>
      <c r="N108" s="30" t="s">
        <v>1055</v>
      </c>
    </row>
    <row r="109" spans="1:14" customFormat="1" x14ac:dyDescent="0.25">
      <c r="A109" s="7">
        <v>108</v>
      </c>
      <c r="B109" s="11" t="s">
        <v>124</v>
      </c>
      <c r="C109" s="7" t="s">
        <v>1039</v>
      </c>
      <c r="D109" s="7">
        <v>108</v>
      </c>
      <c r="E109" s="9">
        <v>108</v>
      </c>
      <c r="F109" s="7">
        <v>108</v>
      </c>
      <c r="G109" s="11" t="s">
        <v>1024</v>
      </c>
      <c r="H109" s="20">
        <v>338776</v>
      </c>
      <c r="I109" s="12">
        <v>45182</v>
      </c>
      <c r="J109" s="12">
        <v>45335</v>
      </c>
      <c r="K109" s="25">
        <v>169339</v>
      </c>
      <c r="L109" s="23">
        <v>169437</v>
      </c>
      <c r="M109" s="30" t="s">
        <v>1052</v>
      </c>
      <c r="N109" s="30" t="s">
        <v>1055</v>
      </c>
    </row>
    <row r="110" spans="1:14" customFormat="1" x14ac:dyDescent="0.25">
      <c r="A110" s="7">
        <v>109</v>
      </c>
      <c r="B110" s="11" t="s">
        <v>125</v>
      </c>
      <c r="C110" s="7" t="s">
        <v>1039</v>
      </c>
      <c r="D110" s="7">
        <v>109</v>
      </c>
      <c r="E110" s="7">
        <v>109</v>
      </c>
      <c r="F110" s="7">
        <v>109</v>
      </c>
      <c r="G110" s="11" t="s">
        <v>1025</v>
      </c>
      <c r="H110" s="20">
        <v>101132</v>
      </c>
      <c r="I110" s="12">
        <v>45546</v>
      </c>
      <c r="J110" s="12">
        <v>46276</v>
      </c>
      <c r="K110" s="25">
        <v>22211</v>
      </c>
      <c r="L110" s="23">
        <v>78921</v>
      </c>
      <c r="M110" s="30" t="s">
        <v>1052</v>
      </c>
      <c r="N110" s="30" t="s">
        <v>1055</v>
      </c>
    </row>
    <row r="111" spans="1:14" customFormat="1" x14ac:dyDescent="0.25">
      <c r="A111" s="7">
        <v>110</v>
      </c>
      <c r="B111" s="11" t="s">
        <v>126</v>
      </c>
      <c r="C111" s="7" t="s">
        <v>1039</v>
      </c>
      <c r="D111" s="7">
        <v>110</v>
      </c>
      <c r="E111" s="7">
        <v>110</v>
      </c>
      <c r="F111" s="7">
        <v>110</v>
      </c>
      <c r="G111" s="11" t="s">
        <v>1022</v>
      </c>
      <c r="H111" s="20">
        <v>32732</v>
      </c>
      <c r="I111" s="12">
        <v>44972</v>
      </c>
      <c r="J111" s="12">
        <v>45031</v>
      </c>
      <c r="K111" s="25">
        <v>22759</v>
      </c>
      <c r="L111" s="23">
        <v>9973</v>
      </c>
      <c r="M111" s="30" t="s">
        <v>1052</v>
      </c>
      <c r="N111" s="30" t="s">
        <v>1055</v>
      </c>
    </row>
    <row r="112" spans="1:14" customFormat="1" x14ac:dyDescent="0.25">
      <c r="A112" s="7">
        <v>111</v>
      </c>
      <c r="B112" s="11" t="s">
        <v>127</v>
      </c>
      <c r="C112" s="7" t="s">
        <v>1039</v>
      </c>
      <c r="D112" s="7">
        <v>111</v>
      </c>
      <c r="E112" s="9">
        <v>111</v>
      </c>
      <c r="F112" s="7">
        <v>111</v>
      </c>
      <c r="G112" s="11" t="s">
        <v>1023</v>
      </c>
      <c r="H112" s="20">
        <v>411</v>
      </c>
      <c r="I112" s="12">
        <v>45107</v>
      </c>
      <c r="J112" s="12">
        <v>45687</v>
      </c>
      <c r="K112" s="25">
        <v>64</v>
      </c>
      <c r="L112" s="23">
        <v>347</v>
      </c>
      <c r="M112" s="30" t="s">
        <v>1052</v>
      </c>
      <c r="N112" s="30" t="s">
        <v>1055</v>
      </c>
    </row>
    <row r="113" spans="1:14" customFormat="1" x14ac:dyDescent="0.25">
      <c r="A113" s="7">
        <v>112</v>
      </c>
      <c r="B113" s="11" t="s">
        <v>128</v>
      </c>
      <c r="C113" s="7" t="s">
        <v>1039</v>
      </c>
      <c r="D113" s="7">
        <v>112</v>
      </c>
      <c r="E113" s="7">
        <v>112</v>
      </c>
      <c r="F113" s="7">
        <v>112</v>
      </c>
      <c r="G113" s="11" t="s">
        <v>1027</v>
      </c>
      <c r="H113" s="20">
        <v>18691</v>
      </c>
      <c r="I113" s="12">
        <v>45318</v>
      </c>
      <c r="J113" s="12">
        <v>45804</v>
      </c>
      <c r="K113" s="25">
        <v>15680</v>
      </c>
      <c r="L113" s="23">
        <v>3011</v>
      </c>
      <c r="M113" s="30" t="s">
        <v>1052</v>
      </c>
      <c r="N113" s="30" t="s">
        <v>1055</v>
      </c>
    </row>
    <row r="114" spans="1:14" customFormat="1" x14ac:dyDescent="0.25">
      <c r="A114" s="7">
        <v>113</v>
      </c>
      <c r="B114" s="11" t="s">
        <v>129</v>
      </c>
      <c r="C114" s="7" t="s">
        <v>1039</v>
      </c>
      <c r="D114" s="7">
        <v>113</v>
      </c>
      <c r="E114" s="7">
        <v>113</v>
      </c>
      <c r="F114" s="7">
        <v>113</v>
      </c>
      <c r="G114" s="11" t="s">
        <v>1025</v>
      </c>
      <c r="H114" s="20">
        <v>98054</v>
      </c>
      <c r="I114" s="12">
        <v>45442</v>
      </c>
      <c r="J114" s="12">
        <v>46081</v>
      </c>
      <c r="K114" s="25">
        <v>97222</v>
      </c>
      <c r="L114" s="23">
        <v>832</v>
      </c>
      <c r="M114" s="30" t="s">
        <v>1052</v>
      </c>
      <c r="N114" s="30" t="s">
        <v>1055</v>
      </c>
    </row>
    <row r="115" spans="1:14" customFormat="1" x14ac:dyDescent="0.25">
      <c r="A115" s="7">
        <v>114</v>
      </c>
      <c r="B115" s="11" t="s">
        <v>130</v>
      </c>
      <c r="C115" s="7" t="s">
        <v>1039</v>
      </c>
      <c r="D115" s="7">
        <v>114</v>
      </c>
      <c r="E115" s="9">
        <v>114</v>
      </c>
      <c r="F115" s="7">
        <v>114</v>
      </c>
      <c r="G115" s="11" t="s">
        <v>1020</v>
      </c>
      <c r="H115" s="20">
        <v>494060</v>
      </c>
      <c r="I115" s="12">
        <v>45626</v>
      </c>
      <c r="J115" s="12">
        <v>46142</v>
      </c>
      <c r="K115" s="25">
        <v>210204</v>
      </c>
      <c r="L115" s="23">
        <v>283856</v>
      </c>
      <c r="M115" s="30" t="s">
        <v>1052</v>
      </c>
      <c r="N115" s="30" t="s">
        <v>1055</v>
      </c>
    </row>
    <row r="116" spans="1:14" customFormat="1" x14ac:dyDescent="0.25">
      <c r="A116" s="7">
        <v>115</v>
      </c>
      <c r="B116" s="11" t="s">
        <v>131</v>
      </c>
      <c r="C116" s="7" t="s">
        <v>1039</v>
      </c>
      <c r="D116" s="7">
        <v>115</v>
      </c>
      <c r="E116" s="7">
        <v>115</v>
      </c>
      <c r="F116" s="7">
        <v>115</v>
      </c>
      <c r="G116" s="11" t="s">
        <v>1021</v>
      </c>
      <c r="H116" s="20">
        <v>98404</v>
      </c>
      <c r="I116" s="12">
        <v>44620</v>
      </c>
      <c r="J116" s="12">
        <v>45319</v>
      </c>
      <c r="K116" s="25">
        <v>77866</v>
      </c>
      <c r="L116" s="23">
        <v>20538</v>
      </c>
      <c r="M116" s="30" t="s">
        <v>1052</v>
      </c>
      <c r="N116" s="30" t="s">
        <v>1055</v>
      </c>
    </row>
    <row r="117" spans="1:14" customFormat="1" x14ac:dyDescent="0.25">
      <c r="A117" s="7">
        <v>116</v>
      </c>
      <c r="B117" s="11" t="s">
        <v>132</v>
      </c>
      <c r="C117" s="7" t="s">
        <v>1039</v>
      </c>
      <c r="D117" s="7">
        <v>116</v>
      </c>
      <c r="E117" s="7">
        <v>116</v>
      </c>
      <c r="F117" s="7">
        <v>116</v>
      </c>
      <c r="G117" s="11" t="s">
        <v>1016</v>
      </c>
      <c r="H117" s="20">
        <v>37778</v>
      </c>
      <c r="I117" s="12">
        <v>45288</v>
      </c>
      <c r="J117" s="12">
        <v>45563</v>
      </c>
      <c r="K117" s="25">
        <v>10496</v>
      </c>
      <c r="L117" s="23">
        <v>27282</v>
      </c>
      <c r="M117" s="30" t="s">
        <v>1052</v>
      </c>
      <c r="N117" s="30" t="s">
        <v>1055</v>
      </c>
    </row>
    <row r="118" spans="1:14" customFormat="1" x14ac:dyDescent="0.25">
      <c r="A118" s="7">
        <v>117</v>
      </c>
      <c r="B118" s="11" t="s">
        <v>133</v>
      </c>
      <c r="C118" s="7" t="s">
        <v>1039</v>
      </c>
      <c r="D118" s="7">
        <v>117</v>
      </c>
      <c r="E118" s="9">
        <v>117</v>
      </c>
      <c r="F118" s="7">
        <v>117</v>
      </c>
      <c r="G118" s="11" t="s">
        <v>1022</v>
      </c>
      <c r="H118" s="20">
        <v>24881</v>
      </c>
      <c r="I118" s="12">
        <v>44432</v>
      </c>
      <c r="J118" s="12">
        <v>44919</v>
      </c>
      <c r="K118" s="25">
        <v>20469</v>
      </c>
      <c r="L118" s="23">
        <v>4412</v>
      </c>
      <c r="M118" s="30" t="s">
        <v>1052</v>
      </c>
      <c r="N118" s="30" t="s">
        <v>1055</v>
      </c>
    </row>
    <row r="119" spans="1:14" customFormat="1" x14ac:dyDescent="0.25">
      <c r="A119" s="7">
        <v>118</v>
      </c>
      <c r="B119" s="11" t="s">
        <v>134</v>
      </c>
      <c r="C119" s="7" t="s">
        <v>1039</v>
      </c>
      <c r="D119" s="7">
        <v>118</v>
      </c>
      <c r="E119" s="7">
        <v>118</v>
      </c>
      <c r="F119" s="7">
        <v>118</v>
      </c>
      <c r="G119" s="11" t="s">
        <v>1027</v>
      </c>
      <c r="H119" s="20">
        <v>21143</v>
      </c>
      <c r="I119" s="12">
        <v>44683</v>
      </c>
      <c r="J119" s="12">
        <v>45262</v>
      </c>
      <c r="K119" s="25">
        <v>20559</v>
      </c>
      <c r="L119" s="23">
        <v>584</v>
      </c>
      <c r="M119" s="30" t="s">
        <v>1052</v>
      </c>
      <c r="N119" s="30" t="s">
        <v>1055</v>
      </c>
    </row>
    <row r="120" spans="1:14" customFormat="1" x14ac:dyDescent="0.25">
      <c r="A120" s="7">
        <v>119</v>
      </c>
      <c r="B120" s="11" t="s">
        <v>135</v>
      </c>
      <c r="C120" s="7" t="s">
        <v>1039</v>
      </c>
      <c r="D120" s="7">
        <v>119</v>
      </c>
      <c r="E120" s="7">
        <v>119</v>
      </c>
      <c r="F120" s="7">
        <v>119</v>
      </c>
      <c r="G120" s="11" t="s">
        <v>1025</v>
      </c>
      <c r="H120" s="20">
        <v>400437</v>
      </c>
      <c r="I120" s="12">
        <v>44952</v>
      </c>
      <c r="J120" s="12">
        <v>45683</v>
      </c>
      <c r="K120" s="25">
        <v>301901</v>
      </c>
      <c r="L120" s="23">
        <v>98536</v>
      </c>
      <c r="M120" s="30" t="s">
        <v>1052</v>
      </c>
      <c r="N120" s="30" t="s">
        <v>1055</v>
      </c>
    </row>
    <row r="121" spans="1:14" customFormat="1" x14ac:dyDescent="0.25">
      <c r="A121" s="7">
        <v>120</v>
      </c>
      <c r="B121" s="11" t="s">
        <v>136</v>
      </c>
      <c r="C121" s="7" t="s">
        <v>1039</v>
      </c>
      <c r="D121" s="7">
        <v>120</v>
      </c>
      <c r="E121" s="9">
        <v>120</v>
      </c>
      <c r="F121" s="7">
        <v>120</v>
      </c>
      <c r="G121" s="11" t="s">
        <v>1024</v>
      </c>
      <c r="H121" s="20">
        <v>835308</v>
      </c>
      <c r="I121" s="12">
        <v>44946</v>
      </c>
      <c r="J121" s="12">
        <v>45158</v>
      </c>
      <c r="K121" s="25">
        <v>117619</v>
      </c>
      <c r="L121" s="23">
        <v>717689</v>
      </c>
      <c r="M121" s="30" t="s">
        <v>1052</v>
      </c>
      <c r="N121" s="30" t="s">
        <v>1055</v>
      </c>
    </row>
    <row r="122" spans="1:14" customFormat="1" x14ac:dyDescent="0.25">
      <c r="A122" s="7">
        <v>121</v>
      </c>
      <c r="B122" s="11" t="s">
        <v>137</v>
      </c>
      <c r="C122" s="7" t="s">
        <v>1039</v>
      </c>
      <c r="D122" s="7">
        <v>121</v>
      </c>
      <c r="E122" s="7">
        <v>121</v>
      </c>
      <c r="F122" s="7">
        <v>121</v>
      </c>
      <c r="G122" s="11" t="s">
        <v>1023</v>
      </c>
      <c r="H122" s="20">
        <v>212</v>
      </c>
      <c r="I122" s="12">
        <v>45322</v>
      </c>
      <c r="J122" s="12">
        <v>45991</v>
      </c>
      <c r="K122" s="25">
        <v>171</v>
      </c>
      <c r="L122" s="23">
        <v>41</v>
      </c>
      <c r="M122" s="30" t="s">
        <v>1052</v>
      </c>
      <c r="N122" s="30" t="s">
        <v>1055</v>
      </c>
    </row>
    <row r="123" spans="1:14" customFormat="1" x14ac:dyDescent="0.25">
      <c r="A123" s="7">
        <v>122</v>
      </c>
      <c r="B123" s="11" t="s">
        <v>138</v>
      </c>
      <c r="C123" s="7" t="s">
        <v>1039</v>
      </c>
      <c r="D123" s="7">
        <v>122</v>
      </c>
      <c r="E123" s="7">
        <v>122</v>
      </c>
      <c r="F123" s="7">
        <v>122</v>
      </c>
      <c r="G123" s="11" t="s">
        <v>1024</v>
      </c>
      <c r="H123" s="20">
        <v>764805</v>
      </c>
      <c r="I123" s="12">
        <v>45199</v>
      </c>
      <c r="J123" s="12">
        <v>45746</v>
      </c>
      <c r="K123" s="25">
        <v>629488</v>
      </c>
      <c r="L123" s="23">
        <v>135317</v>
      </c>
      <c r="M123" s="30" t="s">
        <v>1052</v>
      </c>
      <c r="N123" s="30" t="s">
        <v>1055</v>
      </c>
    </row>
    <row r="124" spans="1:14" customFormat="1" x14ac:dyDescent="0.25">
      <c r="A124" s="7">
        <v>123</v>
      </c>
      <c r="B124" s="11" t="s">
        <v>139</v>
      </c>
      <c r="C124" s="7" t="s">
        <v>1039</v>
      </c>
      <c r="D124" s="7">
        <v>123</v>
      </c>
      <c r="E124" s="9">
        <v>123</v>
      </c>
      <c r="F124" s="7">
        <v>123</v>
      </c>
      <c r="G124" s="11" t="s">
        <v>1021</v>
      </c>
      <c r="H124" s="20">
        <v>66141</v>
      </c>
      <c r="I124" s="12">
        <v>44593</v>
      </c>
      <c r="J124" s="12">
        <v>44652</v>
      </c>
      <c r="K124" s="25">
        <v>61573</v>
      </c>
      <c r="L124" s="23">
        <v>4568</v>
      </c>
      <c r="M124" s="30" t="s">
        <v>1052</v>
      </c>
      <c r="N124" s="30" t="s">
        <v>1055</v>
      </c>
    </row>
    <row r="125" spans="1:14" customFormat="1" x14ac:dyDescent="0.25">
      <c r="A125" s="7">
        <v>124</v>
      </c>
      <c r="B125" s="11" t="s">
        <v>140</v>
      </c>
      <c r="C125" s="7" t="s">
        <v>1039</v>
      </c>
      <c r="D125" s="7">
        <v>124</v>
      </c>
      <c r="E125" s="7">
        <v>124</v>
      </c>
      <c r="F125" s="7">
        <v>124</v>
      </c>
      <c r="G125" s="11" t="s">
        <v>1016</v>
      </c>
      <c r="H125" s="20">
        <v>24522</v>
      </c>
      <c r="I125" s="12">
        <v>44520</v>
      </c>
      <c r="J125" s="12">
        <v>44885</v>
      </c>
      <c r="K125" s="25">
        <v>14370</v>
      </c>
      <c r="L125" s="23">
        <v>10152</v>
      </c>
      <c r="M125" s="30" t="s">
        <v>1052</v>
      </c>
      <c r="N125" s="30" t="s">
        <v>1055</v>
      </c>
    </row>
    <row r="126" spans="1:14" customFormat="1" x14ac:dyDescent="0.25">
      <c r="A126" s="7">
        <v>125</v>
      </c>
      <c r="B126" s="11" t="s">
        <v>141</v>
      </c>
      <c r="C126" s="7" t="s">
        <v>1039</v>
      </c>
      <c r="D126" s="7">
        <v>125</v>
      </c>
      <c r="E126" s="7">
        <v>125</v>
      </c>
      <c r="F126" s="7">
        <v>125</v>
      </c>
      <c r="G126" s="11" t="s">
        <v>1026</v>
      </c>
      <c r="H126" s="20">
        <v>3568030</v>
      </c>
      <c r="I126" s="12">
        <v>45232</v>
      </c>
      <c r="J126" s="12">
        <v>45262</v>
      </c>
      <c r="K126" s="25">
        <v>80267</v>
      </c>
      <c r="L126" s="23">
        <v>3487763</v>
      </c>
      <c r="M126" s="30" t="s">
        <v>1052</v>
      </c>
      <c r="N126" s="30" t="s">
        <v>1055</v>
      </c>
    </row>
    <row r="127" spans="1:14" customFormat="1" x14ac:dyDescent="0.25">
      <c r="A127" s="7">
        <v>126</v>
      </c>
      <c r="B127" s="11" t="s">
        <v>142</v>
      </c>
      <c r="C127" s="7" t="s">
        <v>1039</v>
      </c>
      <c r="D127" s="7">
        <v>126</v>
      </c>
      <c r="E127" s="9">
        <v>126</v>
      </c>
      <c r="F127" s="7">
        <v>126</v>
      </c>
      <c r="G127" s="11" t="s">
        <v>1023</v>
      </c>
      <c r="H127" s="20">
        <v>147</v>
      </c>
      <c r="I127" s="12">
        <v>44629</v>
      </c>
      <c r="J127" s="12">
        <v>44966</v>
      </c>
      <c r="K127" s="25">
        <v>111</v>
      </c>
      <c r="L127" s="23">
        <v>36</v>
      </c>
      <c r="M127" s="30" t="s">
        <v>1052</v>
      </c>
      <c r="N127" s="30" t="s">
        <v>1055</v>
      </c>
    </row>
    <row r="128" spans="1:14" customFormat="1" x14ac:dyDescent="0.25">
      <c r="A128" s="7">
        <v>127</v>
      </c>
      <c r="B128" s="11" t="s">
        <v>143</v>
      </c>
      <c r="C128" s="7" t="s">
        <v>1039</v>
      </c>
      <c r="D128" s="7">
        <v>127</v>
      </c>
      <c r="E128" s="7">
        <v>127</v>
      </c>
      <c r="F128" s="7">
        <v>127</v>
      </c>
      <c r="G128" s="11" t="s">
        <v>1022</v>
      </c>
      <c r="H128" s="20">
        <v>19706</v>
      </c>
      <c r="I128" s="12">
        <v>44394</v>
      </c>
      <c r="J128" s="12">
        <v>44943</v>
      </c>
      <c r="K128" s="25">
        <v>13965</v>
      </c>
      <c r="L128" s="23">
        <v>5741</v>
      </c>
      <c r="M128" s="30" t="s">
        <v>1052</v>
      </c>
      <c r="N128" s="30" t="s">
        <v>1055</v>
      </c>
    </row>
    <row r="129" spans="1:14" customFormat="1" x14ac:dyDescent="0.25">
      <c r="A129" s="7">
        <v>128</v>
      </c>
      <c r="B129" s="11" t="s">
        <v>144</v>
      </c>
      <c r="C129" s="7" t="s">
        <v>1039</v>
      </c>
      <c r="D129" s="7">
        <v>128</v>
      </c>
      <c r="E129" s="7">
        <v>128</v>
      </c>
      <c r="F129" s="7">
        <v>128</v>
      </c>
      <c r="G129" s="11" t="s">
        <v>1020</v>
      </c>
      <c r="H129" s="20">
        <v>337778</v>
      </c>
      <c r="I129" s="12">
        <v>45655</v>
      </c>
      <c r="J129" s="12">
        <v>45990</v>
      </c>
      <c r="K129" s="25">
        <v>26185</v>
      </c>
      <c r="L129" s="23">
        <v>311593</v>
      </c>
      <c r="M129" s="30" t="s">
        <v>1052</v>
      </c>
      <c r="N129" s="30" t="s">
        <v>1055</v>
      </c>
    </row>
    <row r="130" spans="1:14" customFormat="1" x14ac:dyDescent="0.25">
      <c r="A130" s="7">
        <v>129</v>
      </c>
      <c r="B130" s="11" t="s">
        <v>145</v>
      </c>
      <c r="C130" s="7" t="s">
        <v>1039</v>
      </c>
      <c r="D130" s="7">
        <v>129</v>
      </c>
      <c r="E130" s="9">
        <v>129</v>
      </c>
      <c r="F130" s="7">
        <v>129</v>
      </c>
      <c r="G130" s="11" t="s">
        <v>1016</v>
      </c>
      <c r="H130" s="20">
        <v>38481</v>
      </c>
      <c r="I130" s="12">
        <v>45047</v>
      </c>
      <c r="J130" s="12">
        <v>45323</v>
      </c>
      <c r="K130" s="25">
        <v>30522</v>
      </c>
      <c r="L130" s="23">
        <v>7959</v>
      </c>
      <c r="M130" s="30" t="s">
        <v>1052</v>
      </c>
      <c r="N130" s="30" t="s">
        <v>1055</v>
      </c>
    </row>
    <row r="131" spans="1:14" customFormat="1" x14ac:dyDescent="0.25">
      <c r="A131" s="7">
        <v>130</v>
      </c>
      <c r="B131" s="11" t="s">
        <v>146</v>
      </c>
      <c r="C131" s="7" t="s">
        <v>1039</v>
      </c>
      <c r="D131" s="7">
        <v>130</v>
      </c>
      <c r="E131" s="7">
        <v>130</v>
      </c>
      <c r="F131" s="7">
        <v>130</v>
      </c>
      <c r="G131" s="11" t="s">
        <v>1025</v>
      </c>
      <c r="H131" s="20">
        <v>112267</v>
      </c>
      <c r="I131" s="12">
        <v>44391</v>
      </c>
      <c r="J131" s="12">
        <v>44634</v>
      </c>
      <c r="K131" s="25">
        <v>57230</v>
      </c>
      <c r="L131" s="23">
        <v>55037</v>
      </c>
      <c r="M131" s="30" t="s">
        <v>1052</v>
      </c>
      <c r="N131" s="30" t="s">
        <v>1055</v>
      </c>
    </row>
    <row r="132" spans="1:14" customFormat="1" x14ac:dyDescent="0.25">
      <c r="A132" s="7">
        <v>131</v>
      </c>
      <c r="B132" s="11" t="s">
        <v>147</v>
      </c>
      <c r="C132" s="7" t="s">
        <v>1039</v>
      </c>
      <c r="D132" s="7">
        <v>131</v>
      </c>
      <c r="E132" s="7">
        <v>131</v>
      </c>
      <c r="F132" s="7">
        <v>131</v>
      </c>
      <c r="G132" s="11" t="s">
        <v>1024</v>
      </c>
      <c r="H132" s="20">
        <v>691356</v>
      </c>
      <c r="I132" s="12">
        <v>44242</v>
      </c>
      <c r="J132" s="12">
        <v>44515</v>
      </c>
      <c r="K132" s="25">
        <v>623039</v>
      </c>
      <c r="L132" s="23">
        <v>68317</v>
      </c>
      <c r="M132" s="30" t="s">
        <v>1052</v>
      </c>
      <c r="N132" s="30" t="s">
        <v>1055</v>
      </c>
    </row>
    <row r="133" spans="1:14" customFormat="1" x14ac:dyDescent="0.25">
      <c r="A133" s="7">
        <v>132</v>
      </c>
      <c r="B133" s="11" t="s">
        <v>148</v>
      </c>
      <c r="C133" s="7" t="s">
        <v>1039</v>
      </c>
      <c r="D133" s="7">
        <v>132</v>
      </c>
      <c r="E133" s="9">
        <v>132</v>
      </c>
      <c r="F133" s="7">
        <v>132</v>
      </c>
      <c r="G133" s="11" t="s">
        <v>1021</v>
      </c>
      <c r="H133" s="20">
        <v>85840</v>
      </c>
      <c r="I133" s="12">
        <v>45467</v>
      </c>
      <c r="J133" s="12">
        <v>45589</v>
      </c>
      <c r="K133" s="25">
        <v>47296</v>
      </c>
      <c r="L133" s="23">
        <v>38544</v>
      </c>
      <c r="M133" s="30" t="s">
        <v>1052</v>
      </c>
      <c r="N133" s="30" t="s">
        <v>1055</v>
      </c>
    </row>
    <row r="134" spans="1:14" customFormat="1" x14ac:dyDescent="0.25">
      <c r="A134" s="7">
        <v>133</v>
      </c>
      <c r="B134" s="11" t="s">
        <v>149</v>
      </c>
      <c r="C134" s="7" t="s">
        <v>1039</v>
      </c>
      <c r="D134" s="7">
        <v>133</v>
      </c>
      <c r="E134" s="7">
        <v>133</v>
      </c>
      <c r="F134" s="7">
        <v>133</v>
      </c>
      <c r="G134" s="11" t="s">
        <v>1027</v>
      </c>
      <c r="H134" s="20">
        <v>36075</v>
      </c>
      <c r="I134" s="12">
        <v>45007</v>
      </c>
      <c r="J134" s="12">
        <v>45038</v>
      </c>
      <c r="K134" s="25">
        <v>34075</v>
      </c>
      <c r="L134" s="23">
        <v>2000</v>
      </c>
      <c r="M134" s="30" t="s">
        <v>1052</v>
      </c>
      <c r="N134" s="30" t="s">
        <v>1055</v>
      </c>
    </row>
    <row r="135" spans="1:14" customFormat="1" x14ac:dyDescent="0.25">
      <c r="A135" s="7">
        <v>134</v>
      </c>
      <c r="B135" s="11" t="s">
        <v>150</v>
      </c>
      <c r="C135" s="7" t="s">
        <v>1039</v>
      </c>
      <c r="D135" s="7">
        <v>134</v>
      </c>
      <c r="E135" s="7">
        <v>134</v>
      </c>
      <c r="F135" s="7">
        <v>134</v>
      </c>
      <c r="G135" s="11" t="s">
        <v>1020</v>
      </c>
      <c r="H135" s="20">
        <v>378987</v>
      </c>
      <c r="I135" s="12">
        <v>45482</v>
      </c>
      <c r="J135" s="12">
        <v>46212</v>
      </c>
      <c r="K135" s="25">
        <v>281725</v>
      </c>
      <c r="L135" s="23">
        <v>97262</v>
      </c>
      <c r="M135" s="30" t="s">
        <v>1052</v>
      </c>
      <c r="N135" s="30" t="s">
        <v>1055</v>
      </c>
    </row>
    <row r="136" spans="1:14" customFormat="1" x14ac:dyDescent="0.25">
      <c r="A136" s="7">
        <v>135</v>
      </c>
      <c r="B136" s="11" t="s">
        <v>151</v>
      </c>
      <c r="C136" s="7" t="s">
        <v>1039</v>
      </c>
      <c r="D136" s="7">
        <v>135</v>
      </c>
      <c r="E136" s="9">
        <v>135</v>
      </c>
      <c r="F136" s="7">
        <v>135</v>
      </c>
      <c r="G136" s="11" t="s">
        <v>1016</v>
      </c>
      <c r="H136" s="20">
        <v>29127</v>
      </c>
      <c r="I136" s="12">
        <v>44661</v>
      </c>
      <c r="J136" s="12">
        <v>45209</v>
      </c>
      <c r="K136" s="25">
        <v>9959</v>
      </c>
      <c r="L136" s="23">
        <v>19168</v>
      </c>
      <c r="M136" s="30" t="s">
        <v>1052</v>
      </c>
      <c r="N136" s="30" t="s">
        <v>1055</v>
      </c>
    </row>
    <row r="137" spans="1:14" customFormat="1" x14ac:dyDescent="0.25">
      <c r="A137" s="7">
        <v>136</v>
      </c>
      <c r="B137" s="11" t="s">
        <v>152</v>
      </c>
      <c r="C137" s="7" t="s">
        <v>1039</v>
      </c>
      <c r="D137" s="7">
        <v>136</v>
      </c>
      <c r="E137" s="7">
        <v>136</v>
      </c>
      <c r="F137" s="7">
        <v>136</v>
      </c>
      <c r="G137" s="11" t="s">
        <v>1027</v>
      </c>
      <c r="H137" s="20">
        <v>46539</v>
      </c>
      <c r="I137" s="12">
        <v>43882</v>
      </c>
      <c r="J137" s="12">
        <v>44429</v>
      </c>
      <c r="K137" s="25">
        <v>38914</v>
      </c>
      <c r="L137" s="23">
        <v>7625</v>
      </c>
      <c r="M137" s="30" t="s">
        <v>1052</v>
      </c>
      <c r="N137" s="30" t="s">
        <v>1055</v>
      </c>
    </row>
    <row r="138" spans="1:14" customFormat="1" x14ac:dyDescent="0.25">
      <c r="A138" s="7">
        <v>137</v>
      </c>
      <c r="B138" s="11" t="s">
        <v>153</v>
      </c>
      <c r="C138" s="7" t="s">
        <v>1039</v>
      </c>
      <c r="D138" s="7">
        <v>137</v>
      </c>
      <c r="E138" s="7">
        <v>137</v>
      </c>
      <c r="F138" s="7">
        <v>137</v>
      </c>
      <c r="G138" s="11" t="s">
        <v>1021</v>
      </c>
      <c r="H138" s="20">
        <v>84271</v>
      </c>
      <c r="I138" s="12">
        <v>44475</v>
      </c>
      <c r="J138" s="12">
        <v>44840</v>
      </c>
      <c r="K138" s="25">
        <v>76795</v>
      </c>
      <c r="L138" s="23">
        <v>7476</v>
      </c>
      <c r="M138" s="30" t="s">
        <v>1052</v>
      </c>
      <c r="N138" s="30" t="s">
        <v>1055</v>
      </c>
    </row>
    <row r="139" spans="1:14" customFormat="1" x14ac:dyDescent="0.25">
      <c r="A139" s="7">
        <v>138</v>
      </c>
      <c r="B139" s="11" t="s">
        <v>154</v>
      </c>
      <c r="C139" s="7" t="s">
        <v>1039</v>
      </c>
      <c r="D139" s="7">
        <v>138</v>
      </c>
      <c r="E139" s="9">
        <v>138</v>
      </c>
      <c r="F139" s="7">
        <v>138</v>
      </c>
      <c r="G139" s="11" t="s">
        <v>1023</v>
      </c>
      <c r="H139" s="20">
        <v>414</v>
      </c>
      <c r="I139" s="12">
        <v>44261</v>
      </c>
      <c r="J139" s="12">
        <v>44322</v>
      </c>
      <c r="K139" s="25">
        <v>180</v>
      </c>
      <c r="L139" s="23">
        <v>234</v>
      </c>
      <c r="M139" s="30" t="s">
        <v>1052</v>
      </c>
      <c r="N139" s="30" t="s">
        <v>1055</v>
      </c>
    </row>
    <row r="140" spans="1:14" customFormat="1" x14ac:dyDescent="0.25">
      <c r="A140" s="7">
        <v>139</v>
      </c>
      <c r="B140" s="11" t="s">
        <v>155</v>
      </c>
      <c r="C140" s="7" t="s">
        <v>1039</v>
      </c>
      <c r="D140" s="7">
        <v>139</v>
      </c>
      <c r="E140" s="7">
        <v>139</v>
      </c>
      <c r="F140" s="7">
        <v>139</v>
      </c>
      <c r="G140" s="11" t="s">
        <v>1024</v>
      </c>
      <c r="H140" s="20">
        <v>160153</v>
      </c>
      <c r="I140" s="12">
        <v>44308</v>
      </c>
      <c r="J140" s="12">
        <v>44522</v>
      </c>
      <c r="K140" s="25">
        <v>4199</v>
      </c>
      <c r="L140" s="23">
        <v>155954</v>
      </c>
      <c r="M140" s="30" t="s">
        <v>1052</v>
      </c>
      <c r="N140" s="30" t="s">
        <v>1055</v>
      </c>
    </row>
    <row r="141" spans="1:14" customFormat="1" x14ac:dyDescent="0.25">
      <c r="A141" s="7">
        <v>140</v>
      </c>
      <c r="B141" s="11" t="s">
        <v>156</v>
      </c>
      <c r="C141" s="7" t="s">
        <v>1039</v>
      </c>
      <c r="D141" s="7">
        <v>140</v>
      </c>
      <c r="E141" s="7">
        <v>140</v>
      </c>
      <c r="F141" s="7">
        <v>140</v>
      </c>
      <c r="G141" s="11" t="s">
        <v>1027</v>
      </c>
      <c r="H141" s="20">
        <v>21013</v>
      </c>
      <c r="I141" s="12">
        <v>45565</v>
      </c>
      <c r="J141" s="12">
        <v>45868</v>
      </c>
      <c r="K141" s="25">
        <v>13512</v>
      </c>
      <c r="L141" s="23">
        <v>7501</v>
      </c>
      <c r="M141" s="30" t="s">
        <v>1052</v>
      </c>
      <c r="N141" s="30" t="s">
        <v>1055</v>
      </c>
    </row>
    <row r="142" spans="1:14" customFormat="1" x14ac:dyDescent="0.25">
      <c r="A142" s="7">
        <v>141</v>
      </c>
      <c r="B142" s="11" t="s">
        <v>157</v>
      </c>
      <c r="C142" s="7" t="s">
        <v>1039</v>
      </c>
      <c r="D142" s="7">
        <v>141</v>
      </c>
      <c r="E142" s="9">
        <v>141</v>
      </c>
      <c r="F142" s="7">
        <v>141</v>
      </c>
      <c r="G142" s="11" t="s">
        <v>1023</v>
      </c>
      <c r="H142" s="20">
        <v>1058</v>
      </c>
      <c r="I142" s="12">
        <v>44070</v>
      </c>
      <c r="J142" s="12">
        <v>44678</v>
      </c>
      <c r="K142" s="25">
        <v>750</v>
      </c>
      <c r="L142" s="23">
        <v>308</v>
      </c>
      <c r="M142" s="30" t="s">
        <v>1052</v>
      </c>
      <c r="N142" s="30" t="s">
        <v>1055</v>
      </c>
    </row>
    <row r="143" spans="1:14" customFormat="1" x14ac:dyDescent="0.25">
      <c r="A143" s="7">
        <v>142</v>
      </c>
      <c r="B143" s="11" t="s">
        <v>158</v>
      </c>
      <c r="C143" s="7" t="s">
        <v>1039</v>
      </c>
      <c r="D143" s="7">
        <v>142</v>
      </c>
      <c r="E143" s="7">
        <v>142</v>
      </c>
      <c r="F143" s="7">
        <v>142</v>
      </c>
      <c r="G143" s="11" t="s">
        <v>1022</v>
      </c>
      <c r="H143" s="20">
        <v>11414</v>
      </c>
      <c r="I143" s="12">
        <v>45214</v>
      </c>
      <c r="J143" s="12">
        <v>45427</v>
      </c>
      <c r="K143" s="25">
        <v>4993</v>
      </c>
      <c r="L143" s="23">
        <v>6421</v>
      </c>
      <c r="M143" s="30" t="s">
        <v>1052</v>
      </c>
      <c r="N143" s="30" t="s">
        <v>1055</v>
      </c>
    </row>
    <row r="144" spans="1:14" customFormat="1" x14ac:dyDescent="0.25">
      <c r="A144" s="7">
        <v>143</v>
      </c>
      <c r="B144" s="11" t="s">
        <v>159</v>
      </c>
      <c r="C144" s="7" t="s">
        <v>1039</v>
      </c>
      <c r="D144" s="7">
        <v>143</v>
      </c>
      <c r="E144" s="7">
        <v>143</v>
      </c>
      <c r="F144" s="7">
        <v>143</v>
      </c>
      <c r="G144" s="11" t="s">
        <v>1022</v>
      </c>
      <c r="H144" s="20">
        <v>22650</v>
      </c>
      <c r="I144" s="12">
        <v>44999</v>
      </c>
      <c r="J144" s="12">
        <v>45121</v>
      </c>
      <c r="K144" s="25">
        <v>6341</v>
      </c>
      <c r="L144" s="23">
        <v>16309</v>
      </c>
      <c r="M144" s="30" t="s">
        <v>1052</v>
      </c>
      <c r="N144" s="30" t="s">
        <v>1055</v>
      </c>
    </row>
    <row r="145" spans="1:14" customFormat="1" x14ac:dyDescent="0.25">
      <c r="A145" s="7">
        <v>144</v>
      </c>
      <c r="B145" s="11" t="s">
        <v>160</v>
      </c>
      <c r="C145" s="7" t="s">
        <v>1039</v>
      </c>
      <c r="D145" s="7">
        <v>144</v>
      </c>
      <c r="E145" s="9">
        <v>144</v>
      </c>
      <c r="F145" s="7">
        <v>144</v>
      </c>
      <c r="G145" s="11" t="s">
        <v>1020</v>
      </c>
      <c r="H145" s="20">
        <v>455242</v>
      </c>
      <c r="I145" s="12">
        <v>45103</v>
      </c>
      <c r="J145" s="12">
        <v>45133</v>
      </c>
      <c r="K145" s="25">
        <v>291794</v>
      </c>
      <c r="L145" s="23">
        <v>163448</v>
      </c>
      <c r="M145" s="30" t="s">
        <v>1052</v>
      </c>
      <c r="N145" s="30" t="s">
        <v>1055</v>
      </c>
    </row>
    <row r="146" spans="1:14" customFormat="1" x14ac:dyDescent="0.25">
      <c r="A146" s="7">
        <v>145</v>
      </c>
      <c r="B146" s="11" t="s">
        <v>161</v>
      </c>
      <c r="C146" s="7" t="s">
        <v>1039</v>
      </c>
      <c r="D146" s="7">
        <v>145</v>
      </c>
      <c r="E146" s="7">
        <v>145</v>
      </c>
      <c r="F146" s="7">
        <v>145</v>
      </c>
      <c r="G146" s="11" t="s">
        <v>1024</v>
      </c>
      <c r="H146" s="20">
        <v>913730</v>
      </c>
      <c r="I146" s="12">
        <v>45005</v>
      </c>
      <c r="J146" s="12">
        <v>45402</v>
      </c>
      <c r="K146" s="25">
        <v>263382</v>
      </c>
      <c r="L146" s="23">
        <v>650348</v>
      </c>
      <c r="M146" s="30" t="s">
        <v>1052</v>
      </c>
      <c r="N146" s="30" t="s">
        <v>1055</v>
      </c>
    </row>
    <row r="147" spans="1:14" customFormat="1" x14ac:dyDescent="0.25">
      <c r="A147" s="7">
        <v>146</v>
      </c>
      <c r="B147" s="11" t="s">
        <v>162</v>
      </c>
      <c r="C147" s="7" t="s">
        <v>1039</v>
      </c>
      <c r="D147" s="7">
        <v>146</v>
      </c>
      <c r="E147" s="7">
        <v>146</v>
      </c>
      <c r="F147" s="7">
        <v>146</v>
      </c>
      <c r="G147" s="11" t="s">
        <v>1022</v>
      </c>
      <c r="H147" s="20">
        <v>36689</v>
      </c>
      <c r="I147" s="12">
        <v>44229</v>
      </c>
      <c r="J147" s="12">
        <v>44318</v>
      </c>
      <c r="K147" s="25">
        <v>11881</v>
      </c>
      <c r="L147" s="23">
        <v>24808</v>
      </c>
      <c r="M147" s="30" t="s">
        <v>1052</v>
      </c>
      <c r="N147" s="30" t="s">
        <v>1055</v>
      </c>
    </row>
    <row r="148" spans="1:14" customFormat="1" x14ac:dyDescent="0.25">
      <c r="A148" s="7">
        <v>147</v>
      </c>
      <c r="B148" s="11" t="s">
        <v>163</v>
      </c>
      <c r="C148" s="7" t="s">
        <v>1039</v>
      </c>
      <c r="D148" s="7">
        <v>147</v>
      </c>
      <c r="E148" s="9">
        <v>147</v>
      </c>
      <c r="F148" s="7">
        <v>147</v>
      </c>
      <c r="G148" s="11" t="s">
        <v>1023</v>
      </c>
      <c r="H148" s="20">
        <v>1015</v>
      </c>
      <c r="I148" s="12">
        <v>45035</v>
      </c>
      <c r="J148" s="12">
        <v>45707</v>
      </c>
      <c r="K148" s="25">
        <v>219</v>
      </c>
      <c r="L148" s="23">
        <v>796</v>
      </c>
      <c r="M148" s="30" t="s">
        <v>1052</v>
      </c>
      <c r="N148" s="30" t="s">
        <v>1055</v>
      </c>
    </row>
    <row r="149" spans="1:14" customFormat="1" x14ac:dyDescent="0.25">
      <c r="A149" s="7">
        <v>148</v>
      </c>
      <c r="B149" s="11" t="s">
        <v>164</v>
      </c>
      <c r="C149" s="7" t="s">
        <v>1039</v>
      </c>
      <c r="D149" s="7">
        <v>148</v>
      </c>
      <c r="E149" s="7">
        <v>148</v>
      </c>
      <c r="F149" s="7">
        <v>148</v>
      </c>
      <c r="G149" s="11" t="s">
        <v>1021</v>
      </c>
      <c r="H149" s="20">
        <v>25221</v>
      </c>
      <c r="I149" s="12">
        <v>45299</v>
      </c>
      <c r="J149" s="12">
        <v>45846</v>
      </c>
      <c r="K149" s="25">
        <v>19385</v>
      </c>
      <c r="L149" s="23">
        <v>5836</v>
      </c>
      <c r="M149" s="30" t="s">
        <v>1052</v>
      </c>
      <c r="N149" s="30" t="s">
        <v>1055</v>
      </c>
    </row>
    <row r="150" spans="1:14" customFormat="1" x14ac:dyDescent="0.25">
      <c r="A150" s="7">
        <v>149</v>
      </c>
      <c r="B150" s="11" t="s">
        <v>165</v>
      </c>
      <c r="C150" s="7" t="s">
        <v>1039</v>
      </c>
      <c r="D150" s="7">
        <v>149</v>
      </c>
      <c r="E150" s="7">
        <v>149</v>
      </c>
      <c r="F150" s="7">
        <v>149</v>
      </c>
      <c r="G150" s="11" t="s">
        <v>1016</v>
      </c>
      <c r="H150" s="20">
        <v>28404</v>
      </c>
      <c r="I150" s="12">
        <v>44951</v>
      </c>
      <c r="J150" s="12">
        <v>45071</v>
      </c>
      <c r="K150" s="25">
        <v>27782</v>
      </c>
      <c r="L150" s="23">
        <v>622</v>
      </c>
      <c r="M150" s="30" t="s">
        <v>1052</v>
      </c>
      <c r="N150" s="30" t="s">
        <v>1055</v>
      </c>
    </row>
    <row r="151" spans="1:14" customFormat="1" x14ac:dyDescent="0.25">
      <c r="A151" s="7">
        <v>150</v>
      </c>
      <c r="B151" s="11" t="s">
        <v>166</v>
      </c>
      <c r="C151" s="7" t="s">
        <v>1039</v>
      </c>
      <c r="D151" s="7">
        <v>150</v>
      </c>
      <c r="E151" s="9">
        <v>150</v>
      </c>
      <c r="F151" s="7">
        <v>150</v>
      </c>
      <c r="G151" s="11" t="s">
        <v>1025</v>
      </c>
      <c r="H151" s="20">
        <v>193813</v>
      </c>
      <c r="I151" s="12">
        <v>45166</v>
      </c>
      <c r="J151" s="12">
        <v>45410</v>
      </c>
      <c r="K151" s="25">
        <v>172185</v>
      </c>
      <c r="L151" s="23">
        <v>21628</v>
      </c>
      <c r="M151" s="30" t="s">
        <v>1052</v>
      </c>
      <c r="N151" s="30" t="s">
        <v>1055</v>
      </c>
    </row>
    <row r="152" spans="1:14" customFormat="1" x14ac:dyDescent="0.25">
      <c r="A152" s="7">
        <v>151</v>
      </c>
      <c r="B152" s="11" t="s">
        <v>167</v>
      </c>
      <c r="C152" s="7" t="s">
        <v>1039</v>
      </c>
      <c r="D152" s="7">
        <v>151</v>
      </c>
      <c r="E152" s="7">
        <v>151</v>
      </c>
      <c r="F152" s="7">
        <v>151</v>
      </c>
      <c r="G152" s="11" t="s">
        <v>1023</v>
      </c>
      <c r="H152" s="20">
        <v>740</v>
      </c>
      <c r="I152" s="12">
        <v>45482</v>
      </c>
      <c r="J152" s="12">
        <v>45635</v>
      </c>
      <c r="K152" s="25">
        <v>38</v>
      </c>
      <c r="L152" s="23">
        <v>702</v>
      </c>
      <c r="M152" s="30" t="s">
        <v>1052</v>
      </c>
      <c r="N152" s="30" t="s">
        <v>1055</v>
      </c>
    </row>
    <row r="153" spans="1:14" customFormat="1" x14ac:dyDescent="0.25">
      <c r="A153" s="7">
        <v>152</v>
      </c>
      <c r="B153" s="11" t="s">
        <v>168</v>
      </c>
      <c r="C153" s="7" t="s">
        <v>1039</v>
      </c>
      <c r="D153" s="7">
        <v>152</v>
      </c>
      <c r="E153" s="7">
        <v>152</v>
      </c>
      <c r="F153" s="7">
        <v>152</v>
      </c>
      <c r="G153" s="11" t="s">
        <v>1016</v>
      </c>
      <c r="H153" s="20">
        <v>12859</v>
      </c>
      <c r="I153" s="12">
        <v>43856</v>
      </c>
      <c r="J153" s="12">
        <v>44373</v>
      </c>
      <c r="K153" s="25">
        <v>7190</v>
      </c>
      <c r="L153" s="23">
        <v>5669</v>
      </c>
      <c r="M153" s="30" t="s">
        <v>1052</v>
      </c>
      <c r="N153" s="30" t="s">
        <v>1055</v>
      </c>
    </row>
    <row r="154" spans="1:14" customFormat="1" x14ac:dyDescent="0.25">
      <c r="A154" s="7">
        <v>153</v>
      </c>
      <c r="B154" s="11" t="s">
        <v>169</v>
      </c>
      <c r="C154" s="7" t="s">
        <v>1039</v>
      </c>
      <c r="D154" s="7">
        <v>153</v>
      </c>
      <c r="E154" s="9">
        <v>153</v>
      </c>
      <c r="F154" s="7">
        <v>153</v>
      </c>
      <c r="G154" s="11" t="s">
        <v>1026</v>
      </c>
      <c r="H154" s="20">
        <v>2564832</v>
      </c>
      <c r="I154" s="12">
        <v>45077</v>
      </c>
      <c r="J154" s="12">
        <v>45596</v>
      </c>
      <c r="K154" s="25">
        <v>2100374</v>
      </c>
      <c r="L154" s="23">
        <v>464458</v>
      </c>
      <c r="M154" s="30" t="s">
        <v>1052</v>
      </c>
      <c r="N154" s="30" t="s">
        <v>1055</v>
      </c>
    </row>
    <row r="155" spans="1:14" customFormat="1" x14ac:dyDescent="0.25">
      <c r="A155" s="7">
        <v>154</v>
      </c>
      <c r="B155" s="11" t="s">
        <v>170</v>
      </c>
      <c r="C155" s="7" t="s">
        <v>1039</v>
      </c>
      <c r="D155" s="7">
        <v>154</v>
      </c>
      <c r="E155" s="7">
        <v>154</v>
      </c>
      <c r="F155" s="7">
        <v>154</v>
      </c>
      <c r="G155" s="11" t="s">
        <v>1024</v>
      </c>
      <c r="H155" s="20">
        <v>776443</v>
      </c>
      <c r="I155" s="12">
        <v>44831</v>
      </c>
      <c r="J155" s="12">
        <v>45562</v>
      </c>
      <c r="K155" s="25">
        <v>15343</v>
      </c>
      <c r="L155" s="23">
        <v>761100</v>
      </c>
      <c r="M155" s="30" t="s">
        <v>1052</v>
      </c>
      <c r="N155" s="30" t="s">
        <v>1055</v>
      </c>
    </row>
    <row r="156" spans="1:14" customFormat="1" x14ac:dyDescent="0.25">
      <c r="A156" s="7">
        <v>155</v>
      </c>
      <c r="B156" s="11" t="s">
        <v>171</v>
      </c>
      <c r="C156" s="7" t="s">
        <v>1039</v>
      </c>
      <c r="D156" s="7">
        <v>155</v>
      </c>
      <c r="E156" s="7">
        <v>155</v>
      </c>
      <c r="F156" s="7">
        <v>155</v>
      </c>
      <c r="G156" s="11" t="s">
        <v>1026</v>
      </c>
      <c r="H156" s="20">
        <v>2414959</v>
      </c>
      <c r="I156" s="12">
        <v>45217</v>
      </c>
      <c r="J156" s="12">
        <v>45856</v>
      </c>
      <c r="K156" s="25">
        <v>2068700</v>
      </c>
      <c r="L156" s="23">
        <v>346259</v>
      </c>
      <c r="M156" s="30" t="s">
        <v>1052</v>
      </c>
      <c r="N156" s="30" t="s">
        <v>1055</v>
      </c>
    </row>
    <row r="157" spans="1:14" customFormat="1" x14ac:dyDescent="0.25">
      <c r="A157" s="7">
        <v>156</v>
      </c>
      <c r="B157" s="11" t="s">
        <v>172</v>
      </c>
      <c r="C157" s="7" t="s">
        <v>1039</v>
      </c>
      <c r="D157" s="7">
        <v>156</v>
      </c>
      <c r="E157" s="9">
        <v>156</v>
      </c>
      <c r="F157" s="7">
        <v>156</v>
      </c>
      <c r="G157" s="11" t="s">
        <v>1016</v>
      </c>
      <c r="H157" s="20">
        <v>7985</v>
      </c>
      <c r="I157" s="12">
        <v>44656</v>
      </c>
      <c r="J157" s="12">
        <v>45051</v>
      </c>
      <c r="K157" s="25">
        <v>734</v>
      </c>
      <c r="L157" s="23">
        <v>7251</v>
      </c>
      <c r="M157" s="30" t="s">
        <v>1052</v>
      </c>
      <c r="N157" s="30" t="s">
        <v>1055</v>
      </c>
    </row>
    <row r="158" spans="1:14" customFormat="1" x14ac:dyDescent="0.25">
      <c r="A158" s="7">
        <v>157</v>
      </c>
      <c r="B158" s="11" t="s">
        <v>173</v>
      </c>
      <c r="C158" s="7" t="s">
        <v>1039</v>
      </c>
      <c r="D158" s="7">
        <v>157</v>
      </c>
      <c r="E158" s="7">
        <v>157</v>
      </c>
      <c r="F158" s="7">
        <v>157</v>
      </c>
      <c r="G158" s="11" t="s">
        <v>1016</v>
      </c>
      <c r="H158" s="20">
        <v>30325</v>
      </c>
      <c r="I158" s="12">
        <v>45549</v>
      </c>
      <c r="J158" s="12">
        <v>45822</v>
      </c>
      <c r="K158" s="25">
        <v>4640</v>
      </c>
      <c r="L158" s="23">
        <v>25685</v>
      </c>
      <c r="M158" s="30" t="s">
        <v>1052</v>
      </c>
      <c r="N158" s="30" t="s">
        <v>1055</v>
      </c>
    </row>
    <row r="159" spans="1:14" customFormat="1" x14ac:dyDescent="0.25">
      <c r="A159" s="7">
        <v>158</v>
      </c>
      <c r="B159" s="11" t="s">
        <v>174</v>
      </c>
      <c r="C159" s="7" t="s">
        <v>1039</v>
      </c>
      <c r="D159" s="7">
        <v>158</v>
      </c>
      <c r="E159" s="7">
        <v>158</v>
      </c>
      <c r="F159" s="7">
        <v>158</v>
      </c>
      <c r="G159" s="11" t="s">
        <v>1026</v>
      </c>
      <c r="H159" s="20">
        <v>3477084</v>
      </c>
      <c r="I159" s="12">
        <v>44624</v>
      </c>
      <c r="J159" s="12">
        <v>44655</v>
      </c>
      <c r="K159" s="25">
        <v>1664006</v>
      </c>
      <c r="L159" s="23">
        <v>1813078</v>
      </c>
      <c r="M159" s="30" t="s">
        <v>1052</v>
      </c>
      <c r="N159" s="30" t="s">
        <v>1055</v>
      </c>
    </row>
    <row r="160" spans="1:14" customFormat="1" x14ac:dyDescent="0.25">
      <c r="A160" s="7">
        <v>159</v>
      </c>
      <c r="B160" s="11" t="s">
        <v>175</v>
      </c>
      <c r="C160" s="7" t="s">
        <v>1039</v>
      </c>
      <c r="D160" s="7">
        <v>159</v>
      </c>
      <c r="E160" s="9">
        <v>159</v>
      </c>
      <c r="F160" s="7">
        <v>159</v>
      </c>
      <c r="G160" s="11" t="s">
        <v>1023</v>
      </c>
      <c r="H160" s="20">
        <v>1197</v>
      </c>
      <c r="I160" s="12">
        <v>44756</v>
      </c>
      <c r="J160" s="12">
        <v>44879</v>
      </c>
      <c r="K160" s="25">
        <v>546</v>
      </c>
      <c r="L160" s="23">
        <v>651</v>
      </c>
      <c r="M160" s="30" t="s">
        <v>1052</v>
      </c>
      <c r="N160" s="30" t="s">
        <v>1055</v>
      </c>
    </row>
    <row r="161" spans="1:14" customFormat="1" x14ac:dyDescent="0.25">
      <c r="A161" s="7">
        <v>160</v>
      </c>
      <c r="B161" s="11" t="s">
        <v>176</v>
      </c>
      <c r="C161" s="7" t="s">
        <v>1039</v>
      </c>
      <c r="D161" s="7">
        <v>160</v>
      </c>
      <c r="E161" s="7">
        <v>160</v>
      </c>
      <c r="F161" s="7">
        <v>160</v>
      </c>
      <c r="G161" s="11" t="s">
        <v>1025</v>
      </c>
      <c r="H161" s="20">
        <v>153233</v>
      </c>
      <c r="I161" s="12">
        <v>45503</v>
      </c>
      <c r="J161" s="12">
        <v>45565</v>
      </c>
      <c r="K161" s="25">
        <v>4241</v>
      </c>
      <c r="L161" s="23">
        <v>148992</v>
      </c>
      <c r="M161" s="30" t="s">
        <v>1052</v>
      </c>
      <c r="N161" s="30" t="s">
        <v>1055</v>
      </c>
    </row>
    <row r="162" spans="1:14" customFormat="1" x14ac:dyDescent="0.25">
      <c r="A162" s="7">
        <v>161</v>
      </c>
      <c r="B162" s="11" t="s">
        <v>177</v>
      </c>
      <c r="C162" s="7" t="s">
        <v>1039</v>
      </c>
      <c r="D162" s="7">
        <v>161</v>
      </c>
      <c r="E162" s="7">
        <v>161</v>
      </c>
      <c r="F162" s="7">
        <v>161</v>
      </c>
      <c r="G162" s="11" t="s">
        <v>1025</v>
      </c>
      <c r="H162" s="20">
        <v>349002</v>
      </c>
      <c r="I162" s="12">
        <v>44320</v>
      </c>
      <c r="J162" s="12">
        <v>44655</v>
      </c>
      <c r="K162" s="25">
        <v>341410</v>
      </c>
      <c r="L162" s="23">
        <v>7592</v>
      </c>
      <c r="M162" s="30" t="s">
        <v>1052</v>
      </c>
      <c r="N162" s="30" t="s">
        <v>1055</v>
      </c>
    </row>
    <row r="163" spans="1:14" customFormat="1" x14ac:dyDescent="0.25">
      <c r="A163" s="7">
        <v>162</v>
      </c>
      <c r="B163" s="11" t="s">
        <v>178</v>
      </c>
      <c r="C163" s="7" t="s">
        <v>1039</v>
      </c>
      <c r="D163" s="7">
        <v>162</v>
      </c>
      <c r="E163" s="9">
        <v>162</v>
      </c>
      <c r="F163" s="7">
        <v>162</v>
      </c>
      <c r="G163" s="11" t="s">
        <v>1020</v>
      </c>
      <c r="H163" s="20">
        <v>325912</v>
      </c>
      <c r="I163" s="12">
        <v>45695</v>
      </c>
      <c r="J163" s="12">
        <v>46119</v>
      </c>
      <c r="K163" s="25">
        <v>84909</v>
      </c>
      <c r="L163" s="23">
        <v>241003</v>
      </c>
      <c r="M163" s="30" t="s">
        <v>1052</v>
      </c>
      <c r="N163" s="30" t="s">
        <v>1055</v>
      </c>
    </row>
    <row r="164" spans="1:14" customFormat="1" x14ac:dyDescent="0.25">
      <c r="A164" s="7">
        <v>163</v>
      </c>
      <c r="B164" s="11" t="s">
        <v>179</v>
      </c>
      <c r="C164" s="7" t="s">
        <v>1039</v>
      </c>
      <c r="D164" s="7">
        <v>163</v>
      </c>
      <c r="E164" s="7">
        <v>163</v>
      </c>
      <c r="F164" s="7">
        <v>163</v>
      </c>
      <c r="G164" s="11" t="s">
        <v>1025</v>
      </c>
      <c r="H164" s="20">
        <v>443994</v>
      </c>
      <c r="I164" s="12">
        <v>45473</v>
      </c>
      <c r="J164" s="12">
        <v>45716</v>
      </c>
      <c r="K164" s="25">
        <v>168111</v>
      </c>
      <c r="L164" s="23">
        <v>275883</v>
      </c>
      <c r="M164" s="30" t="s">
        <v>1052</v>
      </c>
      <c r="N164" s="30" t="s">
        <v>1055</v>
      </c>
    </row>
    <row r="165" spans="1:14" customFormat="1" x14ac:dyDescent="0.25">
      <c r="A165" s="7">
        <v>164</v>
      </c>
      <c r="B165" s="11" t="s">
        <v>180</v>
      </c>
      <c r="C165" s="7" t="s">
        <v>1039</v>
      </c>
      <c r="D165" s="7">
        <v>164</v>
      </c>
      <c r="E165" s="7">
        <v>164</v>
      </c>
      <c r="F165" s="7">
        <v>164</v>
      </c>
      <c r="G165" s="11" t="s">
        <v>1025</v>
      </c>
      <c r="H165" s="20">
        <v>491563</v>
      </c>
      <c r="I165" s="12">
        <v>44075</v>
      </c>
      <c r="J165" s="12">
        <v>44136</v>
      </c>
      <c r="K165" s="25">
        <v>221214</v>
      </c>
      <c r="L165" s="23">
        <v>270349</v>
      </c>
      <c r="M165" s="30" t="s">
        <v>1052</v>
      </c>
      <c r="N165" s="30" t="s">
        <v>1055</v>
      </c>
    </row>
    <row r="166" spans="1:14" customFormat="1" x14ac:dyDescent="0.25">
      <c r="A166" s="7">
        <v>165</v>
      </c>
      <c r="B166" s="11" t="s">
        <v>181</v>
      </c>
      <c r="C166" s="7" t="s">
        <v>1039</v>
      </c>
      <c r="D166" s="7">
        <v>165</v>
      </c>
      <c r="E166" s="9">
        <v>165</v>
      </c>
      <c r="F166" s="7">
        <v>165</v>
      </c>
      <c r="G166" s="11" t="s">
        <v>1025</v>
      </c>
      <c r="H166" s="20">
        <v>352016</v>
      </c>
      <c r="I166" s="12">
        <v>44019</v>
      </c>
      <c r="J166" s="12">
        <v>44203</v>
      </c>
      <c r="K166" s="25">
        <v>242502</v>
      </c>
      <c r="L166" s="23">
        <v>109514</v>
      </c>
      <c r="M166" s="30" t="s">
        <v>1052</v>
      </c>
      <c r="N166" s="30" t="s">
        <v>1055</v>
      </c>
    </row>
    <row r="167" spans="1:14" customFormat="1" x14ac:dyDescent="0.25">
      <c r="A167" s="7">
        <v>166</v>
      </c>
      <c r="B167" s="11" t="s">
        <v>182</v>
      </c>
      <c r="C167" s="7" t="s">
        <v>1039</v>
      </c>
      <c r="D167" s="7">
        <v>166</v>
      </c>
      <c r="E167" s="7">
        <v>166</v>
      </c>
      <c r="F167" s="7">
        <v>166</v>
      </c>
      <c r="G167" s="11" t="s">
        <v>1024</v>
      </c>
      <c r="H167" s="20">
        <v>857504</v>
      </c>
      <c r="I167" s="12">
        <v>44561</v>
      </c>
      <c r="J167" s="12">
        <v>44681</v>
      </c>
      <c r="K167" s="25">
        <v>611838</v>
      </c>
      <c r="L167" s="23">
        <v>245666</v>
      </c>
      <c r="M167" s="30" t="s">
        <v>1052</v>
      </c>
      <c r="N167" s="30" t="s">
        <v>1055</v>
      </c>
    </row>
    <row r="168" spans="1:14" customFormat="1" x14ac:dyDescent="0.25">
      <c r="A168" s="7">
        <v>167</v>
      </c>
      <c r="B168" s="11" t="s">
        <v>183</v>
      </c>
      <c r="C168" s="7" t="s">
        <v>1039</v>
      </c>
      <c r="D168" s="7">
        <v>167</v>
      </c>
      <c r="E168" s="7">
        <v>167</v>
      </c>
      <c r="F168" s="7">
        <v>167</v>
      </c>
      <c r="G168" s="11" t="s">
        <v>1026</v>
      </c>
      <c r="H168" s="20">
        <v>850251</v>
      </c>
      <c r="I168" s="12">
        <v>44834</v>
      </c>
      <c r="J168" s="12">
        <v>45381</v>
      </c>
      <c r="K168" s="25">
        <v>740113</v>
      </c>
      <c r="L168" s="23">
        <v>110138</v>
      </c>
      <c r="M168" s="30" t="s">
        <v>1052</v>
      </c>
      <c r="N168" s="30" t="s">
        <v>1055</v>
      </c>
    </row>
    <row r="169" spans="1:14" customFormat="1" x14ac:dyDescent="0.25">
      <c r="A169" s="7">
        <v>168</v>
      </c>
      <c r="B169" s="11" t="s">
        <v>184</v>
      </c>
      <c r="C169" s="7" t="s">
        <v>1039</v>
      </c>
      <c r="D169" s="7">
        <v>168</v>
      </c>
      <c r="E169" s="9">
        <v>168</v>
      </c>
      <c r="F169" s="7">
        <v>168</v>
      </c>
      <c r="G169" s="11" t="s">
        <v>1023</v>
      </c>
      <c r="H169" s="20">
        <v>95</v>
      </c>
      <c r="I169" s="12">
        <v>45389</v>
      </c>
      <c r="J169" s="12">
        <v>45633</v>
      </c>
      <c r="K169" s="25">
        <v>28</v>
      </c>
      <c r="L169" s="23">
        <v>67</v>
      </c>
      <c r="M169" s="30" t="s">
        <v>1052</v>
      </c>
      <c r="N169" s="30" t="s">
        <v>1055</v>
      </c>
    </row>
    <row r="170" spans="1:14" customFormat="1" x14ac:dyDescent="0.25">
      <c r="A170" s="7">
        <v>169</v>
      </c>
      <c r="B170" s="11" t="s">
        <v>185</v>
      </c>
      <c r="C170" s="7" t="s">
        <v>1039</v>
      </c>
      <c r="D170" s="7">
        <v>169</v>
      </c>
      <c r="E170" s="7">
        <v>169</v>
      </c>
      <c r="F170" s="7">
        <v>169</v>
      </c>
      <c r="G170" s="11" t="s">
        <v>1027</v>
      </c>
      <c r="H170" s="20">
        <v>16511</v>
      </c>
      <c r="I170" s="12">
        <v>44293</v>
      </c>
      <c r="J170" s="12">
        <v>44384</v>
      </c>
      <c r="K170" s="25">
        <v>1594</v>
      </c>
      <c r="L170" s="23">
        <v>14917</v>
      </c>
      <c r="M170" s="30" t="s">
        <v>1052</v>
      </c>
      <c r="N170" s="30" t="s">
        <v>1055</v>
      </c>
    </row>
    <row r="171" spans="1:14" customFormat="1" x14ac:dyDescent="0.25">
      <c r="A171" s="7">
        <v>170</v>
      </c>
      <c r="B171" s="11" t="s">
        <v>186</v>
      </c>
      <c r="C171" s="7" t="s">
        <v>1039</v>
      </c>
      <c r="D171" s="7">
        <v>170</v>
      </c>
      <c r="E171" s="7">
        <v>170</v>
      </c>
      <c r="F171" s="7">
        <v>170</v>
      </c>
      <c r="G171" s="11" t="s">
        <v>1024</v>
      </c>
      <c r="H171" s="20">
        <v>456177</v>
      </c>
      <c r="I171" s="12">
        <v>44108</v>
      </c>
      <c r="J171" s="12">
        <v>44259</v>
      </c>
      <c r="K171" s="25">
        <v>253968</v>
      </c>
      <c r="L171" s="23">
        <v>202209</v>
      </c>
      <c r="M171" s="30" t="s">
        <v>1052</v>
      </c>
      <c r="N171" s="30" t="s">
        <v>1055</v>
      </c>
    </row>
    <row r="172" spans="1:14" customFormat="1" x14ac:dyDescent="0.25">
      <c r="A172" s="7">
        <v>171</v>
      </c>
      <c r="B172" s="11" t="s">
        <v>187</v>
      </c>
      <c r="C172" s="7" t="s">
        <v>1039</v>
      </c>
      <c r="D172" s="7">
        <v>171</v>
      </c>
      <c r="E172" s="9">
        <v>171</v>
      </c>
      <c r="F172" s="7">
        <v>171</v>
      </c>
      <c r="G172" s="11" t="s">
        <v>1023</v>
      </c>
      <c r="H172" s="20">
        <v>130</v>
      </c>
      <c r="I172" s="12">
        <v>45414</v>
      </c>
      <c r="J172" s="12">
        <v>45871</v>
      </c>
      <c r="K172" s="25">
        <v>1</v>
      </c>
      <c r="L172" s="23">
        <v>129</v>
      </c>
      <c r="M172" s="30" t="s">
        <v>1052</v>
      </c>
      <c r="N172" s="30" t="s">
        <v>1055</v>
      </c>
    </row>
    <row r="173" spans="1:14" customFormat="1" x14ac:dyDescent="0.25">
      <c r="A173" s="7">
        <v>172</v>
      </c>
      <c r="B173" s="11" t="s">
        <v>188</v>
      </c>
      <c r="C173" s="7" t="s">
        <v>1039</v>
      </c>
      <c r="D173" s="7">
        <v>172</v>
      </c>
      <c r="E173" s="7">
        <v>172</v>
      </c>
      <c r="F173" s="7">
        <v>172</v>
      </c>
      <c r="G173" s="11" t="s">
        <v>1020</v>
      </c>
      <c r="H173" s="20">
        <v>374472</v>
      </c>
      <c r="I173" s="12">
        <v>43879</v>
      </c>
      <c r="J173" s="12">
        <v>44334</v>
      </c>
      <c r="K173" s="25">
        <v>63716</v>
      </c>
      <c r="L173" s="23">
        <v>310756</v>
      </c>
      <c r="M173" s="30" t="s">
        <v>1052</v>
      </c>
      <c r="N173" s="30" t="s">
        <v>1055</v>
      </c>
    </row>
    <row r="174" spans="1:14" customFormat="1" x14ac:dyDescent="0.25">
      <c r="A174" s="7">
        <v>173</v>
      </c>
      <c r="B174" s="11" t="s">
        <v>189</v>
      </c>
      <c r="C174" s="7" t="s">
        <v>1039</v>
      </c>
      <c r="D174" s="7">
        <v>173</v>
      </c>
      <c r="E174" s="7">
        <v>173</v>
      </c>
      <c r="F174" s="7">
        <v>173</v>
      </c>
      <c r="G174" s="11" t="s">
        <v>1026</v>
      </c>
      <c r="H174" s="20">
        <v>4854120</v>
      </c>
      <c r="I174" s="12">
        <v>44504</v>
      </c>
      <c r="J174" s="12">
        <v>44869</v>
      </c>
      <c r="K174" s="25">
        <v>1930893</v>
      </c>
      <c r="L174" s="23">
        <v>2923227</v>
      </c>
      <c r="M174" s="30" t="s">
        <v>1052</v>
      </c>
      <c r="N174" s="30" t="s">
        <v>1055</v>
      </c>
    </row>
    <row r="175" spans="1:14" customFormat="1" x14ac:dyDescent="0.25">
      <c r="A175" s="7">
        <v>174</v>
      </c>
      <c r="B175" s="11" t="s">
        <v>190</v>
      </c>
      <c r="C175" s="7" t="s">
        <v>1039</v>
      </c>
      <c r="D175" s="7">
        <v>174</v>
      </c>
      <c r="E175" s="9">
        <v>174</v>
      </c>
      <c r="F175" s="7">
        <v>174</v>
      </c>
      <c r="G175" s="11" t="s">
        <v>1027</v>
      </c>
      <c r="H175" s="20">
        <v>15325</v>
      </c>
      <c r="I175" s="12">
        <v>44808</v>
      </c>
      <c r="J175" s="12">
        <v>44930</v>
      </c>
      <c r="K175" s="25">
        <v>2808</v>
      </c>
      <c r="L175" s="23">
        <v>12517</v>
      </c>
      <c r="M175" s="30" t="s">
        <v>1052</v>
      </c>
      <c r="N175" s="30" t="s">
        <v>1055</v>
      </c>
    </row>
    <row r="176" spans="1:14" customFormat="1" x14ac:dyDescent="0.25">
      <c r="A176" s="7">
        <v>175</v>
      </c>
      <c r="B176" s="11" t="s">
        <v>191</v>
      </c>
      <c r="C176" s="7" t="s">
        <v>1039</v>
      </c>
      <c r="D176" s="7">
        <v>175</v>
      </c>
      <c r="E176" s="7">
        <v>175</v>
      </c>
      <c r="F176" s="7">
        <v>175</v>
      </c>
      <c r="G176" s="11" t="s">
        <v>1020</v>
      </c>
      <c r="H176" s="20">
        <v>163821</v>
      </c>
      <c r="I176" s="12">
        <v>45237</v>
      </c>
      <c r="J176" s="12">
        <v>45723</v>
      </c>
      <c r="K176" s="25">
        <v>6791</v>
      </c>
      <c r="L176" s="23">
        <v>157030</v>
      </c>
      <c r="M176" s="30" t="s">
        <v>1052</v>
      </c>
      <c r="N176" s="30" t="s">
        <v>1055</v>
      </c>
    </row>
    <row r="177" spans="1:14" customFormat="1" x14ac:dyDescent="0.25">
      <c r="A177" s="7">
        <v>176</v>
      </c>
      <c r="B177" s="11" t="s">
        <v>192</v>
      </c>
      <c r="C177" s="7" t="s">
        <v>1039</v>
      </c>
      <c r="D177" s="7">
        <v>176</v>
      </c>
      <c r="E177" s="7">
        <v>176</v>
      </c>
      <c r="F177" s="7">
        <v>176</v>
      </c>
      <c r="G177" s="11" t="s">
        <v>1023</v>
      </c>
      <c r="H177" s="20">
        <v>679</v>
      </c>
      <c r="I177" s="12">
        <v>45021</v>
      </c>
      <c r="J177" s="12">
        <v>45143</v>
      </c>
      <c r="K177" s="25">
        <v>296</v>
      </c>
      <c r="L177" s="23">
        <v>383</v>
      </c>
      <c r="M177" s="30" t="s">
        <v>1052</v>
      </c>
      <c r="N177" s="30" t="s">
        <v>1055</v>
      </c>
    </row>
    <row r="178" spans="1:14" customFormat="1" x14ac:dyDescent="0.25">
      <c r="A178" s="7">
        <v>177</v>
      </c>
      <c r="B178" s="11" t="s">
        <v>193</v>
      </c>
      <c r="C178" s="7" t="s">
        <v>1039</v>
      </c>
      <c r="D178" s="7">
        <v>177</v>
      </c>
      <c r="E178" s="9">
        <v>177</v>
      </c>
      <c r="F178" s="7">
        <v>177</v>
      </c>
      <c r="G178" s="11" t="s">
        <v>1022</v>
      </c>
      <c r="H178" s="20">
        <v>26795</v>
      </c>
      <c r="I178" s="12">
        <v>45272</v>
      </c>
      <c r="J178" s="12">
        <v>45789</v>
      </c>
      <c r="K178" s="25">
        <v>166</v>
      </c>
      <c r="L178" s="23">
        <v>26629</v>
      </c>
      <c r="M178" s="30" t="s">
        <v>1052</v>
      </c>
      <c r="N178" s="30" t="s">
        <v>1055</v>
      </c>
    </row>
    <row r="179" spans="1:14" customFormat="1" x14ac:dyDescent="0.25">
      <c r="A179" s="7">
        <v>178</v>
      </c>
      <c r="B179" s="11" t="s">
        <v>194</v>
      </c>
      <c r="C179" s="7" t="s">
        <v>1039</v>
      </c>
      <c r="D179" s="7">
        <v>178</v>
      </c>
      <c r="E179" s="7">
        <v>178</v>
      </c>
      <c r="F179" s="7">
        <v>178</v>
      </c>
      <c r="G179" s="11" t="s">
        <v>1020</v>
      </c>
      <c r="H179" s="20">
        <v>202112</v>
      </c>
      <c r="I179" s="12">
        <v>44496</v>
      </c>
      <c r="J179" s="12">
        <v>45196</v>
      </c>
      <c r="K179" s="25">
        <v>183032</v>
      </c>
      <c r="L179" s="23">
        <v>19080</v>
      </c>
      <c r="M179" s="30" t="s">
        <v>1052</v>
      </c>
      <c r="N179" s="30" t="s">
        <v>1055</v>
      </c>
    </row>
    <row r="180" spans="1:14" customFormat="1" x14ac:dyDescent="0.25">
      <c r="A180" s="7">
        <v>179</v>
      </c>
      <c r="B180" s="11" t="s">
        <v>195</v>
      </c>
      <c r="C180" s="7" t="s">
        <v>1039</v>
      </c>
      <c r="D180" s="7">
        <v>179</v>
      </c>
      <c r="E180" s="7">
        <v>179</v>
      </c>
      <c r="F180" s="7">
        <v>179</v>
      </c>
      <c r="G180" s="11" t="s">
        <v>1021</v>
      </c>
      <c r="H180" s="20">
        <v>75082</v>
      </c>
      <c r="I180" s="12">
        <v>43925</v>
      </c>
      <c r="J180" s="12">
        <v>44290</v>
      </c>
      <c r="K180" s="25">
        <v>38777</v>
      </c>
      <c r="L180" s="23">
        <v>36305</v>
      </c>
      <c r="M180" s="30" t="s">
        <v>1052</v>
      </c>
      <c r="N180" s="30" t="s">
        <v>1055</v>
      </c>
    </row>
    <row r="181" spans="1:14" customFormat="1" x14ac:dyDescent="0.25">
      <c r="A181" s="7">
        <v>180</v>
      </c>
      <c r="B181" s="11" t="s">
        <v>196</v>
      </c>
      <c r="C181" s="7" t="s">
        <v>1039</v>
      </c>
      <c r="D181" s="7">
        <v>180</v>
      </c>
      <c r="E181" s="9">
        <v>180</v>
      </c>
      <c r="F181" s="7">
        <v>180</v>
      </c>
      <c r="G181" s="11" t="s">
        <v>1026</v>
      </c>
      <c r="H181" s="20">
        <v>3469064</v>
      </c>
      <c r="I181" s="12">
        <v>44838</v>
      </c>
      <c r="J181" s="12">
        <v>45020</v>
      </c>
      <c r="K181" s="25">
        <v>2594721</v>
      </c>
      <c r="L181" s="23">
        <v>874343</v>
      </c>
      <c r="M181" s="30" t="s">
        <v>1052</v>
      </c>
      <c r="N181" s="30" t="s">
        <v>1055</v>
      </c>
    </row>
    <row r="182" spans="1:14" customFormat="1" x14ac:dyDescent="0.25">
      <c r="A182" s="7">
        <v>181</v>
      </c>
      <c r="B182" s="11" t="s">
        <v>197</v>
      </c>
      <c r="C182" s="7" t="s">
        <v>1039</v>
      </c>
      <c r="D182" s="7">
        <v>181</v>
      </c>
      <c r="E182" s="7">
        <v>181</v>
      </c>
      <c r="F182" s="7">
        <v>181</v>
      </c>
      <c r="G182" s="11" t="s">
        <v>1021</v>
      </c>
      <c r="H182" s="20">
        <v>98133</v>
      </c>
      <c r="I182" s="12">
        <v>44003</v>
      </c>
      <c r="J182" s="12">
        <v>44551</v>
      </c>
      <c r="K182" s="25">
        <v>32129</v>
      </c>
      <c r="L182" s="23">
        <v>66004</v>
      </c>
      <c r="M182" s="30" t="s">
        <v>1052</v>
      </c>
      <c r="N182" s="30" t="s">
        <v>1055</v>
      </c>
    </row>
    <row r="183" spans="1:14" customFormat="1" x14ac:dyDescent="0.25">
      <c r="A183" s="7">
        <v>182</v>
      </c>
      <c r="B183" s="11" t="s">
        <v>198</v>
      </c>
      <c r="C183" s="7" t="s">
        <v>1039</v>
      </c>
      <c r="D183" s="7">
        <v>182</v>
      </c>
      <c r="E183" s="7">
        <v>182</v>
      </c>
      <c r="F183" s="7">
        <v>182</v>
      </c>
      <c r="G183" s="11" t="s">
        <v>1026</v>
      </c>
      <c r="H183" s="20">
        <v>1327991</v>
      </c>
      <c r="I183" s="12">
        <v>44746</v>
      </c>
      <c r="J183" s="12">
        <v>45386</v>
      </c>
      <c r="K183" s="25">
        <v>1183839</v>
      </c>
      <c r="L183" s="23">
        <v>144152</v>
      </c>
      <c r="M183" s="30" t="s">
        <v>1052</v>
      </c>
      <c r="N183" s="30" t="s">
        <v>1055</v>
      </c>
    </row>
    <row r="184" spans="1:14" customFormat="1" x14ac:dyDescent="0.25">
      <c r="A184" s="7">
        <v>183</v>
      </c>
      <c r="B184" s="11" t="s">
        <v>199</v>
      </c>
      <c r="C184" s="7" t="s">
        <v>1039</v>
      </c>
      <c r="D184" s="7">
        <v>183</v>
      </c>
      <c r="E184" s="9">
        <v>183</v>
      </c>
      <c r="F184" s="7">
        <v>183</v>
      </c>
      <c r="G184" s="11" t="s">
        <v>1021</v>
      </c>
      <c r="H184" s="20">
        <v>4975</v>
      </c>
      <c r="I184" s="12">
        <v>44526</v>
      </c>
      <c r="J184" s="12">
        <v>45225</v>
      </c>
      <c r="K184" s="25">
        <v>2477</v>
      </c>
      <c r="L184" s="23">
        <v>2498</v>
      </c>
      <c r="M184" s="30" t="s">
        <v>1052</v>
      </c>
      <c r="N184" s="30" t="s">
        <v>1055</v>
      </c>
    </row>
    <row r="185" spans="1:14" customFormat="1" x14ac:dyDescent="0.25">
      <c r="A185" s="7">
        <v>184</v>
      </c>
      <c r="B185" s="11" t="s">
        <v>200</v>
      </c>
      <c r="C185" s="7" t="s">
        <v>1039</v>
      </c>
      <c r="D185" s="7">
        <v>184</v>
      </c>
      <c r="E185" s="7">
        <v>184</v>
      </c>
      <c r="F185" s="7">
        <v>184</v>
      </c>
      <c r="G185" s="11" t="s">
        <v>1025</v>
      </c>
      <c r="H185" s="20">
        <v>244240</v>
      </c>
      <c r="I185" s="12">
        <v>45535</v>
      </c>
      <c r="J185" s="12">
        <v>46203</v>
      </c>
      <c r="K185" s="25">
        <v>155872</v>
      </c>
      <c r="L185" s="23">
        <v>88368</v>
      </c>
      <c r="M185" s="30" t="s">
        <v>1052</v>
      </c>
      <c r="N185" s="30" t="s">
        <v>1055</v>
      </c>
    </row>
    <row r="186" spans="1:14" customFormat="1" x14ac:dyDescent="0.25">
      <c r="A186" s="7">
        <v>185</v>
      </c>
      <c r="B186" s="11" t="s">
        <v>201</v>
      </c>
      <c r="C186" s="7" t="s">
        <v>1039</v>
      </c>
      <c r="D186" s="7">
        <v>185</v>
      </c>
      <c r="E186" s="7">
        <v>185</v>
      </c>
      <c r="F186" s="7">
        <v>185</v>
      </c>
      <c r="G186" s="11" t="s">
        <v>1025</v>
      </c>
      <c r="H186" s="20">
        <v>316418</v>
      </c>
      <c r="I186" s="12">
        <v>45070</v>
      </c>
      <c r="J186" s="12">
        <v>45650</v>
      </c>
      <c r="K186" s="25">
        <v>28886</v>
      </c>
      <c r="L186" s="23">
        <v>287532</v>
      </c>
      <c r="M186" s="30" t="s">
        <v>1052</v>
      </c>
      <c r="N186" s="30" t="s">
        <v>1055</v>
      </c>
    </row>
    <row r="187" spans="1:14" customFormat="1" x14ac:dyDescent="0.25">
      <c r="A187" s="7">
        <v>186</v>
      </c>
      <c r="B187" s="11" t="s">
        <v>202</v>
      </c>
      <c r="C187" s="7" t="s">
        <v>1039</v>
      </c>
      <c r="D187" s="7">
        <v>186</v>
      </c>
      <c r="E187" s="9">
        <v>186</v>
      </c>
      <c r="F187" s="7">
        <v>186</v>
      </c>
      <c r="G187" s="11" t="s">
        <v>1016</v>
      </c>
      <c r="H187" s="20">
        <v>4869</v>
      </c>
      <c r="I187" s="12">
        <v>44750</v>
      </c>
      <c r="J187" s="12">
        <v>45299</v>
      </c>
      <c r="K187" s="25">
        <v>2526</v>
      </c>
      <c r="L187" s="23">
        <v>2343</v>
      </c>
      <c r="M187" s="30" t="s">
        <v>1052</v>
      </c>
      <c r="N187" s="30" t="s">
        <v>1055</v>
      </c>
    </row>
    <row r="188" spans="1:14" customFormat="1" x14ac:dyDescent="0.25">
      <c r="A188" s="7">
        <v>187</v>
      </c>
      <c r="B188" s="11" t="s">
        <v>203</v>
      </c>
      <c r="C188" s="7" t="s">
        <v>1039</v>
      </c>
      <c r="D188" s="7">
        <v>187</v>
      </c>
      <c r="E188" s="7">
        <v>187</v>
      </c>
      <c r="F188" s="7">
        <v>187</v>
      </c>
      <c r="G188" s="11" t="s">
        <v>1025</v>
      </c>
      <c r="H188" s="20">
        <v>179043</v>
      </c>
      <c r="I188" s="12">
        <v>45517</v>
      </c>
      <c r="J188" s="12">
        <v>46004</v>
      </c>
      <c r="K188" s="25">
        <v>106059</v>
      </c>
      <c r="L188" s="23">
        <v>72984</v>
      </c>
      <c r="M188" s="30" t="s">
        <v>1052</v>
      </c>
      <c r="N188" s="30" t="s">
        <v>1055</v>
      </c>
    </row>
    <row r="189" spans="1:14" customFormat="1" x14ac:dyDescent="0.25">
      <c r="A189" s="7">
        <v>188</v>
      </c>
      <c r="B189" s="11" t="s">
        <v>204</v>
      </c>
      <c r="C189" s="7" t="s">
        <v>1039</v>
      </c>
      <c r="D189" s="7">
        <v>188</v>
      </c>
      <c r="E189" s="7">
        <v>188</v>
      </c>
      <c r="F189" s="7">
        <v>188</v>
      </c>
      <c r="G189" s="11" t="s">
        <v>1023</v>
      </c>
      <c r="H189" s="20">
        <v>782</v>
      </c>
      <c r="I189" s="12">
        <v>44289</v>
      </c>
      <c r="J189" s="12">
        <v>44319</v>
      </c>
      <c r="K189" s="25">
        <v>478</v>
      </c>
      <c r="L189" s="23">
        <v>304</v>
      </c>
      <c r="M189" s="30" t="s">
        <v>1052</v>
      </c>
      <c r="N189" s="30" t="s">
        <v>1055</v>
      </c>
    </row>
    <row r="190" spans="1:14" customFormat="1" x14ac:dyDescent="0.25">
      <c r="A190" s="7">
        <v>189</v>
      </c>
      <c r="B190" s="11" t="s">
        <v>205</v>
      </c>
      <c r="C190" s="7" t="s">
        <v>1039</v>
      </c>
      <c r="D190" s="7">
        <v>189</v>
      </c>
      <c r="E190" s="9">
        <v>189</v>
      </c>
      <c r="F190" s="7">
        <v>189</v>
      </c>
      <c r="G190" s="11" t="s">
        <v>1023</v>
      </c>
      <c r="H190" s="20">
        <v>560</v>
      </c>
      <c r="I190" s="12">
        <v>45564</v>
      </c>
      <c r="J190" s="12">
        <v>45806</v>
      </c>
      <c r="K190" s="25">
        <v>74</v>
      </c>
      <c r="L190" s="23">
        <v>486</v>
      </c>
      <c r="M190" s="30" t="s">
        <v>1052</v>
      </c>
      <c r="N190" s="30" t="s">
        <v>1055</v>
      </c>
    </row>
    <row r="191" spans="1:14" customFormat="1" x14ac:dyDescent="0.25">
      <c r="A191" s="7">
        <v>190</v>
      </c>
      <c r="B191" s="11" t="s">
        <v>206</v>
      </c>
      <c r="C191" s="7" t="s">
        <v>1039</v>
      </c>
      <c r="D191" s="7">
        <v>190</v>
      </c>
      <c r="E191" s="7">
        <v>190</v>
      </c>
      <c r="F191" s="7">
        <v>190</v>
      </c>
      <c r="G191" s="11" t="s">
        <v>1027</v>
      </c>
      <c r="H191" s="20">
        <v>50575</v>
      </c>
      <c r="I191" s="12">
        <v>44343</v>
      </c>
      <c r="J191" s="12">
        <v>44466</v>
      </c>
      <c r="K191" s="25">
        <v>13758</v>
      </c>
      <c r="L191" s="23">
        <v>36817</v>
      </c>
      <c r="M191" s="30" t="s">
        <v>1052</v>
      </c>
      <c r="N191" s="30" t="s">
        <v>1055</v>
      </c>
    </row>
    <row r="192" spans="1:14" customFormat="1" x14ac:dyDescent="0.25">
      <c r="A192" s="7">
        <v>191</v>
      </c>
      <c r="B192" s="11" t="s">
        <v>207</v>
      </c>
      <c r="C192" s="7" t="s">
        <v>1039</v>
      </c>
      <c r="D192" s="7">
        <v>191</v>
      </c>
      <c r="E192" s="7">
        <v>191</v>
      </c>
      <c r="F192" s="7">
        <v>191</v>
      </c>
      <c r="G192" s="11" t="s">
        <v>1020</v>
      </c>
      <c r="H192" s="20">
        <v>159688</v>
      </c>
      <c r="I192" s="12">
        <v>44658</v>
      </c>
      <c r="J192" s="12">
        <v>44902</v>
      </c>
      <c r="K192" s="25">
        <v>5294</v>
      </c>
      <c r="L192" s="23">
        <v>154394</v>
      </c>
      <c r="M192" s="30" t="s">
        <v>1052</v>
      </c>
      <c r="N192" s="30" t="s">
        <v>1055</v>
      </c>
    </row>
    <row r="193" spans="1:14" customFormat="1" x14ac:dyDescent="0.25">
      <c r="A193" s="7">
        <v>192</v>
      </c>
      <c r="B193" s="11" t="s">
        <v>208</v>
      </c>
      <c r="C193" s="7" t="s">
        <v>1039</v>
      </c>
      <c r="D193" s="7">
        <v>192</v>
      </c>
      <c r="E193" s="9">
        <v>192</v>
      </c>
      <c r="F193" s="7">
        <v>192</v>
      </c>
      <c r="G193" s="11" t="s">
        <v>1025</v>
      </c>
      <c r="H193" s="20">
        <v>441362</v>
      </c>
      <c r="I193" s="12">
        <v>44276</v>
      </c>
      <c r="J193" s="12">
        <v>44368</v>
      </c>
      <c r="K193" s="25">
        <v>271813</v>
      </c>
      <c r="L193" s="23">
        <v>169549</v>
      </c>
      <c r="M193" s="30" t="s">
        <v>1052</v>
      </c>
      <c r="N193" s="30" t="s">
        <v>1055</v>
      </c>
    </row>
    <row r="194" spans="1:14" customFormat="1" x14ac:dyDescent="0.25">
      <c r="A194" s="7">
        <v>193</v>
      </c>
      <c r="B194" s="11" t="s">
        <v>209</v>
      </c>
      <c r="C194" s="7" t="s">
        <v>1039</v>
      </c>
      <c r="D194" s="7">
        <v>193</v>
      </c>
      <c r="E194" s="7">
        <v>193</v>
      </c>
      <c r="F194" s="7">
        <v>193</v>
      </c>
      <c r="G194" s="11" t="s">
        <v>1016</v>
      </c>
      <c r="H194" s="20">
        <v>23830</v>
      </c>
      <c r="I194" s="12">
        <v>44584</v>
      </c>
      <c r="J194" s="12">
        <v>45100</v>
      </c>
      <c r="K194" s="25">
        <v>22713</v>
      </c>
      <c r="L194" s="23">
        <v>1117</v>
      </c>
      <c r="M194" s="30" t="s">
        <v>1052</v>
      </c>
      <c r="N194" s="30" t="s">
        <v>1055</v>
      </c>
    </row>
    <row r="195" spans="1:14" customFormat="1" x14ac:dyDescent="0.25">
      <c r="A195" s="7">
        <v>194</v>
      </c>
      <c r="B195" s="11" t="s">
        <v>210</v>
      </c>
      <c r="C195" s="7" t="s">
        <v>1039</v>
      </c>
      <c r="D195" s="7">
        <v>194</v>
      </c>
      <c r="E195" s="7">
        <v>194</v>
      </c>
      <c r="F195" s="7">
        <v>194</v>
      </c>
      <c r="G195" s="11" t="s">
        <v>1026</v>
      </c>
      <c r="H195" s="20">
        <v>3503544</v>
      </c>
      <c r="I195" s="12">
        <v>45005</v>
      </c>
      <c r="J195" s="12">
        <v>45250</v>
      </c>
      <c r="K195" s="25">
        <v>2773839</v>
      </c>
      <c r="L195" s="23">
        <v>729705</v>
      </c>
      <c r="M195" s="30" t="s">
        <v>1052</v>
      </c>
      <c r="N195" s="30" t="s">
        <v>1055</v>
      </c>
    </row>
    <row r="196" spans="1:14" customFormat="1" x14ac:dyDescent="0.25">
      <c r="A196" s="7">
        <v>195</v>
      </c>
      <c r="B196" s="11" t="s">
        <v>211</v>
      </c>
      <c r="C196" s="7" t="s">
        <v>1039</v>
      </c>
      <c r="D196" s="7">
        <v>195</v>
      </c>
      <c r="E196" s="9">
        <v>195</v>
      </c>
      <c r="F196" s="7">
        <v>195</v>
      </c>
      <c r="G196" s="11" t="s">
        <v>1024</v>
      </c>
      <c r="H196" s="20">
        <v>120887</v>
      </c>
      <c r="I196" s="12">
        <v>43912</v>
      </c>
      <c r="J196" s="12">
        <v>44034</v>
      </c>
      <c r="K196" s="25">
        <v>104146</v>
      </c>
      <c r="L196" s="23">
        <v>16741</v>
      </c>
      <c r="M196" s="30" t="s">
        <v>1052</v>
      </c>
      <c r="N196" s="30" t="s">
        <v>1055</v>
      </c>
    </row>
    <row r="197" spans="1:14" customFormat="1" x14ac:dyDescent="0.25">
      <c r="A197" s="7">
        <v>196</v>
      </c>
      <c r="B197" s="11" t="s">
        <v>212</v>
      </c>
      <c r="C197" s="7" t="s">
        <v>1039</v>
      </c>
      <c r="D197" s="7">
        <v>196</v>
      </c>
      <c r="E197" s="7">
        <v>196</v>
      </c>
      <c r="F197" s="7">
        <v>196</v>
      </c>
      <c r="G197" s="11" t="s">
        <v>1026</v>
      </c>
      <c r="H197" s="20">
        <v>1748590</v>
      </c>
      <c r="I197" s="12">
        <v>45579</v>
      </c>
      <c r="J197" s="12">
        <v>46067</v>
      </c>
      <c r="K197" s="25">
        <v>1592940</v>
      </c>
      <c r="L197" s="23">
        <v>155650</v>
      </c>
      <c r="M197" s="30" t="s">
        <v>1052</v>
      </c>
      <c r="N197" s="30" t="s">
        <v>1055</v>
      </c>
    </row>
    <row r="198" spans="1:14" customFormat="1" x14ac:dyDescent="0.25">
      <c r="A198" s="7">
        <v>197</v>
      </c>
      <c r="B198" s="11" t="s">
        <v>213</v>
      </c>
      <c r="C198" s="7" t="s">
        <v>1039</v>
      </c>
      <c r="D198" s="7">
        <v>197</v>
      </c>
      <c r="E198" s="7">
        <v>197</v>
      </c>
      <c r="F198" s="7">
        <v>197</v>
      </c>
      <c r="G198" s="11" t="s">
        <v>1027</v>
      </c>
      <c r="H198" s="20">
        <v>48149</v>
      </c>
      <c r="I198" s="12">
        <v>44215</v>
      </c>
      <c r="J198" s="12">
        <v>44396</v>
      </c>
      <c r="K198" s="25">
        <v>18378</v>
      </c>
      <c r="L198" s="23">
        <v>29771</v>
      </c>
      <c r="M198" s="30" t="s">
        <v>1052</v>
      </c>
      <c r="N198" s="30" t="s">
        <v>1055</v>
      </c>
    </row>
    <row r="199" spans="1:14" customFormat="1" x14ac:dyDescent="0.25">
      <c r="A199" s="7">
        <v>198</v>
      </c>
      <c r="B199" s="11" t="s">
        <v>214</v>
      </c>
      <c r="C199" s="7" t="s">
        <v>1039</v>
      </c>
      <c r="D199" s="7">
        <v>198</v>
      </c>
      <c r="E199" s="9">
        <v>198</v>
      </c>
      <c r="F199" s="7">
        <v>198</v>
      </c>
      <c r="G199" s="11" t="s">
        <v>1020</v>
      </c>
      <c r="H199" s="20">
        <v>163642</v>
      </c>
      <c r="I199" s="12">
        <v>44741</v>
      </c>
      <c r="J199" s="12">
        <v>44985</v>
      </c>
      <c r="K199" s="25">
        <v>114739</v>
      </c>
      <c r="L199" s="23">
        <v>48903</v>
      </c>
      <c r="M199" s="30" t="s">
        <v>1052</v>
      </c>
      <c r="N199" s="30" t="s">
        <v>1055</v>
      </c>
    </row>
    <row r="200" spans="1:14" customFormat="1" x14ac:dyDescent="0.25">
      <c r="A200" s="7">
        <v>199</v>
      </c>
      <c r="B200" s="11" t="s">
        <v>215</v>
      </c>
      <c r="C200" s="7" t="s">
        <v>1039</v>
      </c>
      <c r="D200" s="7">
        <v>199</v>
      </c>
      <c r="E200" s="7">
        <v>199</v>
      </c>
      <c r="F200" s="7">
        <v>199</v>
      </c>
      <c r="G200" s="11" t="s">
        <v>1027</v>
      </c>
      <c r="H200" s="20">
        <v>39101</v>
      </c>
      <c r="I200" s="12">
        <v>44306</v>
      </c>
      <c r="J200" s="12">
        <v>44793</v>
      </c>
      <c r="K200" s="25">
        <v>37317</v>
      </c>
      <c r="L200" s="23">
        <v>1784</v>
      </c>
      <c r="M200" s="30" t="s">
        <v>1052</v>
      </c>
      <c r="N200" s="30" t="s">
        <v>1055</v>
      </c>
    </row>
    <row r="201" spans="1:14" customFormat="1" x14ac:dyDescent="0.25">
      <c r="A201" s="7">
        <v>200</v>
      </c>
      <c r="B201" s="11" t="s">
        <v>216</v>
      </c>
      <c r="C201" s="7" t="s">
        <v>1039</v>
      </c>
      <c r="D201" s="7">
        <v>200</v>
      </c>
      <c r="E201" s="7">
        <v>200</v>
      </c>
      <c r="F201" s="7">
        <v>200</v>
      </c>
      <c r="G201" s="11" t="s">
        <v>1027</v>
      </c>
      <c r="H201" s="20">
        <v>36483</v>
      </c>
      <c r="I201" s="12">
        <v>44662</v>
      </c>
      <c r="J201" s="12">
        <v>44876</v>
      </c>
      <c r="K201" s="25">
        <v>14134</v>
      </c>
      <c r="L201" s="23">
        <v>22349</v>
      </c>
      <c r="M201" s="30" t="s">
        <v>1052</v>
      </c>
      <c r="N201" s="30" t="s">
        <v>1055</v>
      </c>
    </row>
    <row r="202" spans="1:14" customFormat="1" x14ac:dyDescent="0.25">
      <c r="A202" s="7">
        <v>201</v>
      </c>
      <c r="B202" s="11" t="s">
        <v>217</v>
      </c>
      <c r="C202" s="7" t="s">
        <v>1039</v>
      </c>
      <c r="D202" s="7">
        <v>201</v>
      </c>
      <c r="E202" s="9">
        <v>201</v>
      </c>
      <c r="F202" s="7">
        <v>201</v>
      </c>
      <c r="G202" s="11" t="s">
        <v>1016</v>
      </c>
      <c r="H202" s="20">
        <v>24610</v>
      </c>
      <c r="I202" s="12">
        <v>44491</v>
      </c>
      <c r="J202" s="12">
        <v>44795</v>
      </c>
      <c r="K202" s="25">
        <v>12797</v>
      </c>
      <c r="L202" s="23">
        <v>11813</v>
      </c>
      <c r="M202" s="30" t="s">
        <v>1052</v>
      </c>
      <c r="N202" s="30" t="s">
        <v>1055</v>
      </c>
    </row>
    <row r="203" spans="1:14" customFormat="1" x14ac:dyDescent="0.25">
      <c r="A203" s="7">
        <v>202</v>
      </c>
      <c r="B203" s="11" t="s">
        <v>218</v>
      </c>
      <c r="C203" s="7" t="s">
        <v>1039</v>
      </c>
      <c r="D203" s="7">
        <v>202</v>
      </c>
      <c r="E203" s="7">
        <v>202</v>
      </c>
      <c r="F203" s="7">
        <v>202</v>
      </c>
      <c r="G203" s="11" t="s">
        <v>1027</v>
      </c>
      <c r="H203" s="20">
        <v>26771</v>
      </c>
      <c r="I203" s="12">
        <v>45550</v>
      </c>
      <c r="J203" s="12">
        <v>45915</v>
      </c>
      <c r="K203" s="25">
        <v>5232</v>
      </c>
      <c r="L203" s="23">
        <v>21539</v>
      </c>
      <c r="M203" s="30" t="s">
        <v>1052</v>
      </c>
      <c r="N203" s="30" t="s">
        <v>1055</v>
      </c>
    </row>
    <row r="204" spans="1:14" customFormat="1" x14ac:dyDescent="0.25">
      <c r="A204" s="7">
        <v>203</v>
      </c>
      <c r="B204" s="11" t="s">
        <v>219</v>
      </c>
      <c r="C204" s="7" t="s">
        <v>1039</v>
      </c>
      <c r="D204" s="7">
        <v>203</v>
      </c>
      <c r="E204" s="7">
        <v>203</v>
      </c>
      <c r="F204" s="7">
        <v>203</v>
      </c>
      <c r="G204" s="11" t="s">
        <v>1023</v>
      </c>
      <c r="H204" s="20">
        <v>1290</v>
      </c>
      <c r="I204" s="12">
        <v>44033</v>
      </c>
      <c r="J204" s="12">
        <v>44095</v>
      </c>
      <c r="K204" s="25">
        <v>648</v>
      </c>
      <c r="L204" s="23">
        <v>642</v>
      </c>
      <c r="M204" s="30" t="s">
        <v>1052</v>
      </c>
      <c r="N204" s="30" t="s">
        <v>1055</v>
      </c>
    </row>
    <row r="205" spans="1:14" customFormat="1" x14ac:dyDescent="0.25">
      <c r="A205" s="7">
        <v>204</v>
      </c>
      <c r="B205" s="11" t="s">
        <v>220</v>
      </c>
      <c r="C205" s="7" t="s">
        <v>1039</v>
      </c>
      <c r="D205" s="7">
        <v>204</v>
      </c>
      <c r="E205" s="9">
        <v>204</v>
      </c>
      <c r="F205" s="7">
        <v>204</v>
      </c>
      <c r="G205" s="11" t="s">
        <v>1016</v>
      </c>
      <c r="H205" s="20">
        <v>20069</v>
      </c>
      <c r="I205" s="12">
        <v>44348</v>
      </c>
      <c r="J205" s="12">
        <v>44805</v>
      </c>
      <c r="K205" s="25">
        <v>5231</v>
      </c>
      <c r="L205" s="23">
        <v>14838</v>
      </c>
      <c r="M205" s="30" t="s">
        <v>1052</v>
      </c>
      <c r="N205" s="30" t="s">
        <v>1055</v>
      </c>
    </row>
    <row r="206" spans="1:14" customFormat="1" x14ac:dyDescent="0.25">
      <c r="A206" s="7">
        <v>205</v>
      </c>
      <c r="B206" s="11" t="s">
        <v>221</v>
      </c>
      <c r="C206" s="7" t="s">
        <v>1039</v>
      </c>
      <c r="D206" s="7">
        <v>205</v>
      </c>
      <c r="E206" s="7">
        <v>205</v>
      </c>
      <c r="F206" s="7">
        <v>205</v>
      </c>
      <c r="G206" s="11" t="s">
        <v>1022</v>
      </c>
      <c r="H206" s="20">
        <v>24780</v>
      </c>
      <c r="I206" s="12">
        <v>45710</v>
      </c>
      <c r="J206" s="12">
        <v>46164</v>
      </c>
      <c r="K206" s="25">
        <v>21118</v>
      </c>
      <c r="L206" s="23">
        <v>3662</v>
      </c>
      <c r="M206" s="30" t="s">
        <v>1052</v>
      </c>
      <c r="N206" s="30" t="s">
        <v>1055</v>
      </c>
    </row>
    <row r="207" spans="1:14" customFormat="1" x14ac:dyDescent="0.25">
      <c r="A207" s="7">
        <v>206</v>
      </c>
      <c r="B207" s="11" t="s">
        <v>222</v>
      </c>
      <c r="C207" s="7" t="s">
        <v>1039</v>
      </c>
      <c r="D207" s="7">
        <v>206</v>
      </c>
      <c r="E207" s="7">
        <v>206</v>
      </c>
      <c r="F207" s="7">
        <v>206</v>
      </c>
      <c r="G207" s="11" t="s">
        <v>1020</v>
      </c>
      <c r="H207" s="20">
        <v>25431</v>
      </c>
      <c r="I207" s="12">
        <v>44934</v>
      </c>
      <c r="J207" s="12">
        <v>45085</v>
      </c>
      <c r="K207" s="25">
        <v>5425</v>
      </c>
      <c r="L207" s="23">
        <v>20006</v>
      </c>
      <c r="M207" s="30" t="s">
        <v>1052</v>
      </c>
      <c r="N207" s="30" t="s">
        <v>1055</v>
      </c>
    </row>
    <row r="208" spans="1:14" customFormat="1" x14ac:dyDescent="0.25">
      <c r="A208" s="7">
        <v>207</v>
      </c>
      <c r="B208" s="11" t="s">
        <v>223</v>
      </c>
      <c r="C208" s="7" t="s">
        <v>1039</v>
      </c>
      <c r="D208" s="7">
        <v>207</v>
      </c>
      <c r="E208" s="9">
        <v>207</v>
      </c>
      <c r="F208" s="7">
        <v>207</v>
      </c>
      <c r="G208" s="11" t="s">
        <v>1023</v>
      </c>
      <c r="H208" s="20">
        <v>58</v>
      </c>
      <c r="I208" s="12">
        <v>44701</v>
      </c>
      <c r="J208" s="12">
        <v>44824</v>
      </c>
      <c r="K208" s="25">
        <v>33</v>
      </c>
      <c r="L208" s="23">
        <v>25</v>
      </c>
      <c r="M208" s="30" t="s">
        <v>1052</v>
      </c>
      <c r="N208" s="30" t="s">
        <v>1055</v>
      </c>
    </row>
    <row r="209" spans="1:14" customFormat="1" x14ac:dyDescent="0.25">
      <c r="A209" s="7">
        <v>208</v>
      </c>
      <c r="B209" s="11" t="s">
        <v>224</v>
      </c>
      <c r="C209" s="7" t="s">
        <v>1039</v>
      </c>
      <c r="D209" s="7">
        <v>208</v>
      </c>
      <c r="E209" s="7">
        <v>208</v>
      </c>
      <c r="F209" s="7">
        <v>208</v>
      </c>
      <c r="G209" s="11" t="s">
        <v>1027</v>
      </c>
      <c r="H209" s="20">
        <v>50236</v>
      </c>
      <c r="I209" s="12">
        <v>44260</v>
      </c>
      <c r="J209" s="12">
        <v>44931</v>
      </c>
      <c r="K209" s="25">
        <v>8135</v>
      </c>
      <c r="L209" s="23">
        <v>42101</v>
      </c>
      <c r="M209" s="30" t="s">
        <v>1052</v>
      </c>
      <c r="N209" s="30" t="s">
        <v>1055</v>
      </c>
    </row>
    <row r="210" spans="1:14" customFormat="1" x14ac:dyDescent="0.25">
      <c r="A210" s="7">
        <v>209</v>
      </c>
      <c r="B210" s="11" t="s">
        <v>225</v>
      </c>
      <c r="C210" s="7" t="s">
        <v>1039</v>
      </c>
      <c r="D210" s="7">
        <v>209</v>
      </c>
      <c r="E210" s="7">
        <v>209</v>
      </c>
      <c r="F210" s="7">
        <v>209</v>
      </c>
      <c r="G210" s="11" t="s">
        <v>1016</v>
      </c>
      <c r="H210" s="20">
        <v>15859</v>
      </c>
      <c r="I210" s="12">
        <v>43853</v>
      </c>
      <c r="J210" s="12">
        <v>43913</v>
      </c>
      <c r="K210" s="25">
        <v>5160</v>
      </c>
      <c r="L210" s="23">
        <v>10699</v>
      </c>
      <c r="M210" s="30" t="s">
        <v>1052</v>
      </c>
      <c r="N210" s="30" t="s">
        <v>1055</v>
      </c>
    </row>
    <row r="211" spans="1:14" customFormat="1" x14ac:dyDescent="0.25">
      <c r="A211" s="7">
        <v>210</v>
      </c>
      <c r="B211" s="11" t="s">
        <v>226</v>
      </c>
      <c r="C211" s="7" t="s">
        <v>1039</v>
      </c>
      <c r="D211" s="7">
        <v>210</v>
      </c>
      <c r="E211" s="9">
        <v>210</v>
      </c>
      <c r="F211" s="7">
        <v>210</v>
      </c>
      <c r="G211" s="11" t="s">
        <v>1027</v>
      </c>
      <c r="H211" s="20">
        <v>46683</v>
      </c>
      <c r="I211" s="12">
        <v>44702</v>
      </c>
      <c r="J211" s="12">
        <v>44947</v>
      </c>
      <c r="K211" s="25">
        <v>22067</v>
      </c>
      <c r="L211" s="23">
        <v>24616</v>
      </c>
      <c r="M211" s="30" t="s">
        <v>1052</v>
      </c>
      <c r="N211" s="30" t="s">
        <v>1055</v>
      </c>
    </row>
    <row r="212" spans="1:14" customFormat="1" x14ac:dyDescent="0.25">
      <c r="A212" s="7">
        <v>211</v>
      </c>
      <c r="B212" s="11" t="s">
        <v>227</v>
      </c>
      <c r="C212" s="7" t="s">
        <v>1039</v>
      </c>
      <c r="D212" s="7">
        <v>211</v>
      </c>
      <c r="E212" s="7">
        <v>211</v>
      </c>
      <c r="F212" s="7">
        <v>211</v>
      </c>
      <c r="G212" s="11" t="s">
        <v>1016</v>
      </c>
      <c r="H212" s="20">
        <v>26956</v>
      </c>
      <c r="I212" s="12">
        <v>44694</v>
      </c>
      <c r="J212" s="12">
        <v>45212</v>
      </c>
      <c r="K212" s="25">
        <v>2073</v>
      </c>
      <c r="L212" s="23">
        <v>24883</v>
      </c>
      <c r="M212" s="30" t="s">
        <v>1052</v>
      </c>
      <c r="N212" s="30" t="s">
        <v>1055</v>
      </c>
    </row>
    <row r="213" spans="1:14" customFormat="1" x14ac:dyDescent="0.25">
      <c r="A213" s="7">
        <v>212</v>
      </c>
      <c r="B213" s="11" t="s">
        <v>228</v>
      </c>
      <c r="C213" s="7" t="s">
        <v>1039</v>
      </c>
      <c r="D213" s="7">
        <v>212</v>
      </c>
      <c r="E213" s="7">
        <v>212</v>
      </c>
      <c r="F213" s="7">
        <v>212</v>
      </c>
      <c r="G213" s="11" t="s">
        <v>1026</v>
      </c>
      <c r="H213" s="20">
        <v>2724934</v>
      </c>
      <c r="I213" s="12">
        <v>44965</v>
      </c>
      <c r="J213" s="12">
        <v>45115</v>
      </c>
      <c r="K213" s="25">
        <v>61874</v>
      </c>
      <c r="L213" s="23">
        <v>2663060</v>
      </c>
      <c r="M213" s="30" t="s">
        <v>1052</v>
      </c>
      <c r="N213" s="30" t="s">
        <v>1055</v>
      </c>
    </row>
    <row r="214" spans="1:14" customFormat="1" x14ac:dyDescent="0.25">
      <c r="A214" s="7">
        <v>213</v>
      </c>
      <c r="B214" s="11" t="s">
        <v>229</v>
      </c>
      <c r="C214" s="7" t="s">
        <v>1039</v>
      </c>
      <c r="D214" s="7">
        <v>213</v>
      </c>
      <c r="E214" s="9">
        <v>213</v>
      </c>
      <c r="F214" s="7">
        <v>213</v>
      </c>
      <c r="G214" s="11" t="s">
        <v>1023</v>
      </c>
      <c r="H214" s="20">
        <v>355</v>
      </c>
      <c r="I214" s="12">
        <v>44794</v>
      </c>
      <c r="J214" s="12">
        <v>45343</v>
      </c>
      <c r="K214" s="25">
        <v>192</v>
      </c>
      <c r="L214" s="23">
        <v>163</v>
      </c>
      <c r="M214" s="30" t="s">
        <v>1052</v>
      </c>
      <c r="N214" s="30" t="s">
        <v>1055</v>
      </c>
    </row>
    <row r="215" spans="1:14" customFormat="1" x14ac:dyDescent="0.25">
      <c r="A215" s="7">
        <v>214</v>
      </c>
      <c r="B215" s="11" t="s">
        <v>230</v>
      </c>
      <c r="C215" s="7" t="s">
        <v>1039</v>
      </c>
      <c r="D215" s="7">
        <v>214</v>
      </c>
      <c r="E215" s="7">
        <v>214</v>
      </c>
      <c r="F215" s="7">
        <v>214</v>
      </c>
      <c r="G215" s="11" t="s">
        <v>1020</v>
      </c>
      <c r="H215" s="20">
        <v>317742</v>
      </c>
      <c r="I215" s="12">
        <v>44439</v>
      </c>
      <c r="J215" s="12">
        <v>44926</v>
      </c>
      <c r="K215" s="25">
        <v>307182</v>
      </c>
      <c r="L215" s="23">
        <v>10560</v>
      </c>
      <c r="M215" s="30" t="s">
        <v>1052</v>
      </c>
      <c r="N215" s="30" t="s">
        <v>1055</v>
      </c>
    </row>
    <row r="216" spans="1:14" customFormat="1" x14ac:dyDescent="0.25">
      <c r="A216" s="7">
        <v>215</v>
      </c>
      <c r="B216" s="11" t="s">
        <v>231</v>
      </c>
      <c r="C216" s="7" t="s">
        <v>1039</v>
      </c>
      <c r="D216" s="7">
        <v>215</v>
      </c>
      <c r="E216" s="7">
        <v>215</v>
      </c>
      <c r="F216" s="7">
        <v>215</v>
      </c>
      <c r="G216" s="11" t="s">
        <v>1024</v>
      </c>
      <c r="H216" s="20">
        <v>240727</v>
      </c>
      <c r="I216" s="12">
        <v>45251</v>
      </c>
      <c r="J216" s="12">
        <v>45525</v>
      </c>
      <c r="K216" s="25">
        <v>108698</v>
      </c>
      <c r="L216" s="23">
        <v>132029</v>
      </c>
      <c r="M216" s="30" t="s">
        <v>1052</v>
      </c>
      <c r="N216" s="30" t="s">
        <v>1055</v>
      </c>
    </row>
    <row r="217" spans="1:14" customFormat="1" x14ac:dyDescent="0.25">
      <c r="A217" s="7">
        <v>216</v>
      </c>
      <c r="B217" s="11" t="s">
        <v>232</v>
      </c>
      <c r="C217" s="7" t="s">
        <v>1039</v>
      </c>
      <c r="D217" s="7">
        <v>216</v>
      </c>
      <c r="E217" s="9">
        <v>216</v>
      </c>
      <c r="F217" s="7">
        <v>216</v>
      </c>
      <c r="G217" s="11" t="s">
        <v>1023</v>
      </c>
      <c r="H217" s="20">
        <v>467</v>
      </c>
      <c r="I217" s="12">
        <v>44784</v>
      </c>
      <c r="J217" s="12">
        <v>45057</v>
      </c>
      <c r="K217" s="25">
        <v>405</v>
      </c>
      <c r="L217" s="23">
        <v>62</v>
      </c>
      <c r="M217" s="30" t="s">
        <v>1052</v>
      </c>
      <c r="N217" s="30" t="s">
        <v>1055</v>
      </c>
    </row>
    <row r="218" spans="1:14" customFormat="1" x14ac:dyDescent="0.25">
      <c r="A218" s="7">
        <v>217</v>
      </c>
      <c r="B218" s="11" t="s">
        <v>233</v>
      </c>
      <c r="C218" s="7" t="s">
        <v>1039</v>
      </c>
      <c r="D218" s="7">
        <v>217</v>
      </c>
      <c r="E218" s="7">
        <v>217</v>
      </c>
      <c r="F218" s="7">
        <v>217</v>
      </c>
      <c r="G218" s="11" t="s">
        <v>1020</v>
      </c>
      <c r="H218" s="20">
        <v>260853</v>
      </c>
      <c r="I218" s="12">
        <v>45092</v>
      </c>
      <c r="J218" s="12">
        <v>45245</v>
      </c>
      <c r="K218" s="25">
        <v>134634</v>
      </c>
      <c r="L218" s="23">
        <v>126219</v>
      </c>
      <c r="M218" s="30" t="s">
        <v>1052</v>
      </c>
      <c r="N218" s="30" t="s">
        <v>1055</v>
      </c>
    </row>
    <row r="219" spans="1:14" customFormat="1" x14ac:dyDescent="0.25">
      <c r="A219" s="7">
        <v>218</v>
      </c>
      <c r="B219" s="11" t="s">
        <v>234</v>
      </c>
      <c r="C219" s="7" t="s">
        <v>1039</v>
      </c>
      <c r="D219" s="7">
        <v>218</v>
      </c>
      <c r="E219" s="7">
        <v>218</v>
      </c>
      <c r="F219" s="7">
        <v>218</v>
      </c>
      <c r="G219" s="11" t="s">
        <v>1023</v>
      </c>
      <c r="H219" s="20">
        <v>1467</v>
      </c>
      <c r="I219" s="12">
        <v>44675</v>
      </c>
      <c r="J219" s="12">
        <v>45406</v>
      </c>
      <c r="K219" s="25">
        <v>175</v>
      </c>
      <c r="L219" s="23">
        <v>1292</v>
      </c>
      <c r="M219" s="30" t="s">
        <v>1052</v>
      </c>
      <c r="N219" s="30" t="s">
        <v>1055</v>
      </c>
    </row>
    <row r="220" spans="1:14" customFormat="1" x14ac:dyDescent="0.25">
      <c r="A220" s="7">
        <v>219</v>
      </c>
      <c r="B220" s="11" t="s">
        <v>235</v>
      </c>
      <c r="C220" s="7" t="s">
        <v>1039</v>
      </c>
      <c r="D220" s="7">
        <v>219</v>
      </c>
      <c r="E220" s="9">
        <v>219</v>
      </c>
      <c r="F220" s="7">
        <v>219</v>
      </c>
      <c r="G220" s="11" t="s">
        <v>1022</v>
      </c>
      <c r="H220" s="20">
        <v>21312</v>
      </c>
      <c r="I220" s="12">
        <v>45336</v>
      </c>
      <c r="J220" s="12">
        <v>45640</v>
      </c>
      <c r="K220" s="25">
        <v>9326</v>
      </c>
      <c r="L220" s="23">
        <v>11986</v>
      </c>
      <c r="M220" s="30" t="s">
        <v>1052</v>
      </c>
      <c r="N220" s="30" t="s">
        <v>1055</v>
      </c>
    </row>
    <row r="221" spans="1:14" customFormat="1" x14ac:dyDescent="0.25">
      <c r="A221" s="7">
        <v>220</v>
      </c>
      <c r="B221" s="11" t="s">
        <v>236</v>
      </c>
      <c r="C221" s="7" t="s">
        <v>1039</v>
      </c>
      <c r="D221" s="7">
        <v>220</v>
      </c>
      <c r="E221" s="7">
        <v>220</v>
      </c>
      <c r="F221" s="7">
        <v>220</v>
      </c>
      <c r="G221" s="11" t="s">
        <v>1016</v>
      </c>
      <c r="H221" s="20">
        <v>3556</v>
      </c>
      <c r="I221" s="12">
        <v>44871</v>
      </c>
      <c r="J221" s="12">
        <v>45571</v>
      </c>
      <c r="K221" s="25">
        <v>2860</v>
      </c>
      <c r="L221" s="23">
        <v>696</v>
      </c>
      <c r="M221" s="30" t="s">
        <v>1052</v>
      </c>
      <c r="N221" s="30" t="s">
        <v>1055</v>
      </c>
    </row>
    <row r="222" spans="1:14" customFormat="1" x14ac:dyDescent="0.25">
      <c r="A222" s="7">
        <v>221</v>
      </c>
      <c r="B222" s="11" t="s">
        <v>237</v>
      </c>
      <c r="C222" s="7" t="s">
        <v>1039</v>
      </c>
      <c r="D222" s="7">
        <v>221</v>
      </c>
      <c r="E222" s="7">
        <v>221</v>
      </c>
      <c r="F222" s="7">
        <v>221</v>
      </c>
      <c r="G222" s="11" t="s">
        <v>1024</v>
      </c>
      <c r="H222" s="20">
        <v>132713</v>
      </c>
      <c r="I222" s="12">
        <v>44844</v>
      </c>
      <c r="J222" s="12">
        <v>45575</v>
      </c>
      <c r="K222" s="25">
        <v>595</v>
      </c>
      <c r="L222" s="23">
        <v>132118</v>
      </c>
      <c r="M222" s="30" t="s">
        <v>1052</v>
      </c>
      <c r="N222" s="30" t="s">
        <v>1055</v>
      </c>
    </row>
    <row r="223" spans="1:14" customFormat="1" x14ac:dyDescent="0.25">
      <c r="A223" s="7">
        <v>222</v>
      </c>
      <c r="B223" s="11" t="s">
        <v>238</v>
      </c>
      <c r="C223" s="7" t="s">
        <v>1039</v>
      </c>
      <c r="D223" s="7">
        <v>222</v>
      </c>
      <c r="E223" s="9">
        <v>222</v>
      </c>
      <c r="F223" s="7">
        <v>222</v>
      </c>
      <c r="G223" s="11" t="s">
        <v>1020</v>
      </c>
      <c r="H223" s="20">
        <v>147219</v>
      </c>
      <c r="I223" s="12">
        <v>45125</v>
      </c>
      <c r="J223" s="12">
        <v>45278</v>
      </c>
      <c r="K223" s="25">
        <v>31439</v>
      </c>
      <c r="L223" s="23">
        <v>115780</v>
      </c>
      <c r="M223" s="30" t="s">
        <v>1052</v>
      </c>
      <c r="N223" s="30" t="s">
        <v>1055</v>
      </c>
    </row>
    <row r="224" spans="1:14" customFormat="1" x14ac:dyDescent="0.25">
      <c r="A224" s="7">
        <v>223</v>
      </c>
      <c r="B224" s="11" t="s">
        <v>239</v>
      </c>
      <c r="C224" s="7" t="s">
        <v>1039</v>
      </c>
      <c r="D224" s="7">
        <v>223</v>
      </c>
      <c r="E224" s="7">
        <v>223</v>
      </c>
      <c r="F224" s="7">
        <v>223</v>
      </c>
      <c r="G224" s="11" t="s">
        <v>1021</v>
      </c>
      <c r="H224" s="20">
        <v>91395</v>
      </c>
      <c r="I224" s="12">
        <v>44233</v>
      </c>
      <c r="J224" s="12">
        <v>44626</v>
      </c>
      <c r="K224" s="25">
        <v>83512</v>
      </c>
      <c r="L224" s="23">
        <v>7883</v>
      </c>
      <c r="M224" s="30" t="s">
        <v>1052</v>
      </c>
      <c r="N224" s="30" t="s">
        <v>1055</v>
      </c>
    </row>
    <row r="225" spans="1:14" customFormat="1" x14ac:dyDescent="0.25">
      <c r="A225" s="7">
        <v>224</v>
      </c>
      <c r="B225" s="11" t="s">
        <v>240</v>
      </c>
      <c r="C225" s="7" t="s">
        <v>1039</v>
      </c>
      <c r="D225" s="7">
        <v>224</v>
      </c>
      <c r="E225" s="7">
        <v>224</v>
      </c>
      <c r="F225" s="7">
        <v>224</v>
      </c>
      <c r="G225" s="11" t="s">
        <v>1022</v>
      </c>
      <c r="H225" s="20">
        <v>24542</v>
      </c>
      <c r="I225" s="12">
        <v>44614</v>
      </c>
      <c r="J225" s="12">
        <v>44979</v>
      </c>
      <c r="K225" s="25">
        <v>2644</v>
      </c>
      <c r="L225" s="23">
        <v>21898</v>
      </c>
      <c r="M225" s="30" t="s">
        <v>1052</v>
      </c>
      <c r="N225" s="30" t="s">
        <v>1055</v>
      </c>
    </row>
    <row r="226" spans="1:14" customFormat="1" x14ac:dyDescent="0.25">
      <c r="A226" s="7">
        <v>225</v>
      </c>
      <c r="B226" s="11" t="s">
        <v>241</v>
      </c>
      <c r="C226" s="7" t="s">
        <v>1039</v>
      </c>
      <c r="D226" s="7">
        <v>225</v>
      </c>
      <c r="E226" s="9">
        <v>225</v>
      </c>
      <c r="F226" s="7">
        <v>225</v>
      </c>
      <c r="G226" s="11" t="s">
        <v>1016</v>
      </c>
      <c r="H226" s="20">
        <v>40564</v>
      </c>
      <c r="I226" s="12">
        <v>44427</v>
      </c>
      <c r="J226" s="12">
        <v>44700</v>
      </c>
      <c r="K226" s="25">
        <v>15627</v>
      </c>
      <c r="L226" s="23">
        <v>24937</v>
      </c>
      <c r="M226" s="30" t="s">
        <v>1052</v>
      </c>
      <c r="N226" s="30" t="s">
        <v>1055</v>
      </c>
    </row>
    <row r="227" spans="1:14" customFormat="1" x14ac:dyDescent="0.25">
      <c r="A227" s="7">
        <v>226</v>
      </c>
      <c r="B227" s="11" t="s">
        <v>242</v>
      </c>
      <c r="C227" s="7" t="s">
        <v>1039</v>
      </c>
      <c r="D227" s="7">
        <v>226</v>
      </c>
      <c r="E227" s="7">
        <v>226</v>
      </c>
      <c r="F227" s="7">
        <v>226</v>
      </c>
      <c r="G227" s="11" t="s">
        <v>1024</v>
      </c>
      <c r="H227" s="20">
        <v>212570</v>
      </c>
      <c r="I227" s="12">
        <v>45147</v>
      </c>
      <c r="J227" s="12">
        <v>45239</v>
      </c>
      <c r="K227" s="25">
        <v>169050</v>
      </c>
      <c r="L227" s="23">
        <v>43520</v>
      </c>
      <c r="M227" s="30" t="s">
        <v>1052</v>
      </c>
      <c r="N227" s="30" t="s">
        <v>1055</v>
      </c>
    </row>
    <row r="228" spans="1:14" customFormat="1" x14ac:dyDescent="0.25">
      <c r="A228" s="7">
        <v>227</v>
      </c>
      <c r="B228" s="11" t="s">
        <v>243</v>
      </c>
      <c r="C228" s="7" t="s">
        <v>1039</v>
      </c>
      <c r="D228" s="7">
        <v>227</v>
      </c>
      <c r="E228" s="7">
        <v>227</v>
      </c>
      <c r="F228" s="7">
        <v>227</v>
      </c>
      <c r="G228" s="11" t="s">
        <v>1021</v>
      </c>
      <c r="H228" s="20">
        <v>54695</v>
      </c>
      <c r="I228" s="12">
        <v>44987</v>
      </c>
      <c r="J228" s="12">
        <v>45171</v>
      </c>
      <c r="K228" s="25">
        <v>3206</v>
      </c>
      <c r="L228" s="23">
        <v>51489</v>
      </c>
      <c r="M228" s="30" t="s">
        <v>1052</v>
      </c>
      <c r="N228" s="30" t="s">
        <v>1055</v>
      </c>
    </row>
    <row r="229" spans="1:14" customFormat="1" x14ac:dyDescent="0.25">
      <c r="A229" s="7">
        <v>228</v>
      </c>
      <c r="B229" s="11" t="s">
        <v>244</v>
      </c>
      <c r="C229" s="7" t="s">
        <v>1039</v>
      </c>
      <c r="D229" s="7">
        <v>228</v>
      </c>
      <c r="E229" s="9">
        <v>228</v>
      </c>
      <c r="F229" s="7">
        <v>228</v>
      </c>
      <c r="G229" s="11" t="s">
        <v>1024</v>
      </c>
      <c r="H229" s="20">
        <v>123174</v>
      </c>
      <c r="I229" s="12">
        <v>45381</v>
      </c>
      <c r="J229" s="12">
        <v>46021</v>
      </c>
      <c r="K229" s="25">
        <v>1517</v>
      </c>
      <c r="L229" s="23">
        <v>121657</v>
      </c>
      <c r="M229" s="30" t="s">
        <v>1052</v>
      </c>
      <c r="N229" s="30" t="s">
        <v>1055</v>
      </c>
    </row>
    <row r="230" spans="1:14" customFormat="1" x14ac:dyDescent="0.25">
      <c r="A230" s="7">
        <v>229</v>
      </c>
      <c r="B230" s="11" t="s">
        <v>245</v>
      </c>
      <c r="C230" s="7" t="s">
        <v>1039</v>
      </c>
      <c r="D230" s="7">
        <v>229</v>
      </c>
      <c r="E230" s="7">
        <v>229</v>
      </c>
      <c r="F230" s="7">
        <v>229</v>
      </c>
      <c r="G230" s="11" t="s">
        <v>1024</v>
      </c>
      <c r="H230" s="20">
        <v>425960</v>
      </c>
      <c r="I230" s="12">
        <v>45274</v>
      </c>
      <c r="J230" s="12">
        <v>45396</v>
      </c>
      <c r="K230" s="25">
        <v>212107</v>
      </c>
      <c r="L230" s="23">
        <v>213853</v>
      </c>
      <c r="M230" s="30" t="s">
        <v>1052</v>
      </c>
      <c r="N230" s="30" t="s">
        <v>1055</v>
      </c>
    </row>
    <row r="231" spans="1:14" customFormat="1" x14ac:dyDescent="0.25">
      <c r="A231" s="7">
        <v>230</v>
      </c>
      <c r="B231" s="11" t="s">
        <v>246</v>
      </c>
      <c r="C231" s="7" t="s">
        <v>1039</v>
      </c>
      <c r="D231" s="7">
        <v>230</v>
      </c>
      <c r="E231" s="7">
        <v>230</v>
      </c>
      <c r="F231" s="7">
        <v>230</v>
      </c>
      <c r="G231" s="11" t="s">
        <v>1027</v>
      </c>
      <c r="H231" s="20">
        <v>34449</v>
      </c>
      <c r="I231" s="12">
        <v>45084</v>
      </c>
      <c r="J231" s="12">
        <v>45358</v>
      </c>
      <c r="K231" s="25">
        <v>15339</v>
      </c>
      <c r="L231" s="23">
        <v>19110</v>
      </c>
      <c r="M231" s="30" t="s">
        <v>1052</v>
      </c>
      <c r="N231" s="30" t="s">
        <v>1055</v>
      </c>
    </row>
    <row r="232" spans="1:14" customFormat="1" x14ac:dyDescent="0.25">
      <c r="A232" s="7">
        <v>231</v>
      </c>
      <c r="B232" s="11" t="s">
        <v>247</v>
      </c>
      <c r="C232" s="7" t="s">
        <v>1039</v>
      </c>
      <c r="D232" s="7">
        <v>231</v>
      </c>
      <c r="E232" s="9">
        <v>231</v>
      </c>
      <c r="F232" s="7">
        <v>231</v>
      </c>
      <c r="G232" s="11" t="s">
        <v>1022</v>
      </c>
      <c r="H232" s="20">
        <v>11298</v>
      </c>
      <c r="I232" s="12">
        <v>44518</v>
      </c>
      <c r="J232" s="12">
        <v>44610</v>
      </c>
      <c r="K232" s="25">
        <v>7462</v>
      </c>
      <c r="L232" s="23">
        <v>3836</v>
      </c>
      <c r="M232" s="30" t="s">
        <v>1052</v>
      </c>
      <c r="N232" s="30" t="s">
        <v>1055</v>
      </c>
    </row>
    <row r="233" spans="1:14" customFormat="1" x14ac:dyDescent="0.25">
      <c r="A233" s="7">
        <v>232</v>
      </c>
      <c r="B233" s="11" t="s">
        <v>248</v>
      </c>
      <c r="C233" s="7" t="s">
        <v>1039</v>
      </c>
      <c r="D233" s="7">
        <v>232</v>
      </c>
      <c r="E233" s="7">
        <v>232</v>
      </c>
      <c r="F233" s="7">
        <v>232</v>
      </c>
      <c r="G233" s="11" t="s">
        <v>1026</v>
      </c>
      <c r="H233" s="20">
        <v>1020173</v>
      </c>
      <c r="I233" s="12">
        <v>43864</v>
      </c>
      <c r="J233" s="12">
        <v>44595</v>
      </c>
      <c r="K233" s="25">
        <v>522833</v>
      </c>
      <c r="L233" s="23">
        <v>497340</v>
      </c>
      <c r="M233" s="30" t="s">
        <v>1052</v>
      </c>
      <c r="N233" s="30" t="s">
        <v>1055</v>
      </c>
    </row>
    <row r="234" spans="1:14" customFormat="1" x14ac:dyDescent="0.25">
      <c r="A234" s="7">
        <v>233</v>
      </c>
      <c r="B234" s="11" t="s">
        <v>249</v>
      </c>
      <c r="C234" s="7" t="s">
        <v>1039</v>
      </c>
      <c r="D234" s="7">
        <v>233</v>
      </c>
      <c r="E234" s="7">
        <v>233</v>
      </c>
      <c r="F234" s="7">
        <v>233</v>
      </c>
      <c r="G234" s="11" t="s">
        <v>1020</v>
      </c>
      <c r="H234" s="20">
        <v>66734</v>
      </c>
      <c r="I234" s="12">
        <v>44504</v>
      </c>
      <c r="J234" s="12">
        <v>44624</v>
      </c>
      <c r="K234" s="25">
        <v>32024</v>
      </c>
      <c r="L234" s="23">
        <v>34710</v>
      </c>
      <c r="M234" s="30" t="s">
        <v>1052</v>
      </c>
      <c r="N234" s="30" t="s">
        <v>1055</v>
      </c>
    </row>
    <row r="235" spans="1:14" customFormat="1" x14ac:dyDescent="0.25">
      <c r="A235" s="7">
        <v>234</v>
      </c>
      <c r="B235" s="11" t="s">
        <v>250</v>
      </c>
      <c r="C235" s="7" t="s">
        <v>1039</v>
      </c>
      <c r="D235" s="7">
        <v>234</v>
      </c>
      <c r="E235" s="9">
        <v>234</v>
      </c>
      <c r="F235" s="7">
        <v>234</v>
      </c>
      <c r="G235" s="11" t="s">
        <v>1022</v>
      </c>
      <c r="H235" s="20">
        <v>32701</v>
      </c>
      <c r="I235" s="12">
        <v>43887</v>
      </c>
      <c r="J235" s="12">
        <v>44373</v>
      </c>
      <c r="K235" s="25">
        <v>16185</v>
      </c>
      <c r="L235" s="23">
        <v>16516</v>
      </c>
      <c r="M235" s="30" t="s">
        <v>1052</v>
      </c>
      <c r="N235" s="30" t="s">
        <v>1055</v>
      </c>
    </row>
    <row r="236" spans="1:14" customFormat="1" x14ac:dyDescent="0.25">
      <c r="A236" s="7">
        <v>235</v>
      </c>
      <c r="B236" s="11" t="s">
        <v>251</v>
      </c>
      <c r="C236" s="7" t="s">
        <v>1039</v>
      </c>
      <c r="D236" s="7">
        <v>235</v>
      </c>
      <c r="E236" s="7">
        <v>235</v>
      </c>
      <c r="F236" s="7">
        <v>235</v>
      </c>
      <c r="G236" s="11" t="s">
        <v>1016</v>
      </c>
      <c r="H236" s="20">
        <v>39525</v>
      </c>
      <c r="I236" s="12">
        <v>45119</v>
      </c>
      <c r="J236" s="12">
        <v>45394</v>
      </c>
      <c r="K236" s="25">
        <v>1826</v>
      </c>
      <c r="L236" s="23">
        <v>37699</v>
      </c>
      <c r="M236" s="30" t="s">
        <v>1052</v>
      </c>
      <c r="N236" s="30" t="s">
        <v>1055</v>
      </c>
    </row>
    <row r="237" spans="1:14" customFormat="1" x14ac:dyDescent="0.25">
      <c r="A237" s="7">
        <v>236</v>
      </c>
      <c r="B237" s="11" t="s">
        <v>252</v>
      </c>
      <c r="C237" s="7" t="s">
        <v>1039</v>
      </c>
      <c r="D237" s="7">
        <v>236</v>
      </c>
      <c r="E237" s="7">
        <v>236</v>
      </c>
      <c r="F237" s="7">
        <v>236</v>
      </c>
      <c r="G237" s="11" t="s">
        <v>1020</v>
      </c>
      <c r="H237" s="20">
        <v>174960</v>
      </c>
      <c r="I237" s="12">
        <v>44905</v>
      </c>
      <c r="J237" s="12">
        <v>44995</v>
      </c>
      <c r="K237" s="25">
        <v>43153</v>
      </c>
      <c r="L237" s="23">
        <v>131807</v>
      </c>
      <c r="M237" s="30" t="s">
        <v>1052</v>
      </c>
      <c r="N237" s="30" t="s">
        <v>1055</v>
      </c>
    </row>
    <row r="238" spans="1:14" customFormat="1" x14ac:dyDescent="0.25">
      <c r="A238" s="7">
        <v>237</v>
      </c>
      <c r="B238" s="11" t="s">
        <v>253</v>
      </c>
      <c r="C238" s="7" t="s">
        <v>1039</v>
      </c>
      <c r="D238" s="7">
        <v>237</v>
      </c>
      <c r="E238" s="9">
        <v>237</v>
      </c>
      <c r="F238" s="7">
        <v>237</v>
      </c>
      <c r="G238" s="11" t="s">
        <v>1016</v>
      </c>
      <c r="H238" s="20">
        <v>8501</v>
      </c>
      <c r="I238" s="12">
        <v>44377</v>
      </c>
      <c r="J238" s="12">
        <v>44803</v>
      </c>
      <c r="K238" s="25">
        <v>8126</v>
      </c>
      <c r="L238" s="23">
        <v>375</v>
      </c>
      <c r="M238" s="30" t="s">
        <v>1052</v>
      </c>
      <c r="N238" s="30" t="s">
        <v>1055</v>
      </c>
    </row>
    <row r="239" spans="1:14" customFormat="1" x14ac:dyDescent="0.25">
      <c r="A239" s="7">
        <v>238</v>
      </c>
      <c r="B239" s="11" t="s">
        <v>254</v>
      </c>
      <c r="C239" s="7" t="s">
        <v>1039</v>
      </c>
      <c r="D239" s="7">
        <v>238</v>
      </c>
      <c r="E239" s="7">
        <v>238</v>
      </c>
      <c r="F239" s="7">
        <v>238</v>
      </c>
      <c r="G239" s="11" t="s">
        <v>1025</v>
      </c>
      <c r="H239" s="20">
        <v>256816</v>
      </c>
      <c r="I239" s="12">
        <v>44478</v>
      </c>
      <c r="J239" s="12">
        <v>44782</v>
      </c>
      <c r="K239" s="25">
        <v>51039</v>
      </c>
      <c r="L239" s="23">
        <v>205777</v>
      </c>
      <c r="M239" s="30" t="s">
        <v>1052</v>
      </c>
      <c r="N239" s="30" t="s">
        <v>1055</v>
      </c>
    </row>
    <row r="240" spans="1:14" customFormat="1" x14ac:dyDescent="0.25">
      <c r="A240" s="7">
        <v>239</v>
      </c>
      <c r="B240" s="11" t="s">
        <v>255</v>
      </c>
      <c r="C240" s="7" t="s">
        <v>1039</v>
      </c>
      <c r="D240" s="7">
        <v>239</v>
      </c>
      <c r="E240" s="7">
        <v>239</v>
      </c>
      <c r="F240" s="7">
        <v>239</v>
      </c>
      <c r="G240" s="11" t="s">
        <v>1021</v>
      </c>
      <c r="H240" s="20">
        <v>4656</v>
      </c>
      <c r="I240" s="12">
        <v>45413</v>
      </c>
      <c r="J240" s="12">
        <v>45962</v>
      </c>
      <c r="K240" s="25">
        <v>1077</v>
      </c>
      <c r="L240" s="23">
        <v>3579</v>
      </c>
      <c r="M240" s="30" t="s">
        <v>1052</v>
      </c>
      <c r="N240" s="30" t="s">
        <v>1055</v>
      </c>
    </row>
    <row r="241" spans="1:14" customFormat="1" x14ac:dyDescent="0.25">
      <c r="A241" s="7">
        <v>240</v>
      </c>
      <c r="B241" s="11" t="s">
        <v>256</v>
      </c>
      <c r="C241" s="7" t="s">
        <v>1039</v>
      </c>
      <c r="D241" s="7">
        <v>240</v>
      </c>
      <c r="E241" s="9">
        <v>240</v>
      </c>
      <c r="F241" s="7">
        <v>240</v>
      </c>
      <c r="G241" s="11" t="s">
        <v>1023</v>
      </c>
      <c r="H241" s="20">
        <v>415</v>
      </c>
      <c r="I241" s="12">
        <v>44038</v>
      </c>
      <c r="J241" s="12">
        <v>44373</v>
      </c>
      <c r="K241" s="25">
        <v>348</v>
      </c>
      <c r="L241" s="23">
        <v>67</v>
      </c>
      <c r="M241" s="30" t="s">
        <v>1052</v>
      </c>
      <c r="N241" s="30" t="s">
        <v>1055</v>
      </c>
    </row>
    <row r="242" spans="1:14" customFormat="1" x14ac:dyDescent="0.25">
      <c r="A242" s="7">
        <v>241</v>
      </c>
      <c r="B242" s="11" t="s">
        <v>257</v>
      </c>
      <c r="C242" s="7" t="s">
        <v>1039</v>
      </c>
      <c r="D242" s="7">
        <v>241</v>
      </c>
      <c r="E242" s="7">
        <v>241</v>
      </c>
      <c r="F242" s="7">
        <v>241</v>
      </c>
      <c r="G242" s="11" t="s">
        <v>1023</v>
      </c>
      <c r="H242" s="20">
        <v>800</v>
      </c>
      <c r="I242" s="12">
        <v>44173</v>
      </c>
      <c r="J242" s="12">
        <v>44569</v>
      </c>
      <c r="K242" s="25">
        <v>377</v>
      </c>
      <c r="L242" s="23">
        <v>423</v>
      </c>
      <c r="M242" s="30" t="s">
        <v>1052</v>
      </c>
      <c r="N242" s="30" t="s">
        <v>1055</v>
      </c>
    </row>
    <row r="243" spans="1:14" customFormat="1" x14ac:dyDescent="0.25">
      <c r="A243" s="7">
        <v>242</v>
      </c>
      <c r="B243" s="11" t="s">
        <v>258</v>
      </c>
      <c r="C243" s="7" t="s">
        <v>1039</v>
      </c>
      <c r="D243" s="7">
        <v>242</v>
      </c>
      <c r="E243" s="7">
        <v>242</v>
      </c>
      <c r="F243" s="7">
        <v>242</v>
      </c>
      <c r="G243" s="11" t="s">
        <v>1023</v>
      </c>
      <c r="H243" s="20">
        <v>998</v>
      </c>
      <c r="I243" s="12">
        <v>44858</v>
      </c>
      <c r="J243" s="12">
        <v>45101</v>
      </c>
      <c r="K243" s="25">
        <v>744</v>
      </c>
      <c r="L243" s="23">
        <v>254</v>
      </c>
      <c r="M243" s="30" t="s">
        <v>1052</v>
      </c>
      <c r="N243" s="30" t="s">
        <v>1055</v>
      </c>
    </row>
    <row r="244" spans="1:14" customFormat="1" x14ac:dyDescent="0.25">
      <c r="A244" s="7">
        <v>243</v>
      </c>
      <c r="B244" s="11" t="s">
        <v>259</v>
      </c>
      <c r="C244" s="7" t="s">
        <v>1039</v>
      </c>
      <c r="D244" s="7">
        <v>243</v>
      </c>
      <c r="E244" s="9">
        <v>243</v>
      </c>
      <c r="F244" s="7">
        <v>243</v>
      </c>
      <c r="G244" s="11" t="s">
        <v>1020</v>
      </c>
      <c r="H244" s="20">
        <v>48287</v>
      </c>
      <c r="I244" s="12">
        <v>45253</v>
      </c>
      <c r="J244" s="12">
        <v>45466</v>
      </c>
      <c r="K244" s="25">
        <v>23736</v>
      </c>
      <c r="L244" s="23">
        <v>24551</v>
      </c>
      <c r="M244" s="30" t="s">
        <v>1052</v>
      </c>
      <c r="N244" s="30" t="s">
        <v>1055</v>
      </c>
    </row>
    <row r="245" spans="1:14" customFormat="1" x14ac:dyDescent="0.25">
      <c r="A245" s="7">
        <v>244</v>
      </c>
      <c r="B245" s="11" t="s">
        <v>260</v>
      </c>
      <c r="C245" s="7" t="s">
        <v>1039</v>
      </c>
      <c r="D245" s="7">
        <v>244</v>
      </c>
      <c r="E245" s="7">
        <v>244</v>
      </c>
      <c r="F245" s="7">
        <v>244</v>
      </c>
      <c r="G245" s="11" t="s">
        <v>1016</v>
      </c>
      <c r="H245" s="20">
        <v>1847</v>
      </c>
      <c r="I245" s="12">
        <v>44288</v>
      </c>
      <c r="J245" s="12">
        <v>44563</v>
      </c>
      <c r="K245" s="25">
        <v>469</v>
      </c>
      <c r="L245" s="23">
        <v>1378</v>
      </c>
      <c r="M245" s="30" t="s">
        <v>1052</v>
      </c>
      <c r="N245" s="30" t="s">
        <v>1055</v>
      </c>
    </row>
    <row r="246" spans="1:14" customFormat="1" x14ac:dyDescent="0.25">
      <c r="A246" s="7">
        <v>245</v>
      </c>
      <c r="B246" s="11" t="s">
        <v>261</v>
      </c>
      <c r="C246" s="7" t="s">
        <v>1039</v>
      </c>
      <c r="D246" s="7">
        <v>245</v>
      </c>
      <c r="E246" s="7">
        <v>245</v>
      </c>
      <c r="F246" s="7">
        <v>245</v>
      </c>
      <c r="G246" s="11" t="s">
        <v>1016</v>
      </c>
      <c r="H246" s="20">
        <v>32173</v>
      </c>
      <c r="I246" s="12">
        <v>45287</v>
      </c>
      <c r="J246" s="12">
        <v>45653</v>
      </c>
      <c r="K246" s="25">
        <v>4911</v>
      </c>
      <c r="L246" s="23">
        <v>27262</v>
      </c>
      <c r="M246" s="30" t="s">
        <v>1052</v>
      </c>
      <c r="N246" s="30" t="s">
        <v>1055</v>
      </c>
    </row>
    <row r="247" spans="1:14" customFormat="1" x14ac:dyDescent="0.25">
      <c r="A247" s="7">
        <v>246</v>
      </c>
      <c r="B247" s="11" t="s">
        <v>262</v>
      </c>
      <c r="C247" s="7" t="s">
        <v>1039</v>
      </c>
      <c r="D247" s="7">
        <v>246</v>
      </c>
      <c r="E247" s="9">
        <v>246</v>
      </c>
      <c r="F247" s="7">
        <v>246</v>
      </c>
      <c r="G247" s="11" t="s">
        <v>1022</v>
      </c>
      <c r="H247" s="20">
        <v>25300</v>
      </c>
      <c r="I247" s="12">
        <v>44146</v>
      </c>
      <c r="J247" s="12">
        <v>44603</v>
      </c>
      <c r="K247" s="25">
        <v>23397</v>
      </c>
      <c r="L247" s="23">
        <v>1903</v>
      </c>
      <c r="M247" s="30" t="s">
        <v>1052</v>
      </c>
      <c r="N247" s="30" t="s">
        <v>1055</v>
      </c>
    </row>
    <row r="248" spans="1:14" customFormat="1" x14ac:dyDescent="0.25">
      <c r="A248" s="7">
        <v>247</v>
      </c>
      <c r="B248" s="11" t="s">
        <v>263</v>
      </c>
      <c r="C248" s="7" t="s">
        <v>1039</v>
      </c>
      <c r="D248" s="7">
        <v>247</v>
      </c>
      <c r="E248" s="7">
        <v>247</v>
      </c>
      <c r="F248" s="7">
        <v>247</v>
      </c>
      <c r="G248" s="11" t="s">
        <v>1016</v>
      </c>
      <c r="H248" s="20">
        <v>14206</v>
      </c>
      <c r="I248" s="12">
        <v>43906</v>
      </c>
      <c r="J248" s="12">
        <v>44212</v>
      </c>
      <c r="K248" s="25">
        <v>2763</v>
      </c>
      <c r="L248" s="23">
        <v>11443</v>
      </c>
      <c r="M248" s="30" t="s">
        <v>1052</v>
      </c>
      <c r="N248" s="30" t="s">
        <v>1055</v>
      </c>
    </row>
    <row r="249" spans="1:14" customFormat="1" x14ac:dyDescent="0.25">
      <c r="A249" s="7">
        <v>248</v>
      </c>
      <c r="B249" s="11" t="s">
        <v>264</v>
      </c>
      <c r="C249" s="7" t="s">
        <v>1039</v>
      </c>
      <c r="D249" s="7">
        <v>248</v>
      </c>
      <c r="E249" s="7">
        <v>248</v>
      </c>
      <c r="F249" s="7">
        <v>248</v>
      </c>
      <c r="G249" s="11" t="s">
        <v>1020</v>
      </c>
      <c r="H249" s="20">
        <v>100995</v>
      </c>
      <c r="I249" s="12">
        <v>43835</v>
      </c>
      <c r="J249" s="12">
        <v>44017</v>
      </c>
      <c r="K249" s="25">
        <v>61895</v>
      </c>
      <c r="L249" s="23">
        <v>39100</v>
      </c>
      <c r="M249" s="30" t="s">
        <v>1052</v>
      </c>
      <c r="N249" s="30" t="s">
        <v>1055</v>
      </c>
    </row>
    <row r="250" spans="1:14" customFormat="1" x14ac:dyDescent="0.25">
      <c r="A250" s="7">
        <v>249</v>
      </c>
      <c r="B250" s="11" t="s">
        <v>265</v>
      </c>
      <c r="C250" s="7" t="s">
        <v>1039</v>
      </c>
      <c r="D250" s="7">
        <v>249</v>
      </c>
      <c r="E250" s="9">
        <v>249</v>
      </c>
      <c r="F250" s="7">
        <v>249</v>
      </c>
      <c r="G250" s="11" t="s">
        <v>1023</v>
      </c>
      <c r="H250" s="20">
        <v>984</v>
      </c>
      <c r="I250" s="12">
        <v>45449</v>
      </c>
      <c r="J250" s="12">
        <v>45753</v>
      </c>
      <c r="K250" s="25">
        <v>206</v>
      </c>
      <c r="L250" s="23">
        <v>778</v>
      </c>
      <c r="M250" s="30" t="s">
        <v>1052</v>
      </c>
      <c r="N250" s="30" t="s">
        <v>1055</v>
      </c>
    </row>
    <row r="251" spans="1:14" customFormat="1" x14ac:dyDescent="0.25">
      <c r="A251" s="7">
        <v>250</v>
      </c>
      <c r="B251" s="11" t="s">
        <v>266</v>
      </c>
      <c r="C251" s="7" t="s">
        <v>1039</v>
      </c>
      <c r="D251" s="7">
        <v>250</v>
      </c>
      <c r="E251" s="7">
        <v>250</v>
      </c>
      <c r="F251" s="7">
        <v>250</v>
      </c>
      <c r="G251" s="11" t="s">
        <v>1024</v>
      </c>
      <c r="H251" s="20">
        <v>110705</v>
      </c>
      <c r="I251" s="12">
        <v>44871</v>
      </c>
      <c r="J251" s="12">
        <v>45357</v>
      </c>
      <c r="K251" s="25">
        <v>108679</v>
      </c>
      <c r="L251" s="23">
        <v>2026</v>
      </c>
      <c r="M251" s="30" t="s">
        <v>1052</v>
      </c>
      <c r="N251" s="30" t="s">
        <v>1055</v>
      </c>
    </row>
    <row r="252" spans="1:14" customFormat="1" x14ac:dyDescent="0.25">
      <c r="A252" s="7">
        <v>251</v>
      </c>
      <c r="B252" s="11" t="s">
        <v>267</v>
      </c>
      <c r="C252" s="7" t="s">
        <v>1039</v>
      </c>
      <c r="D252" s="7">
        <v>251</v>
      </c>
      <c r="E252" s="7">
        <v>251</v>
      </c>
      <c r="F252" s="7">
        <v>251</v>
      </c>
      <c r="G252" s="11" t="s">
        <v>1024</v>
      </c>
      <c r="H252" s="20">
        <v>687580</v>
      </c>
      <c r="I252" s="12">
        <v>44335</v>
      </c>
      <c r="J252" s="12">
        <v>45035</v>
      </c>
      <c r="K252" s="25">
        <v>263461</v>
      </c>
      <c r="L252" s="23">
        <v>424119</v>
      </c>
      <c r="M252" s="30" t="s">
        <v>1052</v>
      </c>
      <c r="N252" s="30" t="s">
        <v>1055</v>
      </c>
    </row>
    <row r="253" spans="1:14" customFormat="1" x14ac:dyDescent="0.25">
      <c r="A253" s="7">
        <v>252</v>
      </c>
      <c r="B253" s="11" t="s">
        <v>268</v>
      </c>
      <c r="C253" s="7" t="s">
        <v>1039</v>
      </c>
      <c r="D253" s="7">
        <v>252</v>
      </c>
      <c r="E253" s="9">
        <v>252</v>
      </c>
      <c r="F253" s="7">
        <v>252</v>
      </c>
      <c r="G253" s="11" t="s">
        <v>1026</v>
      </c>
      <c r="H253" s="20">
        <v>854228</v>
      </c>
      <c r="I253" s="12">
        <v>44502</v>
      </c>
      <c r="J253" s="12">
        <v>44653</v>
      </c>
      <c r="K253" s="25">
        <v>508277</v>
      </c>
      <c r="L253" s="23">
        <v>345951</v>
      </c>
      <c r="M253" s="30" t="s">
        <v>1052</v>
      </c>
      <c r="N253" s="30" t="s">
        <v>1055</v>
      </c>
    </row>
    <row r="254" spans="1:14" customFormat="1" x14ac:dyDescent="0.25">
      <c r="A254" s="7">
        <v>253</v>
      </c>
      <c r="B254" s="11" t="s">
        <v>269</v>
      </c>
      <c r="C254" s="7" t="s">
        <v>1039</v>
      </c>
      <c r="D254" s="7">
        <v>253</v>
      </c>
      <c r="E254" s="7">
        <v>253</v>
      </c>
      <c r="F254" s="7">
        <v>253</v>
      </c>
      <c r="G254" s="11" t="s">
        <v>1023</v>
      </c>
      <c r="H254" s="20">
        <v>650</v>
      </c>
      <c r="I254" s="12">
        <v>45321</v>
      </c>
      <c r="J254" s="12">
        <v>45534</v>
      </c>
      <c r="K254" s="25">
        <v>534</v>
      </c>
      <c r="L254" s="23">
        <v>116</v>
      </c>
      <c r="M254" s="30" t="s">
        <v>1052</v>
      </c>
      <c r="N254" s="30" t="s">
        <v>1055</v>
      </c>
    </row>
    <row r="255" spans="1:14" customFormat="1" x14ac:dyDescent="0.25">
      <c r="A255" s="7">
        <v>254</v>
      </c>
      <c r="B255" s="11" t="s">
        <v>270</v>
      </c>
      <c r="C255" s="7" t="s">
        <v>1039</v>
      </c>
      <c r="D255" s="7">
        <v>254</v>
      </c>
      <c r="E255" s="7">
        <v>254</v>
      </c>
      <c r="F255" s="7">
        <v>254</v>
      </c>
      <c r="G255" s="11" t="s">
        <v>1016</v>
      </c>
      <c r="H255" s="20">
        <v>3257</v>
      </c>
      <c r="I255" s="12">
        <v>44923</v>
      </c>
      <c r="J255" s="12">
        <v>45501</v>
      </c>
      <c r="K255" s="25">
        <v>2326</v>
      </c>
      <c r="L255" s="23">
        <v>931</v>
      </c>
      <c r="M255" s="30" t="s">
        <v>1052</v>
      </c>
      <c r="N255" s="30" t="s">
        <v>1055</v>
      </c>
    </row>
    <row r="256" spans="1:14" customFormat="1" x14ac:dyDescent="0.25">
      <c r="A256" s="7">
        <v>255</v>
      </c>
      <c r="B256" s="11" t="s">
        <v>271</v>
      </c>
      <c r="C256" s="7" t="s">
        <v>1039</v>
      </c>
      <c r="D256" s="7">
        <v>255</v>
      </c>
      <c r="E256" s="9">
        <v>255</v>
      </c>
      <c r="F256" s="7">
        <v>255</v>
      </c>
      <c r="G256" s="11" t="s">
        <v>1022</v>
      </c>
      <c r="H256" s="20">
        <v>34415</v>
      </c>
      <c r="I256" s="12">
        <v>44597</v>
      </c>
      <c r="J256" s="12">
        <v>45112</v>
      </c>
      <c r="K256" s="25">
        <v>24511</v>
      </c>
      <c r="L256" s="23">
        <v>9904</v>
      </c>
      <c r="M256" s="30" t="s">
        <v>1052</v>
      </c>
      <c r="N256" s="30" t="s">
        <v>1055</v>
      </c>
    </row>
    <row r="257" spans="1:14" customFormat="1" x14ac:dyDescent="0.25">
      <c r="A257" s="7">
        <v>256</v>
      </c>
      <c r="B257" s="11" t="s">
        <v>272</v>
      </c>
      <c r="C257" s="7" t="s">
        <v>1039</v>
      </c>
      <c r="D257" s="7">
        <v>256</v>
      </c>
      <c r="E257" s="7">
        <v>256</v>
      </c>
      <c r="F257" s="7">
        <v>256</v>
      </c>
      <c r="G257" s="11" t="s">
        <v>1023</v>
      </c>
      <c r="H257" s="20">
        <v>1407</v>
      </c>
      <c r="I257" s="12">
        <v>44581</v>
      </c>
      <c r="J257" s="12">
        <v>44762</v>
      </c>
      <c r="K257" s="25">
        <v>148</v>
      </c>
      <c r="L257" s="23">
        <v>1259</v>
      </c>
      <c r="M257" s="30" t="s">
        <v>1052</v>
      </c>
      <c r="N257" s="30" t="s">
        <v>1055</v>
      </c>
    </row>
    <row r="258" spans="1:14" customFormat="1" x14ac:dyDescent="0.25">
      <c r="A258" s="7">
        <v>257</v>
      </c>
      <c r="B258" s="11" t="s">
        <v>273</v>
      </c>
      <c r="C258" s="7" t="s">
        <v>1039</v>
      </c>
      <c r="D258" s="7">
        <v>257</v>
      </c>
      <c r="E258" s="7">
        <v>257</v>
      </c>
      <c r="F258" s="7">
        <v>257</v>
      </c>
      <c r="G258" s="11" t="s">
        <v>1027</v>
      </c>
      <c r="H258" s="20">
        <v>24979</v>
      </c>
      <c r="I258" s="12">
        <v>44450</v>
      </c>
      <c r="J258" s="12">
        <v>44572</v>
      </c>
      <c r="K258" s="25">
        <v>5055</v>
      </c>
      <c r="L258" s="23">
        <v>19924</v>
      </c>
      <c r="M258" s="30" t="s">
        <v>1052</v>
      </c>
      <c r="N258" s="30" t="s">
        <v>1055</v>
      </c>
    </row>
    <row r="259" spans="1:14" customFormat="1" x14ac:dyDescent="0.25">
      <c r="A259" s="7">
        <v>258</v>
      </c>
      <c r="B259" s="11" t="s">
        <v>274</v>
      </c>
      <c r="C259" s="7" t="s">
        <v>1039</v>
      </c>
      <c r="D259" s="7">
        <v>258</v>
      </c>
      <c r="E259" s="9">
        <v>258</v>
      </c>
      <c r="F259" s="7">
        <v>258</v>
      </c>
      <c r="G259" s="11" t="s">
        <v>1023</v>
      </c>
      <c r="H259" s="20">
        <v>796</v>
      </c>
      <c r="I259" s="12">
        <v>44540</v>
      </c>
      <c r="J259" s="12">
        <v>45026</v>
      </c>
      <c r="K259" s="25">
        <v>755</v>
      </c>
      <c r="L259" s="23">
        <v>41</v>
      </c>
      <c r="M259" s="30" t="s">
        <v>1052</v>
      </c>
      <c r="N259" s="30" t="s">
        <v>1055</v>
      </c>
    </row>
    <row r="260" spans="1:14" customFormat="1" x14ac:dyDescent="0.25">
      <c r="A260" s="7">
        <v>259</v>
      </c>
      <c r="B260" s="11" t="s">
        <v>275</v>
      </c>
      <c r="C260" s="7" t="s">
        <v>1039</v>
      </c>
      <c r="D260" s="7">
        <v>259</v>
      </c>
      <c r="E260" s="7">
        <v>259</v>
      </c>
      <c r="F260" s="7">
        <v>259</v>
      </c>
      <c r="G260" s="11" t="s">
        <v>1021</v>
      </c>
      <c r="H260" s="20">
        <v>21780</v>
      </c>
      <c r="I260" s="12">
        <v>45504</v>
      </c>
      <c r="J260" s="12">
        <v>45777</v>
      </c>
      <c r="K260" s="25">
        <v>6122</v>
      </c>
      <c r="L260" s="23">
        <v>15658</v>
      </c>
      <c r="M260" s="30" t="s">
        <v>1052</v>
      </c>
      <c r="N260" s="30" t="s">
        <v>1055</v>
      </c>
    </row>
    <row r="261" spans="1:14" customFormat="1" x14ac:dyDescent="0.25">
      <c r="A261" s="7">
        <v>260</v>
      </c>
      <c r="B261" s="11" t="s">
        <v>276</v>
      </c>
      <c r="C261" s="7" t="s">
        <v>1039</v>
      </c>
      <c r="D261" s="7">
        <v>260</v>
      </c>
      <c r="E261" s="7">
        <v>260</v>
      </c>
      <c r="F261" s="7">
        <v>260</v>
      </c>
      <c r="G261" s="11" t="s">
        <v>1026</v>
      </c>
      <c r="H261" s="20">
        <v>3640716</v>
      </c>
      <c r="I261" s="12">
        <v>44237</v>
      </c>
      <c r="J261" s="12">
        <v>44814</v>
      </c>
      <c r="K261" s="25">
        <v>1537164</v>
      </c>
      <c r="L261" s="23">
        <v>2103552</v>
      </c>
      <c r="M261" s="30" t="s">
        <v>1052</v>
      </c>
      <c r="N261" s="30" t="s">
        <v>1055</v>
      </c>
    </row>
    <row r="262" spans="1:14" customFormat="1" x14ac:dyDescent="0.25">
      <c r="A262" s="7">
        <v>261</v>
      </c>
      <c r="B262" s="11" t="s">
        <v>277</v>
      </c>
      <c r="C262" s="7" t="s">
        <v>1039</v>
      </c>
      <c r="D262" s="7">
        <v>261</v>
      </c>
      <c r="E262" s="9">
        <v>261</v>
      </c>
      <c r="F262" s="7">
        <v>261</v>
      </c>
      <c r="G262" s="11" t="s">
        <v>1025</v>
      </c>
      <c r="H262" s="20">
        <v>442422</v>
      </c>
      <c r="I262" s="12">
        <v>45187</v>
      </c>
      <c r="J262" s="12">
        <v>45553</v>
      </c>
      <c r="K262" s="25">
        <v>260907</v>
      </c>
      <c r="L262" s="23">
        <v>181515</v>
      </c>
      <c r="M262" s="30" t="s">
        <v>1052</v>
      </c>
      <c r="N262" s="30" t="s">
        <v>1055</v>
      </c>
    </row>
    <row r="263" spans="1:14" customFormat="1" x14ac:dyDescent="0.25">
      <c r="A263" s="7">
        <v>262</v>
      </c>
      <c r="B263" s="11" t="s">
        <v>278</v>
      </c>
      <c r="C263" s="7" t="s">
        <v>1039</v>
      </c>
      <c r="D263" s="7">
        <v>262</v>
      </c>
      <c r="E263" s="7">
        <v>262</v>
      </c>
      <c r="F263" s="7">
        <v>262</v>
      </c>
      <c r="G263" s="11" t="s">
        <v>1021</v>
      </c>
      <c r="H263" s="20">
        <v>91370</v>
      </c>
      <c r="I263" s="12">
        <v>45057</v>
      </c>
      <c r="J263" s="12">
        <v>45362</v>
      </c>
      <c r="K263" s="25">
        <v>14255</v>
      </c>
      <c r="L263" s="23">
        <v>77115</v>
      </c>
      <c r="M263" s="30" t="s">
        <v>1052</v>
      </c>
      <c r="N263" s="30" t="s">
        <v>1055</v>
      </c>
    </row>
    <row r="264" spans="1:14" customFormat="1" x14ac:dyDescent="0.25">
      <c r="A264" s="7">
        <v>263</v>
      </c>
      <c r="B264" s="11" t="s">
        <v>279</v>
      </c>
      <c r="C264" s="7" t="s">
        <v>1039</v>
      </c>
      <c r="D264" s="7">
        <v>263</v>
      </c>
      <c r="E264" s="7">
        <v>263</v>
      </c>
      <c r="F264" s="7">
        <v>263</v>
      </c>
      <c r="G264" s="11" t="s">
        <v>1022</v>
      </c>
      <c r="H264" s="20">
        <v>31542</v>
      </c>
      <c r="I264" s="12">
        <v>44255</v>
      </c>
      <c r="J264" s="12">
        <v>44801</v>
      </c>
      <c r="K264" s="25">
        <v>5779</v>
      </c>
      <c r="L264" s="23">
        <v>25763</v>
      </c>
      <c r="M264" s="30" t="s">
        <v>1052</v>
      </c>
      <c r="N264" s="30" t="s">
        <v>1055</v>
      </c>
    </row>
    <row r="265" spans="1:14" customFormat="1" x14ac:dyDescent="0.25">
      <c r="A265" s="7">
        <v>264</v>
      </c>
      <c r="B265" s="11" t="s">
        <v>280</v>
      </c>
      <c r="C265" s="7" t="s">
        <v>1039</v>
      </c>
      <c r="D265" s="7">
        <v>264</v>
      </c>
      <c r="E265" s="9">
        <v>264</v>
      </c>
      <c r="F265" s="7">
        <v>264</v>
      </c>
      <c r="G265" s="11" t="s">
        <v>1020</v>
      </c>
      <c r="H265" s="20">
        <v>461499</v>
      </c>
      <c r="I265" s="12">
        <v>44055</v>
      </c>
      <c r="J265" s="12">
        <v>44451</v>
      </c>
      <c r="K265" s="25">
        <v>272657</v>
      </c>
      <c r="L265" s="23">
        <v>188842</v>
      </c>
      <c r="M265" s="30" t="s">
        <v>1052</v>
      </c>
      <c r="N265" s="30" t="s">
        <v>1055</v>
      </c>
    </row>
    <row r="266" spans="1:14" customFormat="1" x14ac:dyDescent="0.25">
      <c r="A266" s="7">
        <v>265</v>
      </c>
      <c r="B266" s="11" t="s">
        <v>281</v>
      </c>
      <c r="C266" s="7" t="s">
        <v>1039</v>
      </c>
      <c r="D266" s="7">
        <v>265</v>
      </c>
      <c r="E266" s="7">
        <v>265</v>
      </c>
      <c r="F266" s="7">
        <v>265</v>
      </c>
      <c r="G266" s="11" t="s">
        <v>1027</v>
      </c>
      <c r="H266" s="20">
        <v>46840</v>
      </c>
      <c r="I266" s="12">
        <v>44272</v>
      </c>
      <c r="J266" s="12">
        <v>44851</v>
      </c>
      <c r="K266" s="25">
        <v>2384</v>
      </c>
      <c r="L266" s="23">
        <v>44456</v>
      </c>
      <c r="M266" s="30" t="s">
        <v>1052</v>
      </c>
      <c r="N266" s="30" t="s">
        <v>1055</v>
      </c>
    </row>
    <row r="267" spans="1:14" customFormat="1" x14ac:dyDescent="0.25">
      <c r="A267" s="7">
        <v>266</v>
      </c>
      <c r="B267" s="11" t="s">
        <v>282</v>
      </c>
      <c r="C267" s="7" t="s">
        <v>1039</v>
      </c>
      <c r="D267" s="7">
        <v>266</v>
      </c>
      <c r="E267" s="7">
        <v>266</v>
      </c>
      <c r="F267" s="7">
        <v>266</v>
      </c>
      <c r="G267" s="11" t="s">
        <v>1025</v>
      </c>
      <c r="H267" s="20">
        <v>343981</v>
      </c>
      <c r="I267" s="12">
        <v>44172</v>
      </c>
      <c r="J267" s="12">
        <v>44749</v>
      </c>
      <c r="K267" s="25">
        <v>336561</v>
      </c>
      <c r="L267" s="23">
        <v>7420</v>
      </c>
      <c r="M267" s="30" t="s">
        <v>1052</v>
      </c>
      <c r="N267" s="30" t="s">
        <v>1055</v>
      </c>
    </row>
    <row r="268" spans="1:14" customFormat="1" x14ac:dyDescent="0.25">
      <c r="A268" s="7">
        <v>267</v>
      </c>
      <c r="B268" s="11" t="s">
        <v>283</v>
      </c>
      <c r="C268" s="7" t="s">
        <v>1039</v>
      </c>
      <c r="D268" s="7">
        <v>267</v>
      </c>
      <c r="E268" s="9">
        <v>267</v>
      </c>
      <c r="F268" s="7">
        <v>267</v>
      </c>
      <c r="G268" s="11" t="s">
        <v>1026</v>
      </c>
      <c r="H268" s="20">
        <v>4106319</v>
      </c>
      <c r="I268" s="12">
        <v>44595</v>
      </c>
      <c r="J268" s="12">
        <v>45141</v>
      </c>
      <c r="K268" s="25">
        <v>2195326</v>
      </c>
      <c r="L268" s="23">
        <v>1910993</v>
      </c>
      <c r="M268" s="30" t="s">
        <v>1052</v>
      </c>
      <c r="N268" s="30" t="s">
        <v>1055</v>
      </c>
    </row>
    <row r="269" spans="1:14" customFormat="1" x14ac:dyDescent="0.25">
      <c r="A269" s="7">
        <v>268</v>
      </c>
      <c r="B269" s="11" t="s">
        <v>284</v>
      </c>
      <c r="C269" s="7" t="s">
        <v>1039</v>
      </c>
      <c r="D269" s="7">
        <v>268</v>
      </c>
      <c r="E269" s="7">
        <v>268</v>
      </c>
      <c r="F269" s="7">
        <v>268</v>
      </c>
      <c r="G269" s="11" t="s">
        <v>1020</v>
      </c>
      <c r="H269" s="20">
        <v>421743</v>
      </c>
      <c r="I269" s="12">
        <v>44191</v>
      </c>
      <c r="J269" s="12">
        <v>44526</v>
      </c>
      <c r="K269" s="25">
        <v>14510</v>
      </c>
      <c r="L269" s="23">
        <v>407233</v>
      </c>
      <c r="M269" s="30" t="s">
        <v>1052</v>
      </c>
      <c r="N269" s="30" t="s">
        <v>1055</v>
      </c>
    </row>
    <row r="270" spans="1:14" customFormat="1" x14ac:dyDescent="0.25">
      <c r="A270" s="7">
        <v>269</v>
      </c>
      <c r="B270" s="11" t="s">
        <v>285</v>
      </c>
      <c r="C270" s="7" t="s">
        <v>1039</v>
      </c>
      <c r="D270" s="7">
        <v>269</v>
      </c>
      <c r="E270" s="7">
        <v>269</v>
      </c>
      <c r="F270" s="7">
        <v>269</v>
      </c>
      <c r="G270" s="11" t="s">
        <v>1016</v>
      </c>
      <c r="H270" s="20">
        <v>12548</v>
      </c>
      <c r="I270" s="12">
        <v>44767</v>
      </c>
      <c r="J270" s="12">
        <v>45347</v>
      </c>
      <c r="K270" s="25">
        <v>3959</v>
      </c>
      <c r="L270" s="23">
        <v>8589</v>
      </c>
      <c r="M270" s="30" t="s">
        <v>1052</v>
      </c>
      <c r="N270" s="30" t="s">
        <v>1055</v>
      </c>
    </row>
    <row r="271" spans="1:14" customFormat="1" x14ac:dyDescent="0.25">
      <c r="A271" s="7">
        <v>270</v>
      </c>
      <c r="B271" s="11" t="s">
        <v>286</v>
      </c>
      <c r="C271" s="7" t="s">
        <v>1039</v>
      </c>
      <c r="D271" s="7">
        <v>270</v>
      </c>
      <c r="E271" s="9">
        <v>270</v>
      </c>
      <c r="F271" s="7">
        <v>270</v>
      </c>
      <c r="G271" s="11" t="s">
        <v>1023</v>
      </c>
      <c r="H271" s="20">
        <v>623</v>
      </c>
      <c r="I271" s="12">
        <v>44816</v>
      </c>
      <c r="J271" s="12">
        <v>45485</v>
      </c>
      <c r="K271" s="25">
        <v>297</v>
      </c>
      <c r="L271" s="23">
        <v>326</v>
      </c>
      <c r="M271" s="30" t="s">
        <v>1052</v>
      </c>
      <c r="N271" s="30" t="s">
        <v>1055</v>
      </c>
    </row>
    <row r="272" spans="1:14" customFormat="1" x14ac:dyDescent="0.25">
      <c r="A272" s="7">
        <v>271</v>
      </c>
      <c r="B272" s="11" t="s">
        <v>287</v>
      </c>
      <c r="C272" s="7" t="s">
        <v>1039</v>
      </c>
      <c r="D272" s="7">
        <v>271</v>
      </c>
      <c r="E272" s="7">
        <v>271</v>
      </c>
      <c r="F272" s="7">
        <v>271</v>
      </c>
      <c r="G272" s="11" t="s">
        <v>1022</v>
      </c>
      <c r="H272" s="20">
        <v>7336</v>
      </c>
      <c r="I272" s="12">
        <v>45500</v>
      </c>
      <c r="J272" s="12">
        <v>46108</v>
      </c>
      <c r="K272" s="25">
        <v>2802</v>
      </c>
      <c r="L272" s="23">
        <v>4534</v>
      </c>
      <c r="M272" s="30" t="s">
        <v>1052</v>
      </c>
      <c r="N272" s="30" t="s">
        <v>1055</v>
      </c>
    </row>
    <row r="273" spans="1:14" customFormat="1" x14ac:dyDescent="0.25">
      <c r="A273" s="7">
        <v>272</v>
      </c>
      <c r="B273" s="11" t="s">
        <v>288</v>
      </c>
      <c r="C273" s="7" t="s">
        <v>1039</v>
      </c>
      <c r="D273" s="7">
        <v>272</v>
      </c>
      <c r="E273" s="7">
        <v>272</v>
      </c>
      <c r="F273" s="7">
        <v>272</v>
      </c>
      <c r="G273" s="11" t="s">
        <v>1027</v>
      </c>
      <c r="H273" s="20">
        <v>29655</v>
      </c>
      <c r="I273" s="12">
        <v>43958</v>
      </c>
      <c r="J273" s="12">
        <v>44446</v>
      </c>
      <c r="K273" s="25">
        <v>11403</v>
      </c>
      <c r="L273" s="23">
        <v>18252</v>
      </c>
      <c r="M273" s="30" t="s">
        <v>1052</v>
      </c>
      <c r="N273" s="30" t="s">
        <v>1055</v>
      </c>
    </row>
    <row r="274" spans="1:14" customFormat="1" x14ac:dyDescent="0.25">
      <c r="A274" s="7">
        <v>273</v>
      </c>
      <c r="B274" s="11" t="s">
        <v>289</v>
      </c>
      <c r="C274" s="7" t="s">
        <v>1039</v>
      </c>
      <c r="D274" s="7">
        <v>273</v>
      </c>
      <c r="E274" s="9">
        <v>273</v>
      </c>
      <c r="F274" s="7">
        <v>273</v>
      </c>
      <c r="G274" s="11" t="s">
        <v>1022</v>
      </c>
      <c r="H274" s="20">
        <v>32103</v>
      </c>
      <c r="I274" s="12">
        <v>45101</v>
      </c>
      <c r="J274" s="12">
        <v>45620</v>
      </c>
      <c r="K274" s="25">
        <v>13848</v>
      </c>
      <c r="L274" s="23">
        <v>18255</v>
      </c>
      <c r="M274" s="30" t="s">
        <v>1052</v>
      </c>
      <c r="N274" s="30" t="s">
        <v>1055</v>
      </c>
    </row>
    <row r="275" spans="1:14" customFormat="1" x14ac:dyDescent="0.25">
      <c r="A275" s="7">
        <v>274</v>
      </c>
      <c r="B275" s="11" t="s">
        <v>290</v>
      </c>
      <c r="C275" s="7" t="s">
        <v>1039</v>
      </c>
      <c r="D275" s="7">
        <v>274</v>
      </c>
      <c r="E275" s="7">
        <v>274</v>
      </c>
      <c r="F275" s="7">
        <v>274</v>
      </c>
      <c r="G275" s="11" t="s">
        <v>1023</v>
      </c>
      <c r="H275" s="20">
        <v>413</v>
      </c>
      <c r="I275" s="12">
        <v>44084</v>
      </c>
      <c r="J275" s="12">
        <v>44722</v>
      </c>
      <c r="K275" s="25">
        <v>12</v>
      </c>
      <c r="L275" s="23">
        <v>401</v>
      </c>
      <c r="M275" s="30" t="s">
        <v>1052</v>
      </c>
      <c r="N275" s="30" t="s">
        <v>1055</v>
      </c>
    </row>
    <row r="276" spans="1:14" customFormat="1" x14ac:dyDescent="0.25">
      <c r="A276" s="7">
        <v>275</v>
      </c>
      <c r="B276" s="11" t="s">
        <v>291</v>
      </c>
      <c r="C276" s="7" t="s">
        <v>1039</v>
      </c>
      <c r="D276" s="7">
        <v>275</v>
      </c>
      <c r="E276" s="7">
        <v>275</v>
      </c>
      <c r="F276" s="7">
        <v>275</v>
      </c>
      <c r="G276" s="11" t="s">
        <v>1020</v>
      </c>
      <c r="H276" s="20">
        <v>34505</v>
      </c>
      <c r="I276" s="12">
        <v>43966</v>
      </c>
      <c r="J276" s="12">
        <v>44211</v>
      </c>
      <c r="K276" s="25">
        <v>8416</v>
      </c>
      <c r="L276" s="23">
        <v>26089</v>
      </c>
      <c r="M276" s="30" t="s">
        <v>1052</v>
      </c>
      <c r="N276" s="30" t="s">
        <v>1055</v>
      </c>
    </row>
    <row r="277" spans="1:14" customFormat="1" x14ac:dyDescent="0.25">
      <c r="A277" s="7">
        <v>276</v>
      </c>
      <c r="B277" s="11" t="s">
        <v>292</v>
      </c>
      <c r="C277" s="7" t="s">
        <v>1039</v>
      </c>
      <c r="D277" s="7">
        <v>276</v>
      </c>
      <c r="E277" s="9">
        <v>276</v>
      </c>
      <c r="F277" s="7">
        <v>276</v>
      </c>
      <c r="G277" s="11" t="s">
        <v>1024</v>
      </c>
      <c r="H277" s="20">
        <v>807779</v>
      </c>
      <c r="I277" s="12">
        <v>45543</v>
      </c>
      <c r="J277" s="12">
        <v>45969</v>
      </c>
      <c r="K277" s="25">
        <v>243035</v>
      </c>
      <c r="L277" s="23">
        <v>564744</v>
      </c>
      <c r="M277" s="30" t="s">
        <v>1052</v>
      </c>
      <c r="N277" s="30" t="s">
        <v>1055</v>
      </c>
    </row>
    <row r="278" spans="1:14" customFormat="1" x14ac:dyDescent="0.25">
      <c r="A278" s="7">
        <v>277</v>
      </c>
      <c r="B278" s="11" t="s">
        <v>293</v>
      </c>
      <c r="C278" s="7" t="s">
        <v>1039</v>
      </c>
      <c r="D278" s="7">
        <v>277</v>
      </c>
      <c r="E278" s="7">
        <v>277</v>
      </c>
      <c r="F278" s="7">
        <v>277</v>
      </c>
      <c r="G278" s="11" t="s">
        <v>1025</v>
      </c>
      <c r="H278" s="20">
        <v>110723</v>
      </c>
      <c r="I278" s="12">
        <v>45621</v>
      </c>
      <c r="J278" s="12">
        <v>45925</v>
      </c>
      <c r="K278" s="25">
        <v>85719</v>
      </c>
      <c r="L278" s="23">
        <v>25004</v>
      </c>
      <c r="M278" s="30" t="s">
        <v>1052</v>
      </c>
      <c r="N278" s="30" t="s">
        <v>1055</v>
      </c>
    </row>
    <row r="279" spans="1:14" customFormat="1" x14ac:dyDescent="0.25">
      <c r="A279" s="7">
        <v>278</v>
      </c>
      <c r="B279" s="11" t="s">
        <v>294</v>
      </c>
      <c r="C279" s="7" t="s">
        <v>1039</v>
      </c>
      <c r="D279" s="7">
        <v>278</v>
      </c>
      <c r="E279" s="7">
        <v>278</v>
      </c>
      <c r="F279" s="7">
        <v>278</v>
      </c>
      <c r="G279" s="11" t="s">
        <v>1020</v>
      </c>
      <c r="H279" s="20">
        <v>427142</v>
      </c>
      <c r="I279" s="12">
        <v>44172</v>
      </c>
      <c r="J279" s="12">
        <v>44415</v>
      </c>
      <c r="K279" s="25">
        <v>246257</v>
      </c>
      <c r="L279" s="23">
        <v>180885</v>
      </c>
      <c r="M279" s="30" t="s">
        <v>1052</v>
      </c>
      <c r="N279" s="30" t="s">
        <v>1055</v>
      </c>
    </row>
    <row r="280" spans="1:14" customFormat="1" x14ac:dyDescent="0.25">
      <c r="A280" s="7">
        <v>279</v>
      </c>
      <c r="B280" s="11" t="s">
        <v>295</v>
      </c>
      <c r="C280" s="7" t="s">
        <v>1039</v>
      </c>
      <c r="D280" s="7">
        <v>279</v>
      </c>
      <c r="E280" s="9">
        <v>279</v>
      </c>
      <c r="F280" s="7">
        <v>279</v>
      </c>
      <c r="G280" s="11" t="s">
        <v>1025</v>
      </c>
      <c r="H280" s="20">
        <v>457117</v>
      </c>
      <c r="I280" s="12">
        <v>44053</v>
      </c>
      <c r="J280" s="12">
        <v>44296</v>
      </c>
      <c r="K280" s="25">
        <v>24494</v>
      </c>
      <c r="L280" s="23">
        <v>432623</v>
      </c>
      <c r="M280" s="30" t="s">
        <v>1052</v>
      </c>
      <c r="N280" s="30" t="s">
        <v>1055</v>
      </c>
    </row>
    <row r="281" spans="1:14" customFormat="1" x14ac:dyDescent="0.25">
      <c r="A281" s="7">
        <v>280</v>
      </c>
      <c r="B281" s="11" t="s">
        <v>296</v>
      </c>
      <c r="C281" s="7" t="s">
        <v>1039</v>
      </c>
      <c r="D281" s="7">
        <v>280</v>
      </c>
      <c r="E281" s="7">
        <v>280</v>
      </c>
      <c r="F281" s="7">
        <v>280</v>
      </c>
      <c r="G281" s="11" t="s">
        <v>1024</v>
      </c>
      <c r="H281" s="20">
        <v>406524</v>
      </c>
      <c r="I281" s="12">
        <v>43918</v>
      </c>
      <c r="J281" s="12">
        <v>44224</v>
      </c>
      <c r="K281" s="25">
        <v>198246</v>
      </c>
      <c r="L281" s="23">
        <v>208278</v>
      </c>
      <c r="M281" s="30" t="s">
        <v>1052</v>
      </c>
      <c r="N281" s="30" t="s">
        <v>1055</v>
      </c>
    </row>
    <row r="282" spans="1:14" customFormat="1" x14ac:dyDescent="0.25">
      <c r="A282" s="7">
        <v>281</v>
      </c>
      <c r="B282" s="11" t="s">
        <v>297</v>
      </c>
      <c r="C282" s="7" t="s">
        <v>1039</v>
      </c>
      <c r="D282" s="7">
        <v>281</v>
      </c>
      <c r="E282" s="7">
        <v>281</v>
      </c>
      <c r="F282" s="7">
        <v>281</v>
      </c>
      <c r="G282" s="11" t="s">
        <v>1022</v>
      </c>
      <c r="H282" s="20">
        <v>27951</v>
      </c>
      <c r="I282" s="12">
        <v>44595</v>
      </c>
      <c r="J282" s="12">
        <v>44776</v>
      </c>
      <c r="K282" s="25">
        <v>17952</v>
      </c>
      <c r="L282" s="23">
        <v>9999</v>
      </c>
      <c r="M282" s="30" t="s">
        <v>1052</v>
      </c>
      <c r="N282" s="30" t="s">
        <v>1055</v>
      </c>
    </row>
    <row r="283" spans="1:14" customFormat="1" x14ac:dyDescent="0.25">
      <c r="A283" s="7">
        <v>282</v>
      </c>
      <c r="B283" s="11" t="s">
        <v>298</v>
      </c>
      <c r="C283" s="7" t="s">
        <v>1039</v>
      </c>
      <c r="D283" s="7">
        <v>282</v>
      </c>
      <c r="E283" s="9">
        <v>282</v>
      </c>
      <c r="F283" s="7">
        <v>282</v>
      </c>
      <c r="G283" s="11" t="s">
        <v>1027</v>
      </c>
      <c r="H283" s="20">
        <v>25987</v>
      </c>
      <c r="I283" s="12">
        <v>45068</v>
      </c>
      <c r="J283" s="12">
        <v>45373</v>
      </c>
      <c r="K283" s="25">
        <v>11696</v>
      </c>
      <c r="L283" s="23">
        <v>14291</v>
      </c>
      <c r="M283" s="30" t="s">
        <v>1052</v>
      </c>
      <c r="N283" s="30" t="s">
        <v>1055</v>
      </c>
    </row>
    <row r="284" spans="1:14" customFormat="1" x14ac:dyDescent="0.25">
      <c r="A284" s="7">
        <v>283</v>
      </c>
      <c r="B284" s="11" t="s">
        <v>299</v>
      </c>
      <c r="C284" s="7" t="s">
        <v>1039</v>
      </c>
      <c r="D284" s="7">
        <v>283</v>
      </c>
      <c r="E284" s="7">
        <v>283</v>
      </c>
      <c r="F284" s="7">
        <v>283</v>
      </c>
      <c r="G284" s="11" t="s">
        <v>1027</v>
      </c>
      <c r="H284" s="20">
        <v>52518</v>
      </c>
      <c r="I284" s="12">
        <v>44279</v>
      </c>
      <c r="J284" s="12">
        <v>44675</v>
      </c>
      <c r="K284" s="25">
        <v>22046</v>
      </c>
      <c r="L284" s="23">
        <v>30472</v>
      </c>
      <c r="M284" s="30" t="s">
        <v>1052</v>
      </c>
      <c r="N284" s="30" t="s">
        <v>1055</v>
      </c>
    </row>
    <row r="285" spans="1:14" customFormat="1" x14ac:dyDescent="0.25">
      <c r="A285" s="7">
        <v>284</v>
      </c>
      <c r="B285" s="11" t="s">
        <v>300</v>
      </c>
      <c r="C285" s="7" t="s">
        <v>1039</v>
      </c>
      <c r="D285" s="7">
        <v>284</v>
      </c>
      <c r="E285" s="7">
        <v>284</v>
      </c>
      <c r="F285" s="7">
        <v>284</v>
      </c>
      <c r="G285" s="11" t="s">
        <v>1021</v>
      </c>
      <c r="H285" s="20">
        <v>79380</v>
      </c>
      <c r="I285" s="12">
        <v>44177</v>
      </c>
      <c r="J285" s="12">
        <v>44542</v>
      </c>
      <c r="K285" s="25">
        <v>36520</v>
      </c>
      <c r="L285" s="23">
        <v>42860</v>
      </c>
      <c r="M285" s="30" t="s">
        <v>1052</v>
      </c>
      <c r="N285" s="30" t="s">
        <v>1055</v>
      </c>
    </row>
    <row r="286" spans="1:14" customFormat="1" x14ac:dyDescent="0.25">
      <c r="A286" s="7">
        <v>285</v>
      </c>
      <c r="B286" s="11" t="s">
        <v>301</v>
      </c>
      <c r="C286" s="7" t="s">
        <v>1039</v>
      </c>
      <c r="D286" s="7">
        <v>285</v>
      </c>
      <c r="E286" s="9">
        <v>285</v>
      </c>
      <c r="F286" s="7">
        <v>285</v>
      </c>
      <c r="G286" s="11" t="s">
        <v>1023</v>
      </c>
      <c r="H286" s="20">
        <v>454</v>
      </c>
      <c r="I286" s="12">
        <v>43880</v>
      </c>
      <c r="J286" s="12">
        <v>44519</v>
      </c>
      <c r="K286" s="25">
        <v>428</v>
      </c>
      <c r="L286" s="23">
        <v>26</v>
      </c>
      <c r="M286" s="30" t="s">
        <v>1052</v>
      </c>
      <c r="N286" s="30" t="s">
        <v>1055</v>
      </c>
    </row>
    <row r="287" spans="1:14" customFormat="1" x14ac:dyDescent="0.25">
      <c r="A287" s="7">
        <v>286</v>
      </c>
      <c r="B287" s="11" t="s">
        <v>302</v>
      </c>
      <c r="C287" s="7" t="s">
        <v>1039</v>
      </c>
      <c r="D287" s="7">
        <v>286</v>
      </c>
      <c r="E287" s="7">
        <v>286</v>
      </c>
      <c r="F287" s="7">
        <v>286</v>
      </c>
      <c r="G287" s="11" t="s">
        <v>1022</v>
      </c>
      <c r="H287" s="20">
        <v>12321</v>
      </c>
      <c r="I287" s="12">
        <v>44122</v>
      </c>
      <c r="J287" s="12">
        <v>44699</v>
      </c>
      <c r="K287" s="25">
        <v>11651</v>
      </c>
      <c r="L287" s="23">
        <v>670</v>
      </c>
      <c r="M287" s="30" t="s">
        <v>1052</v>
      </c>
      <c r="N287" s="30" t="s">
        <v>1055</v>
      </c>
    </row>
    <row r="288" spans="1:14" customFormat="1" x14ac:dyDescent="0.25">
      <c r="A288" s="7">
        <v>287</v>
      </c>
      <c r="B288" s="11" t="s">
        <v>303</v>
      </c>
      <c r="C288" s="7" t="s">
        <v>1039</v>
      </c>
      <c r="D288" s="7">
        <v>287</v>
      </c>
      <c r="E288" s="7">
        <v>287</v>
      </c>
      <c r="F288" s="7">
        <v>287</v>
      </c>
      <c r="G288" s="11" t="s">
        <v>1026</v>
      </c>
      <c r="H288" s="20">
        <v>929703</v>
      </c>
      <c r="I288" s="12">
        <v>44790</v>
      </c>
      <c r="J288" s="12">
        <v>45155</v>
      </c>
      <c r="K288" s="25">
        <v>828994</v>
      </c>
      <c r="L288" s="23">
        <v>100709</v>
      </c>
      <c r="M288" s="30" t="s">
        <v>1052</v>
      </c>
      <c r="N288" s="30" t="s">
        <v>1055</v>
      </c>
    </row>
    <row r="289" spans="1:14" customFormat="1" x14ac:dyDescent="0.25">
      <c r="A289" s="7">
        <v>288</v>
      </c>
      <c r="B289" s="11" t="s">
        <v>304</v>
      </c>
      <c r="C289" s="7" t="s">
        <v>1039</v>
      </c>
      <c r="D289" s="7">
        <v>288</v>
      </c>
      <c r="E289" s="9">
        <v>288</v>
      </c>
      <c r="F289" s="7">
        <v>288</v>
      </c>
      <c r="G289" s="11" t="s">
        <v>1020</v>
      </c>
      <c r="H289" s="20">
        <v>427919</v>
      </c>
      <c r="I289" s="12">
        <v>44458</v>
      </c>
      <c r="J289" s="12">
        <v>44611</v>
      </c>
      <c r="K289" s="25">
        <v>218492</v>
      </c>
      <c r="L289" s="23">
        <v>209427</v>
      </c>
      <c r="M289" s="30" t="s">
        <v>1052</v>
      </c>
      <c r="N289" s="30" t="s">
        <v>1055</v>
      </c>
    </row>
    <row r="290" spans="1:14" customFormat="1" x14ac:dyDescent="0.25">
      <c r="A290" s="7">
        <v>289</v>
      </c>
      <c r="B290" s="11" t="s">
        <v>305</v>
      </c>
      <c r="C290" s="7" t="s">
        <v>1039</v>
      </c>
      <c r="D290" s="7">
        <v>289</v>
      </c>
      <c r="E290" s="7">
        <v>289</v>
      </c>
      <c r="F290" s="7">
        <v>289</v>
      </c>
      <c r="G290" s="11" t="s">
        <v>1016</v>
      </c>
      <c r="H290" s="20">
        <v>4932</v>
      </c>
      <c r="I290" s="12">
        <v>45682</v>
      </c>
      <c r="J290" s="12">
        <v>45894</v>
      </c>
      <c r="K290" s="25">
        <v>4098</v>
      </c>
      <c r="L290" s="23">
        <v>834</v>
      </c>
      <c r="M290" s="30" t="s">
        <v>1052</v>
      </c>
      <c r="N290" s="30" t="s">
        <v>1055</v>
      </c>
    </row>
    <row r="291" spans="1:14" customFormat="1" x14ac:dyDescent="0.25">
      <c r="A291" s="7">
        <v>290</v>
      </c>
      <c r="B291" s="11" t="s">
        <v>306</v>
      </c>
      <c r="C291" s="7" t="s">
        <v>1039</v>
      </c>
      <c r="D291" s="7">
        <v>290</v>
      </c>
      <c r="E291" s="7">
        <v>290</v>
      </c>
      <c r="F291" s="7">
        <v>290</v>
      </c>
      <c r="G291" s="11" t="s">
        <v>1026</v>
      </c>
      <c r="H291" s="20">
        <v>354869</v>
      </c>
      <c r="I291" s="12">
        <v>44809</v>
      </c>
      <c r="J291" s="12">
        <v>45448</v>
      </c>
      <c r="K291" s="25">
        <v>9501</v>
      </c>
      <c r="L291" s="23">
        <v>345368</v>
      </c>
      <c r="M291" s="30" t="s">
        <v>1052</v>
      </c>
      <c r="N291" s="30" t="s">
        <v>1055</v>
      </c>
    </row>
    <row r="292" spans="1:14" customFormat="1" x14ac:dyDescent="0.25">
      <c r="A292" s="7">
        <v>291</v>
      </c>
      <c r="B292" s="11" t="s">
        <v>307</v>
      </c>
      <c r="C292" s="7" t="s">
        <v>1039</v>
      </c>
      <c r="D292" s="7">
        <v>291</v>
      </c>
      <c r="E292" s="9">
        <v>291</v>
      </c>
      <c r="F292" s="7">
        <v>291</v>
      </c>
      <c r="G292" s="11" t="s">
        <v>1026</v>
      </c>
      <c r="H292" s="20">
        <v>1407847</v>
      </c>
      <c r="I292" s="12">
        <v>44023</v>
      </c>
      <c r="J292" s="12">
        <v>44450</v>
      </c>
      <c r="K292" s="25">
        <v>739253</v>
      </c>
      <c r="L292" s="23">
        <v>668594</v>
      </c>
      <c r="M292" s="30" t="s">
        <v>1052</v>
      </c>
      <c r="N292" s="30" t="s">
        <v>1055</v>
      </c>
    </row>
    <row r="293" spans="1:14" customFormat="1" x14ac:dyDescent="0.25">
      <c r="A293" s="7">
        <v>292</v>
      </c>
      <c r="B293" s="11" t="s">
        <v>308</v>
      </c>
      <c r="C293" s="7" t="s">
        <v>1039</v>
      </c>
      <c r="D293" s="7">
        <v>292</v>
      </c>
      <c r="E293" s="7">
        <v>292</v>
      </c>
      <c r="F293" s="7">
        <v>292</v>
      </c>
      <c r="G293" s="11" t="s">
        <v>1026</v>
      </c>
      <c r="H293" s="20">
        <v>4016551</v>
      </c>
      <c r="I293" s="12">
        <v>45083</v>
      </c>
      <c r="J293" s="12">
        <v>45571</v>
      </c>
      <c r="K293" s="25">
        <v>1484928</v>
      </c>
      <c r="L293" s="23">
        <v>2531623</v>
      </c>
      <c r="M293" s="30" t="s">
        <v>1052</v>
      </c>
      <c r="N293" s="30" t="s">
        <v>1055</v>
      </c>
    </row>
    <row r="294" spans="1:14" customFormat="1" x14ac:dyDescent="0.25">
      <c r="A294" s="7">
        <v>293</v>
      </c>
      <c r="B294" s="11" t="s">
        <v>309</v>
      </c>
      <c r="C294" s="7" t="s">
        <v>1039</v>
      </c>
      <c r="D294" s="7">
        <v>293</v>
      </c>
      <c r="E294" s="7">
        <v>293</v>
      </c>
      <c r="F294" s="7">
        <v>293</v>
      </c>
      <c r="G294" s="11" t="s">
        <v>1025</v>
      </c>
      <c r="H294" s="20">
        <v>194020</v>
      </c>
      <c r="I294" s="12">
        <v>44003</v>
      </c>
      <c r="J294" s="12">
        <v>44733</v>
      </c>
      <c r="K294" s="25">
        <v>72737</v>
      </c>
      <c r="L294" s="23">
        <v>121283</v>
      </c>
      <c r="M294" s="30" t="s">
        <v>1052</v>
      </c>
      <c r="N294" s="30" t="s">
        <v>1055</v>
      </c>
    </row>
    <row r="295" spans="1:14" customFormat="1" x14ac:dyDescent="0.25">
      <c r="A295" s="7">
        <v>294</v>
      </c>
      <c r="B295" s="11" t="s">
        <v>310</v>
      </c>
      <c r="C295" s="7" t="s">
        <v>1039</v>
      </c>
      <c r="D295" s="7">
        <v>294</v>
      </c>
      <c r="E295" s="9">
        <v>294</v>
      </c>
      <c r="F295" s="7">
        <v>294</v>
      </c>
      <c r="G295" s="11" t="s">
        <v>1021</v>
      </c>
      <c r="H295" s="20">
        <v>26475</v>
      </c>
      <c r="I295" s="12">
        <v>45047</v>
      </c>
      <c r="J295" s="12">
        <v>45627</v>
      </c>
      <c r="K295" s="25">
        <v>7578</v>
      </c>
      <c r="L295" s="23">
        <v>18897</v>
      </c>
      <c r="M295" s="30" t="s">
        <v>1052</v>
      </c>
      <c r="N295" s="30" t="s">
        <v>1055</v>
      </c>
    </row>
    <row r="296" spans="1:14" customFormat="1" x14ac:dyDescent="0.25">
      <c r="A296" s="7">
        <v>295</v>
      </c>
      <c r="B296" s="11" t="s">
        <v>311</v>
      </c>
      <c r="C296" s="7" t="s">
        <v>1039</v>
      </c>
      <c r="D296" s="7">
        <v>295</v>
      </c>
      <c r="E296" s="7">
        <v>295</v>
      </c>
      <c r="F296" s="7">
        <v>295</v>
      </c>
      <c r="G296" s="11" t="s">
        <v>1027</v>
      </c>
      <c r="H296" s="20">
        <v>45110</v>
      </c>
      <c r="I296" s="12">
        <v>45704</v>
      </c>
      <c r="J296" s="12">
        <v>45854</v>
      </c>
      <c r="K296" s="25">
        <v>35787</v>
      </c>
      <c r="L296" s="23">
        <v>9323</v>
      </c>
      <c r="M296" s="30" t="s">
        <v>1052</v>
      </c>
      <c r="N296" s="30" t="s">
        <v>1055</v>
      </c>
    </row>
    <row r="297" spans="1:14" customFormat="1" x14ac:dyDescent="0.25">
      <c r="A297" s="7">
        <v>296</v>
      </c>
      <c r="B297" s="11" t="s">
        <v>312</v>
      </c>
      <c r="C297" s="7" t="s">
        <v>1039</v>
      </c>
      <c r="D297" s="7">
        <v>296</v>
      </c>
      <c r="E297" s="7">
        <v>296</v>
      </c>
      <c r="F297" s="7">
        <v>296</v>
      </c>
      <c r="G297" s="11" t="s">
        <v>1024</v>
      </c>
      <c r="H297" s="20">
        <v>218890</v>
      </c>
      <c r="I297" s="12">
        <v>45342</v>
      </c>
      <c r="J297" s="12">
        <v>45981</v>
      </c>
      <c r="K297" s="25">
        <v>77216</v>
      </c>
      <c r="L297" s="23">
        <v>141674</v>
      </c>
      <c r="M297" s="30" t="s">
        <v>1052</v>
      </c>
      <c r="N297" s="30" t="s">
        <v>1055</v>
      </c>
    </row>
    <row r="298" spans="1:14" customFormat="1" x14ac:dyDescent="0.25">
      <c r="A298" s="7">
        <v>297</v>
      </c>
      <c r="B298" s="11" t="s">
        <v>313</v>
      </c>
      <c r="C298" s="7" t="s">
        <v>1039</v>
      </c>
      <c r="D298" s="7">
        <v>297</v>
      </c>
      <c r="E298" s="9">
        <v>297</v>
      </c>
      <c r="F298" s="7">
        <v>297</v>
      </c>
      <c r="G298" s="11" t="s">
        <v>1026</v>
      </c>
      <c r="H298" s="20">
        <v>593884</v>
      </c>
      <c r="I298" s="12">
        <v>44758</v>
      </c>
      <c r="J298" s="12">
        <v>45215</v>
      </c>
      <c r="K298" s="25">
        <v>328888</v>
      </c>
      <c r="L298" s="23">
        <v>264996</v>
      </c>
      <c r="M298" s="30" t="s">
        <v>1052</v>
      </c>
      <c r="N298" s="30" t="s">
        <v>1055</v>
      </c>
    </row>
    <row r="299" spans="1:14" customFormat="1" x14ac:dyDescent="0.25">
      <c r="A299" s="7">
        <v>298</v>
      </c>
      <c r="B299" s="11" t="s">
        <v>314</v>
      </c>
      <c r="C299" s="7" t="s">
        <v>1039</v>
      </c>
      <c r="D299" s="7">
        <v>298</v>
      </c>
      <c r="E299" s="7">
        <v>298</v>
      </c>
      <c r="F299" s="7">
        <v>298</v>
      </c>
      <c r="G299" s="11" t="s">
        <v>1020</v>
      </c>
      <c r="H299" s="20">
        <v>149312</v>
      </c>
      <c r="I299" s="12">
        <v>44319</v>
      </c>
      <c r="J299" s="12">
        <v>44654</v>
      </c>
      <c r="K299" s="25">
        <v>58831</v>
      </c>
      <c r="L299" s="23">
        <v>90481</v>
      </c>
      <c r="M299" s="30" t="s">
        <v>1052</v>
      </c>
      <c r="N299" s="30" t="s">
        <v>1055</v>
      </c>
    </row>
    <row r="300" spans="1:14" customFormat="1" x14ac:dyDescent="0.25">
      <c r="A300" s="7">
        <v>299</v>
      </c>
      <c r="B300" s="11" t="s">
        <v>315</v>
      </c>
      <c r="C300" s="7" t="s">
        <v>1039</v>
      </c>
      <c r="D300" s="7">
        <v>299</v>
      </c>
      <c r="E300" s="7">
        <v>299</v>
      </c>
      <c r="F300" s="7">
        <v>299</v>
      </c>
      <c r="G300" s="11" t="s">
        <v>1025</v>
      </c>
      <c r="H300" s="20">
        <v>255504</v>
      </c>
      <c r="I300" s="12">
        <v>44245</v>
      </c>
      <c r="J300" s="12">
        <v>44944</v>
      </c>
      <c r="K300" s="25">
        <v>13991</v>
      </c>
      <c r="L300" s="23">
        <v>241513</v>
      </c>
      <c r="M300" s="30" t="s">
        <v>1052</v>
      </c>
      <c r="N300" s="30" t="s">
        <v>1055</v>
      </c>
    </row>
    <row r="301" spans="1:14" customFormat="1" x14ac:dyDescent="0.25">
      <c r="A301" s="7">
        <v>300</v>
      </c>
      <c r="B301" s="11" t="s">
        <v>316</v>
      </c>
      <c r="C301" s="7" t="s">
        <v>1039</v>
      </c>
      <c r="D301" s="7">
        <v>300</v>
      </c>
      <c r="E301" s="9">
        <v>300</v>
      </c>
      <c r="F301" s="7">
        <v>300</v>
      </c>
      <c r="G301" s="11" t="s">
        <v>1025</v>
      </c>
      <c r="H301" s="20">
        <v>74110</v>
      </c>
      <c r="I301" s="12">
        <v>44692</v>
      </c>
      <c r="J301" s="12">
        <v>45333</v>
      </c>
      <c r="K301" s="25">
        <v>72599</v>
      </c>
      <c r="L301" s="23">
        <v>1511</v>
      </c>
      <c r="M301" s="30" t="s">
        <v>1052</v>
      </c>
      <c r="N301" s="30" t="s">
        <v>1055</v>
      </c>
    </row>
    <row r="302" spans="1:14" customFormat="1" x14ac:dyDescent="0.25">
      <c r="A302" s="7">
        <v>301</v>
      </c>
      <c r="B302" s="11" t="s">
        <v>317</v>
      </c>
      <c r="C302" s="7" t="s">
        <v>1039</v>
      </c>
      <c r="D302" s="7">
        <v>301</v>
      </c>
      <c r="E302" s="7">
        <v>301</v>
      </c>
      <c r="F302" s="7">
        <v>301</v>
      </c>
      <c r="G302" s="11" t="s">
        <v>1024</v>
      </c>
      <c r="H302" s="20">
        <v>367000</v>
      </c>
      <c r="I302" s="12">
        <v>44226</v>
      </c>
      <c r="J302" s="12">
        <v>44438</v>
      </c>
      <c r="K302" s="25">
        <v>235184</v>
      </c>
      <c r="L302" s="23">
        <v>131816</v>
      </c>
      <c r="M302" s="30" t="s">
        <v>1052</v>
      </c>
      <c r="N302" s="30" t="s">
        <v>1055</v>
      </c>
    </row>
    <row r="303" spans="1:14" customFormat="1" x14ac:dyDescent="0.25">
      <c r="A303" s="7">
        <v>302</v>
      </c>
      <c r="B303" s="11" t="s">
        <v>318</v>
      </c>
      <c r="C303" s="7" t="s">
        <v>1039</v>
      </c>
      <c r="D303" s="7">
        <v>302</v>
      </c>
      <c r="E303" s="7">
        <v>302</v>
      </c>
      <c r="F303" s="7">
        <v>302</v>
      </c>
      <c r="G303" s="11" t="s">
        <v>1020</v>
      </c>
      <c r="H303" s="20">
        <v>122426</v>
      </c>
      <c r="I303" s="12">
        <v>45674</v>
      </c>
      <c r="J303" s="12">
        <v>45825</v>
      </c>
      <c r="K303" s="25">
        <v>78487</v>
      </c>
      <c r="L303" s="23">
        <v>43939</v>
      </c>
      <c r="M303" s="30" t="s">
        <v>1052</v>
      </c>
      <c r="N303" s="30" t="s">
        <v>1055</v>
      </c>
    </row>
    <row r="304" spans="1:14" customFormat="1" x14ac:dyDescent="0.25">
      <c r="A304" s="7">
        <v>303</v>
      </c>
      <c r="B304" s="11" t="s">
        <v>319</v>
      </c>
      <c r="C304" s="7" t="s">
        <v>1039</v>
      </c>
      <c r="D304" s="7">
        <v>303</v>
      </c>
      <c r="E304" s="9">
        <v>303</v>
      </c>
      <c r="F304" s="7">
        <v>303</v>
      </c>
      <c r="G304" s="11" t="s">
        <v>1025</v>
      </c>
      <c r="H304" s="20">
        <v>488442</v>
      </c>
      <c r="I304" s="12">
        <v>45426</v>
      </c>
      <c r="J304" s="12">
        <v>45822</v>
      </c>
      <c r="K304" s="25">
        <v>342062</v>
      </c>
      <c r="L304" s="23">
        <v>146380</v>
      </c>
      <c r="M304" s="30" t="s">
        <v>1052</v>
      </c>
      <c r="N304" s="30" t="s">
        <v>1055</v>
      </c>
    </row>
    <row r="305" spans="1:14" customFormat="1" x14ac:dyDescent="0.25">
      <c r="A305" s="7">
        <v>304</v>
      </c>
      <c r="B305" s="11" t="s">
        <v>320</v>
      </c>
      <c r="C305" s="7" t="s">
        <v>1039</v>
      </c>
      <c r="D305" s="7">
        <v>304</v>
      </c>
      <c r="E305" s="7">
        <v>304</v>
      </c>
      <c r="F305" s="7">
        <v>304</v>
      </c>
      <c r="G305" s="11" t="s">
        <v>1020</v>
      </c>
      <c r="H305" s="20">
        <v>339400</v>
      </c>
      <c r="I305" s="12">
        <v>44486</v>
      </c>
      <c r="J305" s="12">
        <v>44547</v>
      </c>
      <c r="K305" s="25">
        <v>41526</v>
      </c>
      <c r="L305" s="23">
        <v>297874</v>
      </c>
      <c r="M305" s="30" t="s">
        <v>1052</v>
      </c>
      <c r="N305" s="30" t="s">
        <v>1055</v>
      </c>
    </row>
    <row r="306" spans="1:14" customFormat="1" x14ac:dyDescent="0.25">
      <c r="A306" s="7">
        <v>305</v>
      </c>
      <c r="B306" s="11" t="s">
        <v>321</v>
      </c>
      <c r="C306" s="7" t="s">
        <v>1039</v>
      </c>
      <c r="D306" s="7">
        <v>305</v>
      </c>
      <c r="E306" s="7">
        <v>305</v>
      </c>
      <c r="F306" s="7">
        <v>305</v>
      </c>
      <c r="G306" s="11" t="s">
        <v>1021</v>
      </c>
      <c r="H306" s="20">
        <v>33360</v>
      </c>
      <c r="I306" s="12">
        <v>45512</v>
      </c>
      <c r="J306" s="12">
        <v>46181</v>
      </c>
      <c r="K306" s="25">
        <v>3588</v>
      </c>
      <c r="L306" s="23">
        <v>29772</v>
      </c>
      <c r="M306" s="30" t="s">
        <v>1052</v>
      </c>
      <c r="N306" s="30" t="s">
        <v>1055</v>
      </c>
    </row>
    <row r="307" spans="1:14" customFormat="1" x14ac:dyDescent="0.25">
      <c r="A307" s="7">
        <v>306</v>
      </c>
      <c r="B307" s="11" t="s">
        <v>322</v>
      </c>
      <c r="C307" s="7" t="s">
        <v>1039</v>
      </c>
      <c r="D307" s="7">
        <v>306</v>
      </c>
      <c r="E307" s="9">
        <v>306</v>
      </c>
      <c r="F307" s="7">
        <v>306</v>
      </c>
      <c r="G307" s="11" t="s">
        <v>1022</v>
      </c>
      <c r="H307" s="20">
        <v>20653</v>
      </c>
      <c r="I307" s="12">
        <v>45194</v>
      </c>
      <c r="J307" s="12">
        <v>45498</v>
      </c>
      <c r="K307" s="25">
        <v>8217</v>
      </c>
      <c r="L307" s="23">
        <v>12436</v>
      </c>
      <c r="M307" s="30" t="s">
        <v>1052</v>
      </c>
      <c r="N307" s="30" t="s">
        <v>1055</v>
      </c>
    </row>
    <row r="308" spans="1:14" customFormat="1" x14ac:dyDescent="0.25">
      <c r="A308" s="7">
        <v>307</v>
      </c>
      <c r="B308" s="11" t="s">
        <v>323</v>
      </c>
      <c r="C308" s="7" t="s">
        <v>1039</v>
      </c>
      <c r="D308" s="7">
        <v>307</v>
      </c>
      <c r="E308" s="7">
        <v>307</v>
      </c>
      <c r="F308" s="7">
        <v>307</v>
      </c>
      <c r="G308" s="11" t="s">
        <v>1025</v>
      </c>
      <c r="H308" s="20">
        <v>323556</v>
      </c>
      <c r="I308" s="12">
        <v>45636</v>
      </c>
      <c r="J308" s="12">
        <v>45848</v>
      </c>
      <c r="K308" s="25">
        <v>278102</v>
      </c>
      <c r="L308" s="23">
        <v>45454</v>
      </c>
      <c r="M308" s="30" t="s">
        <v>1052</v>
      </c>
      <c r="N308" s="30" t="s">
        <v>1055</v>
      </c>
    </row>
    <row r="309" spans="1:14" customFormat="1" x14ac:dyDescent="0.25">
      <c r="A309" s="7">
        <v>308</v>
      </c>
      <c r="B309" s="11" t="s">
        <v>324</v>
      </c>
      <c r="C309" s="7" t="s">
        <v>1039</v>
      </c>
      <c r="D309" s="7">
        <v>308</v>
      </c>
      <c r="E309" s="7">
        <v>308</v>
      </c>
      <c r="F309" s="7">
        <v>308</v>
      </c>
      <c r="G309" s="11" t="s">
        <v>1020</v>
      </c>
      <c r="H309" s="20">
        <v>189371</v>
      </c>
      <c r="I309" s="12">
        <v>44442</v>
      </c>
      <c r="J309" s="12">
        <v>44654</v>
      </c>
      <c r="K309" s="25">
        <v>159990</v>
      </c>
      <c r="L309" s="23">
        <v>29381</v>
      </c>
      <c r="M309" s="30" t="s">
        <v>1052</v>
      </c>
      <c r="N309" s="30" t="s">
        <v>1055</v>
      </c>
    </row>
    <row r="310" spans="1:14" customFormat="1" x14ac:dyDescent="0.25">
      <c r="A310" s="7">
        <v>309</v>
      </c>
      <c r="B310" s="11" t="s">
        <v>325</v>
      </c>
      <c r="C310" s="7" t="s">
        <v>1039</v>
      </c>
      <c r="D310" s="7">
        <v>309</v>
      </c>
      <c r="E310" s="9">
        <v>309</v>
      </c>
      <c r="F310" s="7">
        <v>309</v>
      </c>
      <c r="G310" s="11" t="s">
        <v>1026</v>
      </c>
      <c r="H310" s="20">
        <v>1963813</v>
      </c>
      <c r="I310" s="12">
        <v>44506</v>
      </c>
      <c r="J310" s="12">
        <v>44840</v>
      </c>
      <c r="K310" s="25">
        <v>915142</v>
      </c>
      <c r="L310" s="23">
        <v>1048671</v>
      </c>
      <c r="M310" s="30" t="s">
        <v>1052</v>
      </c>
      <c r="N310" s="30" t="s">
        <v>1055</v>
      </c>
    </row>
    <row r="311" spans="1:14" customFormat="1" x14ac:dyDescent="0.25">
      <c r="A311" s="7">
        <v>310</v>
      </c>
      <c r="B311" s="11" t="s">
        <v>326</v>
      </c>
      <c r="C311" s="7" t="s">
        <v>1039</v>
      </c>
      <c r="D311" s="7">
        <v>310</v>
      </c>
      <c r="E311" s="7">
        <v>310</v>
      </c>
      <c r="F311" s="7">
        <v>310</v>
      </c>
      <c r="G311" s="11" t="s">
        <v>1025</v>
      </c>
      <c r="H311" s="20">
        <v>169252</v>
      </c>
      <c r="I311" s="12">
        <v>44206</v>
      </c>
      <c r="J311" s="12">
        <v>44752</v>
      </c>
      <c r="K311" s="25">
        <v>92569</v>
      </c>
      <c r="L311" s="23">
        <v>76683</v>
      </c>
      <c r="M311" s="30" t="s">
        <v>1052</v>
      </c>
      <c r="N311" s="30" t="s">
        <v>1055</v>
      </c>
    </row>
    <row r="312" spans="1:14" customFormat="1" x14ac:dyDescent="0.25">
      <c r="A312" s="7">
        <v>311</v>
      </c>
      <c r="B312" s="11" t="s">
        <v>327</v>
      </c>
      <c r="C312" s="7" t="s">
        <v>1039</v>
      </c>
      <c r="D312" s="7">
        <v>311</v>
      </c>
      <c r="E312" s="7">
        <v>311</v>
      </c>
      <c r="F312" s="7">
        <v>311</v>
      </c>
      <c r="G312" s="11" t="s">
        <v>1022</v>
      </c>
      <c r="H312" s="20">
        <v>28699</v>
      </c>
      <c r="I312" s="12">
        <v>45375</v>
      </c>
      <c r="J312" s="12">
        <v>45712</v>
      </c>
      <c r="K312" s="25">
        <v>15312</v>
      </c>
      <c r="L312" s="23">
        <v>13387</v>
      </c>
      <c r="M312" s="30" t="s">
        <v>1052</v>
      </c>
      <c r="N312" s="30" t="s">
        <v>1055</v>
      </c>
    </row>
    <row r="313" spans="1:14" customFormat="1" x14ac:dyDescent="0.25">
      <c r="A313" s="7">
        <v>312</v>
      </c>
      <c r="B313" s="11" t="s">
        <v>328</v>
      </c>
      <c r="C313" s="7" t="s">
        <v>1039</v>
      </c>
      <c r="D313" s="7">
        <v>312</v>
      </c>
      <c r="E313" s="9">
        <v>312</v>
      </c>
      <c r="F313" s="7">
        <v>312</v>
      </c>
      <c r="G313" s="11" t="s">
        <v>1024</v>
      </c>
      <c r="H313" s="20">
        <v>937837</v>
      </c>
      <c r="I313" s="12">
        <v>45232</v>
      </c>
      <c r="J313" s="12">
        <v>45902</v>
      </c>
      <c r="K313" s="25">
        <v>778325</v>
      </c>
      <c r="L313" s="23">
        <v>159512</v>
      </c>
      <c r="M313" s="30" t="s">
        <v>1052</v>
      </c>
      <c r="N313" s="30" t="s">
        <v>1055</v>
      </c>
    </row>
    <row r="314" spans="1:14" customFormat="1" x14ac:dyDescent="0.25">
      <c r="A314" s="7">
        <v>313</v>
      </c>
      <c r="B314" s="11" t="s">
        <v>329</v>
      </c>
      <c r="C314" s="7" t="s">
        <v>1039</v>
      </c>
      <c r="D314" s="7">
        <v>313</v>
      </c>
      <c r="E314" s="7">
        <v>313</v>
      </c>
      <c r="F314" s="7">
        <v>313</v>
      </c>
      <c r="G314" s="11" t="s">
        <v>1026</v>
      </c>
      <c r="H314" s="20">
        <v>1623753</v>
      </c>
      <c r="I314" s="12">
        <v>44928</v>
      </c>
      <c r="J314" s="12">
        <v>45140</v>
      </c>
      <c r="K314" s="25">
        <v>1325312</v>
      </c>
      <c r="L314" s="23">
        <v>298441</v>
      </c>
      <c r="M314" s="30" t="s">
        <v>1052</v>
      </c>
      <c r="N314" s="30" t="s">
        <v>1055</v>
      </c>
    </row>
    <row r="315" spans="1:14" customFormat="1" x14ac:dyDescent="0.25">
      <c r="A315" s="7">
        <v>314</v>
      </c>
      <c r="B315" s="11" t="s">
        <v>330</v>
      </c>
      <c r="C315" s="7" t="s">
        <v>1039</v>
      </c>
      <c r="D315" s="7">
        <v>314</v>
      </c>
      <c r="E315" s="7">
        <v>314</v>
      </c>
      <c r="F315" s="7">
        <v>314</v>
      </c>
      <c r="G315" s="11" t="s">
        <v>1021</v>
      </c>
      <c r="H315" s="20">
        <v>22962</v>
      </c>
      <c r="I315" s="12">
        <v>45194</v>
      </c>
      <c r="J315" s="12">
        <v>45925</v>
      </c>
      <c r="K315" s="25">
        <v>6084</v>
      </c>
      <c r="L315" s="23">
        <v>16878</v>
      </c>
      <c r="M315" s="30" t="s">
        <v>1052</v>
      </c>
      <c r="N315" s="30" t="s">
        <v>1055</v>
      </c>
    </row>
    <row r="316" spans="1:14" customFormat="1" x14ac:dyDescent="0.25">
      <c r="A316" s="7">
        <v>315</v>
      </c>
      <c r="B316" s="11" t="s">
        <v>331</v>
      </c>
      <c r="C316" s="7" t="s">
        <v>1039</v>
      </c>
      <c r="D316" s="7">
        <v>315</v>
      </c>
      <c r="E316" s="9">
        <v>315</v>
      </c>
      <c r="F316" s="7">
        <v>315</v>
      </c>
      <c r="G316" s="11" t="s">
        <v>1022</v>
      </c>
      <c r="H316" s="20">
        <v>17619</v>
      </c>
      <c r="I316" s="12">
        <v>44201</v>
      </c>
      <c r="J316" s="12">
        <v>44321</v>
      </c>
      <c r="K316" s="25">
        <v>10658</v>
      </c>
      <c r="L316" s="23">
        <v>6961</v>
      </c>
      <c r="M316" s="30" t="s">
        <v>1052</v>
      </c>
      <c r="N316" s="30" t="s">
        <v>1055</v>
      </c>
    </row>
    <row r="317" spans="1:14" customFormat="1" x14ac:dyDescent="0.25">
      <c r="A317" s="7">
        <v>316</v>
      </c>
      <c r="B317" s="11" t="s">
        <v>332</v>
      </c>
      <c r="C317" s="7" t="s">
        <v>1039</v>
      </c>
      <c r="D317" s="7">
        <v>316</v>
      </c>
      <c r="E317" s="7">
        <v>316</v>
      </c>
      <c r="F317" s="7">
        <v>316</v>
      </c>
      <c r="G317" s="11" t="s">
        <v>1021</v>
      </c>
      <c r="H317" s="20">
        <v>97290</v>
      </c>
      <c r="I317" s="12">
        <v>45670</v>
      </c>
      <c r="J317" s="12">
        <v>46035</v>
      </c>
      <c r="K317" s="25">
        <v>81830</v>
      </c>
      <c r="L317" s="23">
        <v>15460</v>
      </c>
      <c r="M317" s="30" t="s">
        <v>1052</v>
      </c>
      <c r="N317" s="30" t="s">
        <v>1055</v>
      </c>
    </row>
    <row r="318" spans="1:14" customFormat="1" x14ac:dyDescent="0.25">
      <c r="A318" s="7">
        <v>317</v>
      </c>
      <c r="B318" s="11" t="s">
        <v>333</v>
      </c>
      <c r="C318" s="7" t="s">
        <v>1039</v>
      </c>
      <c r="D318" s="7">
        <v>317</v>
      </c>
      <c r="E318" s="7">
        <v>317</v>
      </c>
      <c r="F318" s="7">
        <v>317</v>
      </c>
      <c r="G318" s="11" t="s">
        <v>1027</v>
      </c>
      <c r="H318" s="20">
        <v>53699</v>
      </c>
      <c r="I318" s="12">
        <v>44185</v>
      </c>
      <c r="J318" s="12">
        <v>44550</v>
      </c>
      <c r="K318" s="25">
        <v>1675</v>
      </c>
      <c r="L318" s="23">
        <v>52024</v>
      </c>
      <c r="M318" s="30" t="s">
        <v>1052</v>
      </c>
      <c r="N318" s="30" t="s">
        <v>1055</v>
      </c>
    </row>
    <row r="319" spans="1:14" customFormat="1" x14ac:dyDescent="0.25">
      <c r="A319" s="7">
        <v>318</v>
      </c>
      <c r="B319" s="11" t="s">
        <v>334</v>
      </c>
      <c r="C319" s="7" t="s">
        <v>1039</v>
      </c>
      <c r="D319" s="7">
        <v>318</v>
      </c>
      <c r="E319" s="9">
        <v>318</v>
      </c>
      <c r="F319" s="7">
        <v>318</v>
      </c>
      <c r="G319" s="11" t="s">
        <v>1027</v>
      </c>
      <c r="H319" s="20">
        <v>26892</v>
      </c>
      <c r="I319" s="12">
        <v>44496</v>
      </c>
      <c r="J319" s="12">
        <v>44892</v>
      </c>
      <c r="K319" s="25">
        <v>23445</v>
      </c>
      <c r="L319" s="23">
        <v>3447</v>
      </c>
      <c r="M319" s="30" t="s">
        <v>1052</v>
      </c>
      <c r="N319" s="30" t="s">
        <v>1055</v>
      </c>
    </row>
    <row r="320" spans="1:14" customFormat="1" x14ac:dyDescent="0.25">
      <c r="A320" s="7">
        <v>319</v>
      </c>
      <c r="B320" s="11" t="s">
        <v>335</v>
      </c>
      <c r="C320" s="7" t="s">
        <v>1039</v>
      </c>
      <c r="D320" s="7">
        <v>319</v>
      </c>
      <c r="E320" s="7">
        <v>319</v>
      </c>
      <c r="F320" s="7">
        <v>319</v>
      </c>
      <c r="G320" s="11" t="s">
        <v>1021</v>
      </c>
      <c r="H320" s="20">
        <v>47997</v>
      </c>
      <c r="I320" s="12">
        <v>44423</v>
      </c>
      <c r="J320" s="12">
        <v>45153</v>
      </c>
      <c r="K320" s="25">
        <v>32785</v>
      </c>
      <c r="L320" s="23">
        <v>15212</v>
      </c>
      <c r="M320" s="30" t="s">
        <v>1052</v>
      </c>
      <c r="N320" s="30" t="s">
        <v>1055</v>
      </c>
    </row>
    <row r="321" spans="1:14" customFormat="1" x14ac:dyDescent="0.25">
      <c r="A321" s="7">
        <v>320</v>
      </c>
      <c r="B321" s="11" t="s">
        <v>336</v>
      </c>
      <c r="C321" s="7" t="s">
        <v>1039</v>
      </c>
      <c r="D321" s="7">
        <v>320</v>
      </c>
      <c r="E321" s="7">
        <v>320</v>
      </c>
      <c r="F321" s="7">
        <v>320</v>
      </c>
      <c r="G321" s="11" t="s">
        <v>1023</v>
      </c>
      <c r="H321" s="20">
        <v>650</v>
      </c>
      <c r="I321" s="12">
        <v>45618</v>
      </c>
      <c r="J321" s="12">
        <v>46317</v>
      </c>
      <c r="K321" s="25">
        <v>483</v>
      </c>
      <c r="L321" s="23">
        <v>167</v>
      </c>
      <c r="M321" s="30" t="s">
        <v>1052</v>
      </c>
      <c r="N321" s="30" t="s">
        <v>1055</v>
      </c>
    </row>
    <row r="322" spans="1:14" customFormat="1" x14ac:dyDescent="0.25">
      <c r="A322" s="7">
        <v>321</v>
      </c>
      <c r="B322" s="11" t="s">
        <v>337</v>
      </c>
      <c r="C322" s="7" t="s">
        <v>1039</v>
      </c>
      <c r="D322" s="7">
        <v>321</v>
      </c>
      <c r="E322" s="9">
        <v>321</v>
      </c>
      <c r="F322" s="7">
        <v>321</v>
      </c>
      <c r="G322" s="11" t="s">
        <v>1016</v>
      </c>
      <c r="H322" s="20">
        <v>21649</v>
      </c>
      <c r="I322" s="12">
        <v>44835</v>
      </c>
      <c r="J322" s="12">
        <v>45017</v>
      </c>
      <c r="K322" s="25">
        <v>8833</v>
      </c>
      <c r="L322" s="23">
        <v>12816</v>
      </c>
      <c r="M322" s="30" t="s">
        <v>1052</v>
      </c>
      <c r="N322" s="30" t="s">
        <v>1055</v>
      </c>
    </row>
    <row r="323" spans="1:14" customFormat="1" x14ac:dyDescent="0.25">
      <c r="A323" s="7">
        <v>322</v>
      </c>
      <c r="B323" s="11" t="s">
        <v>338</v>
      </c>
      <c r="C323" s="7" t="s">
        <v>1039</v>
      </c>
      <c r="D323" s="7">
        <v>322</v>
      </c>
      <c r="E323" s="7">
        <v>322</v>
      </c>
      <c r="F323" s="7">
        <v>322</v>
      </c>
      <c r="G323" s="11" t="s">
        <v>1022</v>
      </c>
      <c r="H323" s="20">
        <v>6849</v>
      </c>
      <c r="I323" s="12">
        <v>45127</v>
      </c>
      <c r="J323" s="12">
        <v>45585</v>
      </c>
      <c r="K323" s="25">
        <v>3386</v>
      </c>
      <c r="L323" s="23">
        <v>3463</v>
      </c>
      <c r="M323" s="30" t="s">
        <v>1052</v>
      </c>
      <c r="N323" s="30" t="s">
        <v>1055</v>
      </c>
    </row>
    <row r="324" spans="1:14" customFormat="1" x14ac:dyDescent="0.25">
      <c r="A324" s="7">
        <v>323</v>
      </c>
      <c r="B324" s="11" t="s">
        <v>339</v>
      </c>
      <c r="C324" s="7" t="s">
        <v>1039</v>
      </c>
      <c r="D324" s="7">
        <v>323</v>
      </c>
      <c r="E324" s="7">
        <v>323</v>
      </c>
      <c r="F324" s="7">
        <v>323</v>
      </c>
      <c r="G324" s="11" t="s">
        <v>1023</v>
      </c>
      <c r="H324" s="20">
        <v>1264</v>
      </c>
      <c r="I324" s="12">
        <v>44739</v>
      </c>
      <c r="J324" s="12">
        <v>44861</v>
      </c>
      <c r="K324" s="25">
        <v>1078</v>
      </c>
      <c r="L324" s="23">
        <v>186</v>
      </c>
      <c r="M324" s="30" t="s">
        <v>1052</v>
      </c>
      <c r="N324" s="30" t="s">
        <v>1055</v>
      </c>
    </row>
    <row r="325" spans="1:14" customFormat="1" x14ac:dyDescent="0.25">
      <c r="A325" s="7">
        <v>324</v>
      </c>
      <c r="B325" s="11" t="s">
        <v>340</v>
      </c>
      <c r="C325" s="7" t="s">
        <v>1039</v>
      </c>
      <c r="D325" s="7">
        <v>324</v>
      </c>
      <c r="E325" s="9">
        <v>324</v>
      </c>
      <c r="F325" s="7">
        <v>324</v>
      </c>
      <c r="G325" s="11" t="s">
        <v>1022</v>
      </c>
      <c r="H325" s="20">
        <v>11723</v>
      </c>
      <c r="I325" s="12">
        <v>45465</v>
      </c>
      <c r="J325" s="12">
        <v>45679</v>
      </c>
      <c r="K325" s="25">
        <v>3036</v>
      </c>
      <c r="L325" s="23">
        <v>8687</v>
      </c>
      <c r="M325" s="30" t="s">
        <v>1052</v>
      </c>
      <c r="N325" s="30" t="s">
        <v>1055</v>
      </c>
    </row>
    <row r="326" spans="1:14" customFormat="1" x14ac:dyDescent="0.25">
      <c r="A326" s="7">
        <v>325</v>
      </c>
      <c r="B326" s="11" t="s">
        <v>341</v>
      </c>
      <c r="C326" s="7" t="s">
        <v>1039</v>
      </c>
      <c r="D326" s="7">
        <v>325</v>
      </c>
      <c r="E326" s="7">
        <v>325</v>
      </c>
      <c r="F326" s="7">
        <v>325</v>
      </c>
      <c r="G326" s="11" t="s">
        <v>1026</v>
      </c>
      <c r="H326" s="20">
        <v>3770688</v>
      </c>
      <c r="I326" s="12">
        <v>44716</v>
      </c>
      <c r="J326" s="12">
        <v>45173</v>
      </c>
      <c r="K326" s="25">
        <v>1658038</v>
      </c>
      <c r="L326" s="23">
        <v>2112650</v>
      </c>
      <c r="M326" s="30" t="s">
        <v>1052</v>
      </c>
      <c r="N326" s="30" t="s">
        <v>1055</v>
      </c>
    </row>
    <row r="327" spans="1:14" customFormat="1" x14ac:dyDescent="0.25">
      <c r="A327" s="7">
        <v>326</v>
      </c>
      <c r="B327" s="11" t="s">
        <v>342</v>
      </c>
      <c r="C327" s="7" t="s">
        <v>1039</v>
      </c>
      <c r="D327" s="7">
        <v>326</v>
      </c>
      <c r="E327" s="7">
        <v>326</v>
      </c>
      <c r="F327" s="7">
        <v>326</v>
      </c>
      <c r="G327" s="11" t="s">
        <v>1020</v>
      </c>
      <c r="H327" s="20">
        <v>256715</v>
      </c>
      <c r="I327" s="12">
        <v>44146</v>
      </c>
      <c r="J327" s="12">
        <v>44541</v>
      </c>
      <c r="K327" s="25">
        <v>177819</v>
      </c>
      <c r="L327" s="23">
        <v>78896</v>
      </c>
      <c r="M327" s="30" t="s">
        <v>1052</v>
      </c>
      <c r="N327" s="30" t="s">
        <v>1055</v>
      </c>
    </row>
    <row r="328" spans="1:14" customFormat="1" x14ac:dyDescent="0.25">
      <c r="A328" s="7">
        <v>327</v>
      </c>
      <c r="B328" s="11" t="s">
        <v>343</v>
      </c>
      <c r="C328" s="7" t="s">
        <v>1039</v>
      </c>
      <c r="D328" s="7">
        <v>327</v>
      </c>
      <c r="E328" s="9">
        <v>327</v>
      </c>
      <c r="F328" s="7">
        <v>327</v>
      </c>
      <c r="G328" s="11" t="s">
        <v>1024</v>
      </c>
      <c r="H328" s="20">
        <v>319887</v>
      </c>
      <c r="I328" s="12">
        <v>44265</v>
      </c>
      <c r="J328" s="12">
        <v>44905</v>
      </c>
      <c r="K328" s="25">
        <v>233556</v>
      </c>
      <c r="L328" s="23">
        <v>86331</v>
      </c>
      <c r="M328" s="30" t="s">
        <v>1052</v>
      </c>
      <c r="N328" s="30" t="s">
        <v>1055</v>
      </c>
    </row>
    <row r="329" spans="1:14" customFormat="1" x14ac:dyDescent="0.25">
      <c r="A329" s="7">
        <v>328</v>
      </c>
      <c r="B329" s="11" t="s">
        <v>344</v>
      </c>
      <c r="C329" s="7" t="s">
        <v>1039</v>
      </c>
      <c r="D329" s="7">
        <v>328</v>
      </c>
      <c r="E329" s="7">
        <v>328</v>
      </c>
      <c r="F329" s="7">
        <v>328</v>
      </c>
      <c r="G329" s="11" t="s">
        <v>1023</v>
      </c>
      <c r="H329" s="20">
        <v>1149</v>
      </c>
      <c r="I329" s="12">
        <v>44676</v>
      </c>
      <c r="J329" s="12">
        <v>44982</v>
      </c>
      <c r="K329" s="25">
        <v>181</v>
      </c>
      <c r="L329" s="23">
        <v>968</v>
      </c>
      <c r="M329" s="30" t="s">
        <v>1052</v>
      </c>
      <c r="N329" s="30" t="s">
        <v>1055</v>
      </c>
    </row>
    <row r="330" spans="1:14" customFormat="1" x14ac:dyDescent="0.25">
      <c r="A330" s="7">
        <v>329</v>
      </c>
      <c r="B330" s="11" t="s">
        <v>345</v>
      </c>
      <c r="C330" s="7" t="s">
        <v>1039</v>
      </c>
      <c r="D330" s="7">
        <v>329</v>
      </c>
      <c r="E330" s="7">
        <v>329</v>
      </c>
      <c r="F330" s="7">
        <v>329</v>
      </c>
      <c r="G330" s="11" t="s">
        <v>1024</v>
      </c>
      <c r="H330" s="20">
        <v>150391</v>
      </c>
      <c r="I330" s="12">
        <v>45475</v>
      </c>
      <c r="J330" s="12">
        <v>45749</v>
      </c>
      <c r="K330" s="25">
        <v>15318</v>
      </c>
      <c r="L330" s="23">
        <v>135073</v>
      </c>
      <c r="M330" s="30" t="s">
        <v>1052</v>
      </c>
      <c r="N330" s="30" t="s">
        <v>1055</v>
      </c>
    </row>
    <row r="331" spans="1:14" customFormat="1" x14ac:dyDescent="0.25">
      <c r="A331" s="7">
        <v>330</v>
      </c>
      <c r="B331" s="11" t="s">
        <v>346</v>
      </c>
      <c r="C331" s="7" t="s">
        <v>1039</v>
      </c>
      <c r="D331" s="7">
        <v>330</v>
      </c>
      <c r="E331" s="9">
        <v>330</v>
      </c>
      <c r="F331" s="7">
        <v>330</v>
      </c>
      <c r="G331" s="11" t="s">
        <v>1025</v>
      </c>
      <c r="H331" s="20">
        <v>93917</v>
      </c>
      <c r="I331" s="12">
        <v>45325</v>
      </c>
      <c r="J331" s="12">
        <v>45476</v>
      </c>
      <c r="K331" s="25">
        <v>3334</v>
      </c>
      <c r="L331" s="23">
        <v>90583</v>
      </c>
      <c r="M331" s="30" t="s">
        <v>1052</v>
      </c>
      <c r="N331" s="30" t="s">
        <v>1055</v>
      </c>
    </row>
    <row r="332" spans="1:14" customFormat="1" x14ac:dyDescent="0.25">
      <c r="A332" s="7">
        <v>331</v>
      </c>
      <c r="B332" s="11" t="s">
        <v>347</v>
      </c>
      <c r="C332" s="7" t="s">
        <v>1039</v>
      </c>
      <c r="D332" s="7">
        <v>331</v>
      </c>
      <c r="E332" s="7">
        <v>331</v>
      </c>
      <c r="F332" s="7">
        <v>331</v>
      </c>
      <c r="G332" s="11" t="s">
        <v>1025</v>
      </c>
      <c r="H332" s="20">
        <v>419652</v>
      </c>
      <c r="I332" s="12">
        <v>44122</v>
      </c>
      <c r="J332" s="12">
        <v>44304</v>
      </c>
      <c r="K332" s="25">
        <v>98180</v>
      </c>
      <c r="L332" s="23">
        <v>321472</v>
      </c>
      <c r="M332" s="30" t="s">
        <v>1052</v>
      </c>
      <c r="N332" s="30" t="s">
        <v>1055</v>
      </c>
    </row>
    <row r="333" spans="1:14" customFormat="1" x14ac:dyDescent="0.25">
      <c r="A333" s="7">
        <v>332</v>
      </c>
      <c r="B333" s="11" t="s">
        <v>348</v>
      </c>
      <c r="C333" s="7" t="s">
        <v>1039</v>
      </c>
      <c r="D333" s="7">
        <v>332</v>
      </c>
      <c r="E333" s="7">
        <v>332</v>
      </c>
      <c r="F333" s="7">
        <v>332</v>
      </c>
      <c r="G333" s="11" t="s">
        <v>1023</v>
      </c>
      <c r="H333" s="20">
        <v>1326</v>
      </c>
      <c r="I333" s="12">
        <v>44612</v>
      </c>
      <c r="J333" s="12">
        <v>44701</v>
      </c>
      <c r="K333" s="25">
        <v>951</v>
      </c>
      <c r="L333" s="23">
        <v>375</v>
      </c>
      <c r="M333" s="30" t="s">
        <v>1052</v>
      </c>
      <c r="N333" s="30" t="s">
        <v>1055</v>
      </c>
    </row>
    <row r="334" spans="1:14" customFormat="1" x14ac:dyDescent="0.25">
      <c r="A334" s="7">
        <v>333</v>
      </c>
      <c r="B334" s="11" t="s">
        <v>349</v>
      </c>
      <c r="C334" s="7" t="s">
        <v>1039</v>
      </c>
      <c r="D334" s="7">
        <v>333</v>
      </c>
      <c r="E334" s="9">
        <v>333</v>
      </c>
      <c r="F334" s="7">
        <v>333</v>
      </c>
      <c r="G334" s="11" t="s">
        <v>1026</v>
      </c>
      <c r="H334" s="20">
        <v>4529196</v>
      </c>
      <c r="I334" s="12">
        <v>44993</v>
      </c>
      <c r="J334" s="12">
        <v>45330</v>
      </c>
      <c r="K334" s="25">
        <v>2345535</v>
      </c>
      <c r="L334" s="23">
        <v>2183661</v>
      </c>
      <c r="M334" s="30" t="s">
        <v>1052</v>
      </c>
      <c r="N334" s="30" t="s">
        <v>1055</v>
      </c>
    </row>
    <row r="335" spans="1:14" customFormat="1" x14ac:dyDescent="0.25">
      <c r="A335" s="7">
        <v>334</v>
      </c>
      <c r="B335" s="11" t="s">
        <v>350</v>
      </c>
      <c r="C335" s="7" t="s">
        <v>1039</v>
      </c>
      <c r="D335" s="7">
        <v>334</v>
      </c>
      <c r="E335" s="7">
        <v>334</v>
      </c>
      <c r="F335" s="7">
        <v>334</v>
      </c>
      <c r="G335" s="11" t="s">
        <v>1021</v>
      </c>
      <c r="H335" s="20">
        <v>35814</v>
      </c>
      <c r="I335" s="12">
        <v>44444</v>
      </c>
      <c r="J335" s="12">
        <v>44839</v>
      </c>
      <c r="K335" s="25">
        <v>30405</v>
      </c>
      <c r="L335" s="23">
        <v>5409</v>
      </c>
      <c r="M335" s="30" t="s">
        <v>1052</v>
      </c>
      <c r="N335" s="30" t="s">
        <v>1055</v>
      </c>
    </row>
    <row r="336" spans="1:14" customFormat="1" x14ac:dyDescent="0.25">
      <c r="A336" s="7">
        <v>335</v>
      </c>
      <c r="B336" s="11" t="s">
        <v>351</v>
      </c>
      <c r="C336" s="7" t="s">
        <v>1039</v>
      </c>
      <c r="D336" s="7">
        <v>335</v>
      </c>
      <c r="E336" s="7">
        <v>335</v>
      </c>
      <c r="F336" s="7">
        <v>335</v>
      </c>
      <c r="G336" s="11" t="s">
        <v>1024</v>
      </c>
      <c r="H336" s="20">
        <v>567698</v>
      </c>
      <c r="I336" s="12">
        <v>44235</v>
      </c>
      <c r="J336" s="12">
        <v>44477</v>
      </c>
      <c r="K336" s="25">
        <v>27569</v>
      </c>
      <c r="L336" s="23">
        <v>540129</v>
      </c>
      <c r="M336" s="30" t="s">
        <v>1052</v>
      </c>
      <c r="N336" s="30" t="s">
        <v>1055</v>
      </c>
    </row>
    <row r="337" spans="1:14" customFormat="1" x14ac:dyDescent="0.25">
      <c r="A337" s="7">
        <v>336</v>
      </c>
      <c r="B337" s="11" t="s">
        <v>352</v>
      </c>
      <c r="C337" s="7" t="s">
        <v>1039</v>
      </c>
      <c r="D337" s="7">
        <v>336</v>
      </c>
      <c r="E337" s="9">
        <v>336</v>
      </c>
      <c r="F337" s="7">
        <v>336</v>
      </c>
      <c r="G337" s="11" t="s">
        <v>1026</v>
      </c>
      <c r="H337" s="20">
        <v>443094</v>
      </c>
      <c r="I337" s="12">
        <v>44325</v>
      </c>
      <c r="J337" s="12">
        <v>44539</v>
      </c>
      <c r="K337" s="25">
        <v>295325</v>
      </c>
      <c r="L337" s="23">
        <v>147769</v>
      </c>
      <c r="M337" s="30" t="s">
        <v>1052</v>
      </c>
      <c r="N337" s="30" t="s">
        <v>1055</v>
      </c>
    </row>
    <row r="338" spans="1:14" customFormat="1" x14ac:dyDescent="0.25">
      <c r="A338" s="7">
        <v>337</v>
      </c>
      <c r="B338" s="11" t="s">
        <v>353</v>
      </c>
      <c r="C338" s="7" t="s">
        <v>1039</v>
      </c>
      <c r="D338" s="7">
        <v>337</v>
      </c>
      <c r="E338" s="7">
        <v>337</v>
      </c>
      <c r="F338" s="7">
        <v>337</v>
      </c>
      <c r="G338" s="11" t="s">
        <v>1023</v>
      </c>
      <c r="H338" s="20">
        <v>514</v>
      </c>
      <c r="I338" s="12">
        <v>43998</v>
      </c>
      <c r="J338" s="12">
        <v>44608</v>
      </c>
      <c r="K338" s="25">
        <v>121</v>
      </c>
      <c r="L338" s="23">
        <v>393</v>
      </c>
      <c r="M338" s="30" t="s">
        <v>1052</v>
      </c>
      <c r="N338" s="30" t="s">
        <v>1055</v>
      </c>
    </row>
    <row r="339" spans="1:14" customFormat="1" x14ac:dyDescent="0.25">
      <c r="A339" s="7">
        <v>338</v>
      </c>
      <c r="B339" s="11" t="s">
        <v>354</v>
      </c>
      <c r="C339" s="7" t="s">
        <v>1039</v>
      </c>
      <c r="D339" s="7">
        <v>338</v>
      </c>
      <c r="E339" s="7">
        <v>338</v>
      </c>
      <c r="F339" s="7">
        <v>338</v>
      </c>
      <c r="G339" s="11" t="s">
        <v>1016</v>
      </c>
      <c r="H339" s="20">
        <v>27313</v>
      </c>
      <c r="I339" s="12">
        <v>45430</v>
      </c>
      <c r="J339" s="12">
        <v>45765</v>
      </c>
      <c r="K339" s="25">
        <v>7367</v>
      </c>
      <c r="L339" s="23">
        <v>19946</v>
      </c>
      <c r="M339" s="30" t="s">
        <v>1052</v>
      </c>
      <c r="N339" s="30" t="s">
        <v>1055</v>
      </c>
    </row>
    <row r="340" spans="1:14" customFormat="1" x14ac:dyDescent="0.25">
      <c r="A340" s="7">
        <v>339</v>
      </c>
      <c r="B340" s="11" t="s">
        <v>355</v>
      </c>
      <c r="C340" s="7" t="s">
        <v>1039</v>
      </c>
      <c r="D340" s="7">
        <v>339</v>
      </c>
      <c r="E340" s="9">
        <v>339</v>
      </c>
      <c r="F340" s="7">
        <v>339</v>
      </c>
      <c r="G340" s="11" t="s">
        <v>1027</v>
      </c>
      <c r="H340" s="20">
        <v>47487</v>
      </c>
      <c r="I340" s="12">
        <v>45551</v>
      </c>
      <c r="J340" s="12">
        <v>45581</v>
      </c>
      <c r="K340" s="25">
        <v>29087</v>
      </c>
      <c r="L340" s="23">
        <v>18400</v>
      </c>
      <c r="M340" s="30" t="s">
        <v>1052</v>
      </c>
      <c r="N340" s="30" t="s">
        <v>1055</v>
      </c>
    </row>
    <row r="341" spans="1:14" customFormat="1" x14ac:dyDescent="0.25">
      <c r="A341" s="7">
        <v>340</v>
      </c>
      <c r="B341" s="11" t="s">
        <v>356</v>
      </c>
      <c r="C341" s="7" t="s">
        <v>1039</v>
      </c>
      <c r="D341" s="7">
        <v>340</v>
      </c>
      <c r="E341" s="7">
        <v>340</v>
      </c>
      <c r="F341" s="7">
        <v>340</v>
      </c>
      <c r="G341" s="11" t="s">
        <v>1021</v>
      </c>
      <c r="H341" s="20">
        <v>1183</v>
      </c>
      <c r="I341" s="12">
        <v>43857</v>
      </c>
      <c r="J341" s="12">
        <v>44435</v>
      </c>
      <c r="K341" s="25">
        <v>569</v>
      </c>
      <c r="L341" s="23">
        <v>614</v>
      </c>
      <c r="M341" s="30" t="s">
        <v>1052</v>
      </c>
      <c r="N341" s="30" t="s">
        <v>1055</v>
      </c>
    </row>
    <row r="342" spans="1:14" customFormat="1" x14ac:dyDescent="0.25">
      <c r="A342" s="7">
        <v>341</v>
      </c>
      <c r="B342" s="11" t="s">
        <v>357</v>
      </c>
      <c r="C342" s="7" t="s">
        <v>1039</v>
      </c>
      <c r="D342" s="7">
        <v>341</v>
      </c>
      <c r="E342" s="7">
        <v>341</v>
      </c>
      <c r="F342" s="7">
        <v>341</v>
      </c>
      <c r="G342" s="11" t="s">
        <v>1021</v>
      </c>
      <c r="H342" s="20">
        <v>40185</v>
      </c>
      <c r="I342" s="12">
        <v>44571</v>
      </c>
      <c r="J342" s="12">
        <v>45270</v>
      </c>
      <c r="K342" s="25">
        <v>2115</v>
      </c>
      <c r="L342" s="23">
        <v>38070</v>
      </c>
      <c r="M342" s="30" t="s">
        <v>1052</v>
      </c>
      <c r="N342" s="30" t="s">
        <v>1055</v>
      </c>
    </row>
    <row r="343" spans="1:14" customFormat="1" x14ac:dyDescent="0.25">
      <c r="A343" s="7">
        <v>342</v>
      </c>
      <c r="B343" s="11" t="s">
        <v>358</v>
      </c>
      <c r="C343" s="7" t="s">
        <v>1039</v>
      </c>
      <c r="D343" s="7">
        <v>342</v>
      </c>
      <c r="E343" s="9">
        <v>342</v>
      </c>
      <c r="F343" s="7">
        <v>342</v>
      </c>
      <c r="G343" s="11" t="s">
        <v>1027</v>
      </c>
      <c r="H343" s="20">
        <v>36406</v>
      </c>
      <c r="I343" s="12">
        <v>44505</v>
      </c>
      <c r="J343" s="12">
        <v>44625</v>
      </c>
      <c r="K343" s="25">
        <v>35178</v>
      </c>
      <c r="L343" s="23">
        <v>1228</v>
      </c>
      <c r="M343" s="30" t="s">
        <v>1052</v>
      </c>
      <c r="N343" s="30" t="s">
        <v>1055</v>
      </c>
    </row>
    <row r="344" spans="1:14" customFormat="1" x14ac:dyDescent="0.25">
      <c r="A344" s="7">
        <v>343</v>
      </c>
      <c r="B344" s="11" t="s">
        <v>359</v>
      </c>
      <c r="C344" s="7" t="s">
        <v>1039</v>
      </c>
      <c r="D344" s="7">
        <v>343</v>
      </c>
      <c r="E344" s="7">
        <v>343</v>
      </c>
      <c r="F344" s="7">
        <v>343</v>
      </c>
      <c r="G344" s="11" t="s">
        <v>1016</v>
      </c>
      <c r="H344" s="20">
        <v>27407</v>
      </c>
      <c r="I344" s="12">
        <v>45514</v>
      </c>
      <c r="J344" s="12">
        <v>46063</v>
      </c>
      <c r="K344" s="25">
        <v>1725</v>
      </c>
      <c r="L344" s="23">
        <v>25682</v>
      </c>
      <c r="M344" s="30" t="s">
        <v>1052</v>
      </c>
      <c r="N344" s="30" t="s">
        <v>1055</v>
      </c>
    </row>
    <row r="345" spans="1:14" customFormat="1" x14ac:dyDescent="0.25">
      <c r="A345" s="7">
        <v>344</v>
      </c>
      <c r="B345" s="11" t="s">
        <v>360</v>
      </c>
      <c r="C345" s="7" t="s">
        <v>1039</v>
      </c>
      <c r="D345" s="7">
        <v>344</v>
      </c>
      <c r="E345" s="7">
        <v>344</v>
      </c>
      <c r="F345" s="7">
        <v>344</v>
      </c>
      <c r="G345" s="11" t="s">
        <v>1016</v>
      </c>
      <c r="H345" s="20">
        <v>39751</v>
      </c>
      <c r="I345" s="12">
        <v>43982</v>
      </c>
      <c r="J345" s="12">
        <v>44135</v>
      </c>
      <c r="K345" s="25">
        <v>38768</v>
      </c>
      <c r="L345" s="23">
        <v>983</v>
      </c>
      <c r="M345" s="30" t="s">
        <v>1052</v>
      </c>
      <c r="N345" s="30" t="s">
        <v>1055</v>
      </c>
    </row>
    <row r="346" spans="1:14" customFormat="1" x14ac:dyDescent="0.25">
      <c r="A346" s="7">
        <v>345</v>
      </c>
      <c r="B346" s="11" t="s">
        <v>361</v>
      </c>
      <c r="C346" s="7" t="s">
        <v>1039</v>
      </c>
      <c r="D346" s="7">
        <v>345</v>
      </c>
      <c r="E346" s="9">
        <v>345</v>
      </c>
      <c r="F346" s="7">
        <v>345</v>
      </c>
      <c r="G346" s="11" t="s">
        <v>1025</v>
      </c>
      <c r="H346" s="20">
        <v>298469</v>
      </c>
      <c r="I346" s="12">
        <v>45278</v>
      </c>
      <c r="J346" s="12">
        <v>45918</v>
      </c>
      <c r="K346" s="25">
        <v>117989</v>
      </c>
      <c r="L346" s="23">
        <v>180480</v>
      </c>
      <c r="M346" s="30" t="s">
        <v>1052</v>
      </c>
      <c r="N346" s="30" t="s">
        <v>1055</v>
      </c>
    </row>
    <row r="347" spans="1:14" customFormat="1" x14ac:dyDescent="0.25">
      <c r="A347" s="7">
        <v>346</v>
      </c>
      <c r="B347" s="11" t="s">
        <v>362</v>
      </c>
      <c r="C347" s="7" t="s">
        <v>1039</v>
      </c>
      <c r="D347" s="7">
        <v>346</v>
      </c>
      <c r="E347" s="7">
        <v>346</v>
      </c>
      <c r="F347" s="7">
        <v>346</v>
      </c>
      <c r="G347" s="11" t="s">
        <v>1023</v>
      </c>
      <c r="H347" s="20">
        <v>191</v>
      </c>
      <c r="I347" s="12">
        <v>43986</v>
      </c>
      <c r="J347" s="12">
        <v>44624</v>
      </c>
      <c r="K347" s="25">
        <v>34</v>
      </c>
      <c r="L347" s="23">
        <v>157</v>
      </c>
      <c r="M347" s="30" t="s">
        <v>1052</v>
      </c>
      <c r="N347" s="30" t="s">
        <v>1055</v>
      </c>
    </row>
    <row r="348" spans="1:14" customFormat="1" x14ac:dyDescent="0.25">
      <c r="A348" s="7">
        <v>347</v>
      </c>
      <c r="B348" s="11" t="s">
        <v>363</v>
      </c>
      <c r="C348" s="7" t="s">
        <v>1039</v>
      </c>
      <c r="D348" s="7">
        <v>347</v>
      </c>
      <c r="E348" s="7">
        <v>347</v>
      </c>
      <c r="F348" s="7">
        <v>347</v>
      </c>
      <c r="G348" s="11" t="s">
        <v>1026</v>
      </c>
      <c r="H348" s="20">
        <v>3093237</v>
      </c>
      <c r="I348" s="12">
        <v>43895</v>
      </c>
      <c r="J348" s="12">
        <v>44535</v>
      </c>
      <c r="K348" s="25">
        <v>1410699</v>
      </c>
      <c r="L348" s="23">
        <v>1682538</v>
      </c>
      <c r="M348" s="30" t="s">
        <v>1052</v>
      </c>
      <c r="N348" s="30" t="s">
        <v>1055</v>
      </c>
    </row>
    <row r="349" spans="1:14" customFormat="1" x14ac:dyDescent="0.25">
      <c r="A349" s="7">
        <v>348</v>
      </c>
      <c r="B349" s="11" t="s">
        <v>364</v>
      </c>
      <c r="C349" s="7" t="s">
        <v>1039</v>
      </c>
      <c r="D349" s="7">
        <v>348</v>
      </c>
      <c r="E349" s="9">
        <v>348</v>
      </c>
      <c r="F349" s="7">
        <v>348</v>
      </c>
      <c r="G349" s="11" t="s">
        <v>1026</v>
      </c>
      <c r="H349" s="20">
        <v>3897092</v>
      </c>
      <c r="I349" s="12">
        <v>44769</v>
      </c>
      <c r="J349" s="12">
        <v>45073</v>
      </c>
      <c r="K349" s="25">
        <v>1257788</v>
      </c>
      <c r="L349" s="23">
        <v>2639304</v>
      </c>
      <c r="M349" s="30" t="s">
        <v>1052</v>
      </c>
      <c r="N349" s="30" t="s">
        <v>1055</v>
      </c>
    </row>
    <row r="350" spans="1:14" customFormat="1" x14ac:dyDescent="0.25">
      <c r="A350" s="7">
        <v>349</v>
      </c>
      <c r="B350" s="11" t="s">
        <v>365</v>
      </c>
      <c r="C350" s="7" t="s">
        <v>1039</v>
      </c>
      <c r="D350" s="7">
        <v>349</v>
      </c>
      <c r="E350" s="7">
        <v>349</v>
      </c>
      <c r="F350" s="7">
        <v>349</v>
      </c>
      <c r="G350" s="11" t="s">
        <v>1026</v>
      </c>
      <c r="H350" s="20">
        <v>4336209</v>
      </c>
      <c r="I350" s="12">
        <v>45559</v>
      </c>
      <c r="J350" s="12">
        <v>45954</v>
      </c>
      <c r="K350" s="25">
        <v>3101201</v>
      </c>
      <c r="L350" s="23">
        <v>1235008</v>
      </c>
      <c r="M350" s="30" t="s">
        <v>1052</v>
      </c>
      <c r="N350" s="30" t="s">
        <v>1055</v>
      </c>
    </row>
    <row r="351" spans="1:14" customFormat="1" x14ac:dyDescent="0.25">
      <c r="A351" s="7">
        <v>350</v>
      </c>
      <c r="B351" s="11" t="s">
        <v>366</v>
      </c>
      <c r="C351" s="7" t="s">
        <v>1039</v>
      </c>
      <c r="D351" s="7">
        <v>350</v>
      </c>
      <c r="E351" s="7">
        <v>350</v>
      </c>
      <c r="F351" s="7">
        <v>350</v>
      </c>
      <c r="G351" s="11" t="s">
        <v>1026</v>
      </c>
      <c r="H351" s="20">
        <v>2473551</v>
      </c>
      <c r="I351" s="12">
        <v>43939</v>
      </c>
      <c r="J351" s="12">
        <v>44214</v>
      </c>
      <c r="K351" s="25">
        <v>960542</v>
      </c>
      <c r="L351" s="23">
        <v>1513009</v>
      </c>
      <c r="M351" s="30" t="s">
        <v>1052</v>
      </c>
      <c r="N351" s="30" t="s">
        <v>1055</v>
      </c>
    </row>
    <row r="352" spans="1:14" customFormat="1" x14ac:dyDescent="0.25">
      <c r="A352" s="7">
        <v>351</v>
      </c>
      <c r="B352" s="11" t="s">
        <v>367</v>
      </c>
      <c r="C352" s="7" t="s">
        <v>1039</v>
      </c>
      <c r="D352" s="7">
        <v>351</v>
      </c>
      <c r="E352" s="9">
        <v>351</v>
      </c>
      <c r="F352" s="7">
        <v>351</v>
      </c>
      <c r="G352" s="11" t="s">
        <v>1016</v>
      </c>
      <c r="H352" s="20">
        <v>39253</v>
      </c>
      <c r="I352" s="12">
        <v>44768</v>
      </c>
      <c r="J352" s="12">
        <v>44860</v>
      </c>
      <c r="K352" s="25">
        <v>7461</v>
      </c>
      <c r="L352" s="23">
        <v>31792</v>
      </c>
      <c r="M352" s="30" t="s">
        <v>1052</v>
      </c>
      <c r="N352" s="30" t="s">
        <v>1055</v>
      </c>
    </row>
    <row r="353" spans="1:14" customFormat="1" x14ac:dyDescent="0.25">
      <c r="A353" s="7">
        <v>352</v>
      </c>
      <c r="B353" s="11" t="s">
        <v>368</v>
      </c>
      <c r="C353" s="7" t="s">
        <v>1039</v>
      </c>
      <c r="D353" s="7">
        <v>352</v>
      </c>
      <c r="E353" s="7">
        <v>352</v>
      </c>
      <c r="F353" s="7">
        <v>352</v>
      </c>
      <c r="G353" s="11" t="s">
        <v>1026</v>
      </c>
      <c r="H353" s="20">
        <v>1883271</v>
      </c>
      <c r="I353" s="12">
        <v>44834</v>
      </c>
      <c r="J353" s="12">
        <v>45442</v>
      </c>
      <c r="K353" s="25">
        <v>1742546</v>
      </c>
      <c r="L353" s="23">
        <v>140725</v>
      </c>
      <c r="M353" s="30" t="s">
        <v>1052</v>
      </c>
      <c r="N353" s="30" t="s">
        <v>1055</v>
      </c>
    </row>
    <row r="354" spans="1:14" customFormat="1" x14ac:dyDescent="0.25">
      <c r="A354" s="7">
        <v>353</v>
      </c>
      <c r="B354" s="11" t="s">
        <v>369</v>
      </c>
      <c r="C354" s="7" t="s">
        <v>1039</v>
      </c>
      <c r="D354" s="7">
        <v>353</v>
      </c>
      <c r="E354" s="7">
        <v>353</v>
      </c>
      <c r="F354" s="7">
        <v>353</v>
      </c>
      <c r="G354" s="11" t="s">
        <v>1025</v>
      </c>
      <c r="H354" s="20">
        <v>80949</v>
      </c>
      <c r="I354" s="12">
        <v>44807</v>
      </c>
      <c r="J354" s="12">
        <v>45294</v>
      </c>
      <c r="K354" s="25">
        <v>360</v>
      </c>
      <c r="L354" s="23">
        <v>80589</v>
      </c>
      <c r="M354" s="30" t="s">
        <v>1052</v>
      </c>
      <c r="N354" s="30" t="s">
        <v>1055</v>
      </c>
    </row>
    <row r="355" spans="1:14" customFormat="1" x14ac:dyDescent="0.25">
      <c r="A355" s="7">
        <v>354</v>
      </c>
      <c r="B355" s="11" t="s">
        <v>370</v>
      </c>
      <c r="C355" s="7" t="s">
        <v>1039</v>
      </c>
      <c r="D355" s="7">
        <v>354</v>
      </c>
      <c r="E355" s="9">
        <v>354</v>
      </c>
      <c r="F355" s="7">
        <v>354</v>
      </c>
      <c r="G355" s="11" t="s">
        <v>1025</v>
      </c>
      <c r="H355" s="20">
        <v>240403</v>
      </c>
      <c r="I355" s="12">
        <v>43860</v>
      </c>
      <c r="J355" s="12">
        <v>44499</v>
      </c>
      <c r="K355" s="25">
        <v>160711</v>
      </c>
      <c r="L355" s="23">
        <v>79692</v>
      </c>
      <c r="M355" s="30" t="s">
        <v>1052</v>
      </c>
      <c r="N355" s="30" t="s">
        <v>1055</v>
      </c>
    </row>
    <row r="356" spans="1:14" customFormat="1" x14ac:dyDescent="0.25">
      <c r="A356" s="7">
        <v>355</v>
      </c>
      <c r="B356" s="11" t="s">
        <v>371</v>
      </c>
      <c r="C356" s="7" t="s">
        <v>1039</v>
      </c>
      <c r="D356" s="7">
        <v>355</v>
      </c>
      <c r="E356" s="7">
        <v>355</v>
      </c>
      <c r="F356" s="7">
        <v>355</v>
      </c>
      <c r="G356" s="11" t="s">
        <v>1023</v>
      </c>
      <c r="H356" s="20">
        <v>74</v>
      </c>
      <c r="I356" s="12">
        <v>44491</v>
      </c>
      <c r="J356" s="12">
        <v>44948</v>
      </c>
      <c r="K356" s="25">
        <v>44</v>
      </c>
      <c r="L356" s="23">
        <v>30</v>
      </c>
      <c r="M356" s="30" t="s">
        <v>1052</v>
      </c>
      <c r="N356" s="30" t="s">
        <v>1055</v>
      </c>
    </row>
    <row r="357" spans="1:14" customFormat="1" x14ac:dyDescent="0.25">
      <c r="A357" s="7">
        <v>356</v>
      </c>
      <c r="B357" s="11" t="s">
        <v>372</v>
      </c>
      <c r="C357" s="7" t="s">
        <v>1039</v>
      </c>
      <c r="D357" s="7">
        <v>356</v>
      </c>
      <c r="E357" s="7">
        <v>356</v>
      </c>
      <c r="F357" s="7">
        <v>356</v>
      </c>
      <c r="G357" s="11" t="s">
        <v>1026</v>
      </c>
      <c r="H357" s="20">
        <v>448853</v>
      </c>
      <c r="I357" s="12">
        <v>44355</v>
      </c>
      <c r="J357" s="12">
        <v>44781</v>
      </c>
      <c r="K357" s="25">
        <v>443983</v>
      </c>
      <c r="L357" s="23">
        <v>4870</v>
      </c>
      <c r="M357" s="30" t="s">
        <v>1052</v>
      </c>
      <c r="N357" s="30" t="s">
        <v>1055</v>
      </c>
    </row>
    <row r="358" spans="1:14" customFormat="1" x14ac:dyDescent="0.25">
      <c r="A358" s="7">
        <v>357</v>
      </c>
      <c r="B358" s="11" t="s">
        <v>373</v>
      </c>
      <c r="C358" s="7" t="s">
        <v>1039</v>
      </c>
      <c r="D358" s="7">
        <v>357</v>
      </c>
      <c r="E358" s="9">
        <v>357</v>
      </c>
      <c r="F358" s="7">
        <v>357</v>
      </c>
      <c r="G358" s="11" t="s">
        <v>1024</v>
      </c>
      <c r="H358" s="20">
        <v>186053</v>
      </c>
      <c r="I358" s="12">
        <v>44310</v>
      </c>
      <c r="J358" s="12">
        <v>45009</v>
      </c>
      <c r="K358" s="25">
        <v>164816</v>
      </c>
      <c r="L358" s="23">
        <v>21237</v>
      </c>
      <c r="M358" s="30" t="s">
        <v>1052</v>
      </c>
      <c r="N358" s="30" t="s">
        <v>1055</v>
      </c>
    </row>
    <row r="359" spans="1:14" customFormat="1" x14ac:dyDescent="0.25">
      <c r="A359" s="7">
        <v>358</v>
      </c>
      <c r="B359" s="11" t="s">
        <v>374</v>
      </c>
      <c r="C359" s="7" t="s">
        <v>1039</v>
      </c>
      <c r="D359" s="7">
        <v>358</v>
      </c>
      <c r="E359" s="7">
        <v>358</v>
      </c>
      <c r="F359" s="7">
        <v>358</v>
      </c>
      <c r="G359" s="11" t="s">
        <v>1022</v>
      </c>
      <c r="H359" s="20">
        <v>7863</v>
      </c>
      <c r="I359" s="12">
        <v>44613</v>
      </c>
      <c r="J359" s="12">
        <v>45159</v>
      </c>
      <c r="K359" s="25">
        <v>5171</v>
      </c>
      <c r="L359" s="23">
        <v>2692</v>
      </c>
      <c r="M359" s="30" t="s">
        <v>1052</v>
      </c>
      <c r="N359" s="30" t="s">
        <v>1055</v>
      </c>
    </row>
    <row r="360" spans="1:14" customFormat="1" x14ac:dyDescent="0.25">
      <c r="A360" s="7">
        <v>359</v>
      </c>
      <c r="B360" s="11" t="s">
        <v>375</v>
      </c>
      <c r="C360" s="7" t="s">
        <v>1039</v>
      </c>
      <c r="D360" s="7">
        <v>359</v>
      </c>
      <c r="E360" s="7">
        <v>359</v>
      </c>
      <c r="F360" s="7">
        <v>359</v>
      </c>
      <c r="G360" s="11" t="s">
        <v>1022</v>
      </c>
      <c r="H360" s="20">
        <v>26410</v>
      </c>
      <c r="I360" s="12">
        <v>43911</v>
      </c>
      <c r="J360" s="12">
        <v>44582</v>
      </c>
      <c r="K360" s="25">
        <v>9879</v>
      </c>
      <c r="L360" s="23">
        <v>16531</v>
      </c>
      <c r="M360" s="30" t="s">
        <v>1052</v>
      </c>
      <c r="N360" s="30" t="s">
        <v>1055</v>
      </c>
    </row>
    <row r="361" spans="1:14" customFormat="1" x14ac:dyDescent="0.25">
      <c r="A361" s="7">
        <v>360</v>
      </c>
      <c r="B361" s="11" t="s">
        <v>376</v>
      </c>
      <c r="C361" s="7" t="s">
        <v>1039</v>
      </c>
      <c r="D361" s="7">
        <v>360</v>
      </c>
      <c r="E361" s="9">
        <v>360</v>
      </c>
      <c r="F361" s="7">
        <v>360</v>
      </c>
      <c r="G361" s="11" t="s">
        <v>1022</v>
      </c>
      <c r="H361" s="20">
        <v>27720</v>
      </c>
      <c r="I361" s="12">
        <v>45075</v>
      </c>
      <c r="J361" s="12">
        <v>45441</v>
      </c>
      <c r="K361" s="25">
        <v>12469</v>
      </c>
      <c r="L361" s="23">
        <v>15251</v>
      </c>
      <c r="M361" s="30" t="s">
        <v>1052</v>
      </c>
      <c r="N361" s="30" t="s">
        <v>1055</v>
      </c>
    </row>
    <row r="362" spans="1:14" customFormat="1" x14ac:dyDescent="0.25">
      <c r="A362" s="7">
        <v>361</v>
      </c>
      <c r="B362" s="11" t="s">
        <v>377</v>
      </c>
      <c r="C362" s="7" t="s">
        <v>1039</v>
      </c>
      <c r="D362" s="7">
        <v>361</v>
      </c>
      <c r="E362" s="7">
        <v>361</v>
      </c>
      <c r="F362" s="7">
        <v>361</v>
      </c>
      <c r="G362" s="11" t="s">
        <v>1024</v>
      </c>
      <c r="H362" s="20">
        <v>924744</v>
      </c>
      <c r="I362" s="12">
        <v>44659</v>
      </c>
      <c r="J362" s="12">
        <v>44873</v>
      </c>
      <c r="K362" s="25">
        <v>51602</v>
      </c>
      <c r="L362" s="23">
        <v>873142</v>
      </c>
      <c r="M362" s="30" t="s">
        <v>1052</v>
      </c>
      <c r="N362" s="30" t="s">
        <v>1055</v>
      </c>
    </row>
    <row r="363" spans="1:14" customFormat="1" x14ac:dyDescent="0.25">
      <c r="A363" s="7">
        <v>362</v>
      </c>
      <c r="B363" s="11" t="s">
        <v>378</v>
      </c>
      <c r="C363" s="7" t="s">
        <v>1039</v>
      </c>
      <c r="D363" s="7">
        <v>362</v>
      </c>
      <c r="E363" s="7">
        <v>362</v>
      </c>
      <c r="F363" s="7">
        <v>362</v>
      </c>
      <c r="G363" s="11" t="s">
        <v>1016</v>
      </c>
      <c r="H363" s="20">
        <v>30124</v>
      </c>
      <c r="I363" s="12">
        <v>44244</v>
      </c>
      <c r="J363" s="12">
        <v>44609</v>
      </c>
      <c r="K363" s="25">
        <v>21563</v>
      </c>
      <c r="L363" s="23">
        <v>8561</v>
      </c>
      <c r="M363" s="30" t="s">
        <v>1052</v>
      </c>
      <c r="N363" s="30" t="s">
        <v>1055</v>
      </c>
    </row>
    <row r="364" spans="1:14" customFormat="1" x14ac:dyDescent="0.25">
      <c r="A364" s="7">
        <v>363</v>
      </c>
      <c r="B364" s="11" t="s">
        <v>379</v>
      </c>
      <c r="C364" s="7" t="s">
        <v>1039</v>
      </c>
      <c r="D364" s="7">
        <v>363</v>
      </c>
      <c r="E364" s="9">
        <v>363</v>
      </c>
      <c r="F364" s="7">
        <v>363</v>
      </c>
      <c r="G364" s="11" t="s">
        <v>1027</v>
      </c>
      <c r="H364" s="20">
        <v>37387</v>
      </c>
      <c r="I364" s="12">
        <v>44344</v>
      </c>
      <c r="J364" s="12">
        <v>44679</v>
      </c>
      <c r="K364" s="25">
        <v>34731</v>
      </c>
      <c r="L364" s="23">
        <v>2656</v>
      </c>
      <c r="M364" s="30" t="s">
        <v>1052</v>
      </c>
      <c r="N364" s="30" t="s">
        <v>1055</v>
      </c>
    </row>
    <row r="365" spans="1:14" customFormat="1" x14ac:dyDescent="0.25">
      <c r="A365" s="7">
        <v>364</v>
      </c>
      <c r="B365" s="11" t="s">
        <v>380</v>
      </c>
      <c r="C365" s="7" t="s">
        <v>1039</v>
      </c>
      <c r="D365" s="7">
        <v>364</v>
      </c>
      <c r="E365" s="7">
        <v>364</v>
      </c>
      <c r="F365" s="7">
        <v>364</v>
      </c>
      <c r="G365" s="11" t="s">
        <v>1024</v>
      </c>
      <c r="H365" s="20">
        <v>235995</v>
      </c>
      <c r="I365" s="12">
        <v>44990</v>
      </c>
      <c r="J365" s="12">
        <v>45082</v>
      </c>
      <c r="K365" s="25">
        <v>95051</v>
      </c>
      <c r="L365" s="23">
        <v>140944</v>
      </c>
      <c r="M365" s="30" t="s">
        <v>1052</v>
      </c>
      <c r="N365" s="30" t="s">
        <v>1055</v>
      </c>
    </row>
    <row r="366" spans="1:14" customFormat="1" x14ac:dyDescent="0.25">
      <c r="A366" s="7">
        <v>365</v>
      </c>
      <c r="B366" s="11" t="s">
        <v>381</v>
      </c>
      <c r="C366" s="7" t="s">
        <v>1039</v>
      </c>
      <c r="D366" s="7">
        <v>365</v>
      </c>
      <c r="E366" s="7">
        <v>365</v>
      </c>
      <c r="F366" s="7">
        <v>365</v>
      </c>
      <c r="G366" s="11" t="s">
        <v>1022</v>
      </c>
      <c r="H366" s="20">
        <v>7222</v>
      </c>
      <c r="I366" s="12">
        <v>44481</v>
      </c>
      <c r="J366" s="12">
        <v>44693</v>
      </c>
      <c r="K366" s="25">
        <v>5434</v>
      </c>
      <c r="L366" s="23">
        <v>1788</v>
      </c>
      <c r="M366" s="30" t="s">
        <v>1052</v>
      </c>
      <c r="N366" s="30" t="s">
        <v>1055</v>
      </c>
    </row>
    <row r="367" spans="1:14" customFormat="1" x14ac:dyDescent="0.25">
      <c r="A367" s="7">
        <v>366</v>
      </c>
      <c r="B367" s="11" t="s">
        <v>382</v>
      </c>
      <c r="C367" s="7" t="s">
        <v>1039</v>
      </c>
      <c r="D367" s="7">
        <v>366</v>
      </c>
      <c r="E367" s="9">
        <v>366</v>
      </c>
      <c r="F367" s="7">
        <v>366</v>
      </c>
      <c r="G367" s="11" t="s">
        <v>1021</v>
      </c>
      <c r="H367" s="20">
        <v>59420</v>
      </c>
      <c r="I367" s="12">
        <v>44390</v>
      </c>
      <c r="J367" s="12">
        <v>44633</v>
      </c>
      <c r="K367" s="25">
        <v>15703</v>
      </c>
      <c r="L367" s="23">
        <v>43717</v>
      </c>
      <c r="M367" s="30" t="s">
        <v>1052</v>
      </c>
      <c r="N367" s="30" t="s">
        <v>1055</v>
      </c>
    </row>
    <row r="368" spans="1:14" customFormat="1" x14ac:dyDescent="0.25">
      <c r="A368" s="7">
        <v>367</v>
      </c>
      <c r="B368" s="11" t="s">
        <v>383</v>
      </c>
      <c r="C368" s="7" t="s">
        <v>1039</v>
      </c>
      <c r="D368" s="7">
        <v>367</v>
      </c>
      <c r="E368" s="7">
        <v>367</v>
      </c>
      <c r="F368" s="7">
        <v>367</v>
      </c>
      <c r="G368" s="11" t="s">
        <v>1024</v>
      </c>
      <c r="H368" s="20">
        <v>400293</v>
      </c>
      <c r="I368" s="12">
        <v>45122</v>
      </c>
      <c r="J368" s="12">
        <v>45853</v>
      </c>
      <c r="K368" s="25">
        <v>356513</v>
      </c>
      <c r="L368" s="23">
        <v>43780</v>
      </c>
      <c r="M368" s="30" t="s">
        <v>1052</v>
      </c>
      <c r="N368" s="30" t="s">
        <v>1055</v>
      </c>
    </row>
    <row r="369" spans="1:14" customFormat="1" x14ac:dyDescent="0.25">
      <c r="A369" s="7">
        <v>368</v>
      </c>
      <c r="B369" s="11" t="s">
        <v>384</v>
      </c>
      <c r="C369" s="7" t="s">
        <v>1039</v>
      </c>
      <c r="D369" s="7">
        <v>368</v>
      </c>
      <c r="E369" s="7">
        <v>368</v>
      </c>
      <c r="F369" s="7">
        <v>368</v>
      </c>
      <c r="G369" s="11" t="s">
        <v>1021</v>
      </c>
      <c r="H369" s="20">
        <v>98819</v>
      </c>
      <c r="I369" s="12">
        <v>44822</v>
      </c>
      <c r="J369" s="12">
        <v>45309</v>
      </c>
      <c r="K369" s="25">
        <v>84925</v>
      </c>
      <c r="L369" s="23">
        <v>13894</v>
      </c>
      <c r="M369" s="30" t="s">
        <v>1052</v>
      </c>
      <c r="N369" s="30" t="s">
        <v>1055</v>
      </c>
    </row>
    <row r="370" spans="1:14" customFormat="1" x14ac:dyDescent="0.25">
      <c r="A370" s="7">
        <v>369</v>
      </c>
      <c r="B370" s="11" t="s">
        <v>385</v>
      </c>
      <c r="C370" s="7" t="s">
        <v>1039</v>
      </c>
      <c r="D370" s="7">
        <v>369</v>
      </c>
      <c r="E370" s="9">
        <v>369</v>
      </c>
      <c r="F370" s="7">
        <v>369</v>
      </c>
      <c r="G370" s="11" t="s">
        <v>1025</v>
      </c>
      <c r="H370" s="20">
        <v>272432</v>
      </c>
      <c r="I370" s="12">
        <v>44067</v>
      </c>
      <c r="J370" s="12">
        <v>44340</v>
      </c>
      <c r="K370" s="25">
        <v>97177</v>
      </c>
      <c r="L370" s="23">
        <v>175255</v>
      </c>
      <c r="M370" s="30" t="s">
        <v>1052</v>
      </c>
      <c r="N370" s="30" t="s">
        <v>1055</v>
      </c>
    </row>
    <row r="371" spans="1:14" customFormat="1" x14ac:dyDescent="0.25">
      <c r="A371" s="7">
        <v>370</v>
      </c>
      <c r="B371" s="11" t="s">
        <v>386</v>
      </c>
      <c r="C371" s="7" t="s">
        <v>1039</v>
      </c>
      <c r="D371" s="7">
        <v>370</v>
      </c>
      <c r="E371" s="7">
        <v>370</v>
      </c>
      <c r="F371" s="7">
        <v>370</v>
      </c>
      <c r="G371" s="11" t="s">
        <v>1022</v>
      </c>
      <c r="H371" s="20">
        <v>36088</v>
      </c>
      <c r="I371" s="12">
        <v>44470</v>
      </c>
      <c r="J371" s="12">
        <v>44927</v>
      </c>
      <c r="K371" s="25">
        <v>1130</v>
      </c>
      <c r="L371" s="23">
        <v>34958</v>
      </c>
      <c r="M371" s="30" t="s">
        <v>1052</v>
      </c>
      <c r="N371" s="30" t="s">
        <v>1055</v>
      </c>
    </row>
    <row r="372" spans="1:14" customFormat="1" x14ac:dyDescent="0.25">
      <c r="A372" s="7">
        <v>371</v>
      </c>
      <c r="B372" s="11" t="s">
        <v>387</v>
      </c>
      <c r="C372" s="7" t="s">
        <v>1039</v>
      </c>
      <c r="D372" s="7">
        <v>371</v>
      </c>
      <c r="E372" s="7">
        <v>371</v>
      </c>
      <c r="F372" s="7">
        <v>371</v>
      </c>
      <c r="G372" s="11" t="s">
        <v>1027</v>
      </c>
      <c r="H372" s="20">
        <v>42696</v>
      </c>
      <c r="I372" s="12">
        <v>45377</v>
      </c>
      <c r="J372" s="12">
        <v>45591</v>
      </c>
      <c r="K372" s="25">
        <v>1107</v>
      </c>
      <c r="L372" s="23">
        <v>41589</v>
      </c>
      <c r="M372" s="30" t="s">
        <v>1052</v>
      </c>
      <c r="N372" s="30" t="s">
        <v>1055</v>
      </c>
    </row>
    <row r="373" spans="1:14" customFormat="1" x14ac:dyDescent="0.25">
      <c r="A373" s="7">
        <v>372</v>
      </c>
      <c r="B373" s="11" t="s">
        <v>388</v>
      </c>
      <c r="C373" s="7" t="s">
        <v>1039</v>
      </c>
      <c r="D373" s="7">
        <v>372</v>
      </c>
      <c r="E373" s="9">
        <v>372</v>
      </c>
      <c r="F373" s="7">
        <v>372</v>
      </c>
      <c r="G373" s="11" t="s">
        <v>1023</v>
      </c>
      <c r="H373" s="20">
        <v>1244</v>
      </c>
      <c r="I373" s="12">
        <v>44713</v>
      </c>
      <c r="J373" s="12">
        <v>44927</v>
      </c>
      <c r="K373" s="25">
        <v>862</v>
      </c>
      <c r="L373" s="23">
        <v>382</v>
      </c>
      <c r="M373" s="30" t="s">
        <v>1052</v>
      </c>
      <c r="N373" s="30" t="s">
        <v>1055</v>
      </c>
    </row>
    <row r="374" spans="1:14" customFormat="1" x14ac:dyDescent="0.25">
      <c r="A374" s="7">
        <v>373</v>
      </c>
      <c r="B374" s="11" t="s">
        <v>389</v>
      </c>
      <c r="C374" s="7" t="s">
        <v>1039</v>
      </c>
      <c r="D374" s="7">
        <v>373</v>
      </c>
      <c r="E374" s="7">
        <v>373</v>
      </c>
      <c r="F374" s="7">
        <v>373</v>
      </c>
      <c r="G374" s="11" t="s">
        <v>1016</v>
      </c>
      <c r="H374" s="20">
        <v>3813</v>
      </c>
      <c r="I374" s="12">
        <v>45440</v>
      </c>
      <c r="J374" s="12">
        <v>45958</v>
      </c>
      <c r="K374" s="25">
        <v>3554</v>
      </c>
      <c r="L374" s="23">
        <v>259</v>
      </c>
      <c r="M374" s="30" t="s">
        <v>1052</v>
      </c>
      <c r="N374" s="30" t="s">
        <v>1055</v>
      </c>
    </row>
    <row r="375" spans="1:14" customFormat="1" x14ac:dyDescent="0.25">
      <c r="A375" s="7">
        <v>374</v>
      </c>
      <c r="B375" s="11" t="s">
        <v>390</v>
      </c>
      <c r="C375" s="7" t="s">
        <v>1039</v>
      </c>
      <c r="D375" s="7">
        <v>374</v>
      </c>
      <c r="E375" s="7">
        <v>374</v>
      </c>
      <c r="F375" s="7">
        <v>374</v>
      </c>
      <c r="G375" s="11" t="s">
        <v>1023</v>
      </c>
      <c r="H375" s="20">
        <v>602</v>
      </c>
      <c r="I375" s="12">
        <v>45503</v>
      </c>
      <c r="J375" s="12">
        <v>45746</v>
      </c>
      <c r="K375" s="25">
        <v>232</v>
      </c>
      <c r="L375" s="23">
        <v>370</v>
      </c>
      <c r="M375" s="30" t="s">
        <v>1052</v>
      </c>
      <c r="N375" s="30" t="s">
        <v>1055</v>
      </c>
    </row>
    <row r="376" spans="1:14" customFormat="1" x14ac:dyDescent="0.25">
      <c r="A376" s="7">
        <v>375</v>
      </c>
      <c r="B376" s="11" t="s">
        <v>391</v>
      </c>
      <c r="C376" s="7" t="s">
        <v>1039</v>
      </c>
      <c r="D376" s="7">
        <v>375</v>
      </c>
      <c r="E376" s="9">
        <v>375</v>
      </c>
      <c r="F376" s="7">
        <v>375</v>
      </c>
      <c r="G376" s="11" t="s">
        <v>1026</v>
      </c>
      <c r="H376" s="20">
        <v>4075679</v>
      </c>
      <c r="I376" s="12">
        <v>45124</v>
      </c>
      <c r="J376" s="12">
        <v>45764</v>
      </c>
      <c r="K376" s="25">
        <v>2768157</v>
      </c>
      <c r="L376" s="23">
        <v>1307522</v>
      </c>
      <c r="M376" s="30" t="s">
        <v>1052</v>
      </c>
      <c r="N376" s="30" t="s">
        <v>1055</v>
      </c>
    </row>
    <row r="377" spans="1:14" customFormat="1" x14ac:dyDescent="0.25">
      <c r="A377" s="7">
        <v>376</v>
      </c>
      <c r="B377" s="11" t="s">
        <v>392</v>
      </c>
      <c r="C377" s="7" t="s">
        <v>1039</v>
      </c>
      <c r="D377" s="7">
        <v>376</v>
      </c>
      <c r="E377" s="7">
        <v>376</v>
      </c>
      <c r="F377" s="7">
        <v>376</v>
      </c>
      <c r="G377" s="11" t="s">
        <v>1026</v>
      </c>
      <c r="H377" s="20">
        <v>158931</v>
      </c>
      <c r="I377" s="12">
        <v>44453</v>
      </c>
      <c r="J377" s="12">
        <v>44514</v>
      </c>
      <c r="K377" s="25">
        <v>147253</v>
      </c>
      <c r="L377" s="23">
        <v>11678</v>
      </c>
      <c r="M377" s="30" t="s">
        <v>1052</v>
      </c>
      <c r="N377" s="30" t="s">
        <v>1055</v>
      </c>
    </row>
    <row r="378" spans="1:14" customFormat="1" x14ac:dyDescent="0.25">
      <c r="A378" s="7">
        <v>377</v>
      </c>
      <c r="B378" s="11" t="s">
        <v>393</v>
      </c>
      <c r="C378" s="7" t="s">
        <v>1039</v>
      </c>
      <c r="D378" s="7">
        <v>377</v>
      </c>
      <c r="E378" s="7">
        <v>377</v>
      </c>
      <c r="F378" s="7">
        <v>377</v>
      </c>
      <c r="G378" s="11" t="s">
        <v>1020</v>
      </c>
      <c r="H378" s="20">
        <v>420896</v>
      </c>
      <c r="I378" s="12">
        <v>45486</v>
      </c>
      <c r="J378" s="12">
        <v>46094</v>
      </c>
      <c r="K378" s="25">
        <v>170483</v>
      </c>
      <c r="L378" s="23">
        <v>250413</v>
      </c>
      <c r="M378" s="30" t="s">
        <v>1052</v>
      </c>
      <c r="N378" s="30" t="s">
        <v>1055</v>
      </c>
    </row>
    <row r="379" spans="1:14" customFormat="1" x14ac:dyDescent="0.25">
      <c r="A379" s="7">
        <v>378</v>
      </c>
      <c r="B379" s="11" t="s">
        <v>394</v>
      </c>
      <c r="C379" s="7" t="s">
        <v>1039</v>
      </c>
      <c r="D379" s="7">
        <v>378</v>
      </c>
      <c r="E379" s="9">
        <v>378</v>
      </c>
      <c r="F379" s="7">
        <v>378</v>
      </c>
      <c r="G379" s="11" t="s">
        <v>1024</v>
      </c>
      <c r="H379" s="20">
        <v>825832</v>
      </c>
      <c r="I379" s="12">
        <v>44318</v>
      </c>
      <c r="J379" s="12">
        <v>44806</v>
      </c>
      <c r="K379" s="25">
        <v>84655</v>
      </c>
      <c r="L379" s="23">
        <v>741177</v>
      </c>
      <c r="M379" s="30" t="s">
        <v>1052</v>
      </c>
      <c r="N379" s="30" t="s">
        <v>1055</v>
      </c>
    </row>
    <row r="380" spans="1:14" customFormat="1" x14ac:dyDescent="0.25">
      <c r="A380" s="7">
        <v>379</v>
      </c>
      <c r="B380" s="11" t="s">
        <v>395</v>
      </c>
      <c r="C380" s="7" t="s">
        <v>1039</v>
      </c>
      <c r="D380" s="7">
        <v>379</v>
      </c>
      <c r="E380" s="7">
        <v>379</v>
      </c>
      <c r="F380" s="7">
        <v>379</v>
      </c>
      <c r="G380" s="11" t="s">
        <v>1016</v>
      </c>
      <c r="H380" s="20">
        <v>9630</v>
      </c>
      <c r="I380" s="12">
        <v>44168</v>
      </c>
      <c r="J380" s="12">
        <v>44623</v>
      </c>
      <c r="K380" s="25">
        <v>3077</v>
      </c>
      <c r="L380" s="23">
        <v>6553</v>
      </c>
      <c r="M380" s="30" t="s">
        <v>1052</v>
      </c>
      <c r="N380" s="30" t="s">
        <v>1055</v>
      </c>
    </row>
    <row r="381" spans="1:14" customFormat="1" x14ac:dyDescent="0.25">
      <c r="A381" s="7">
        <v>380</v>
      </c>
      <c r="B381" s="11" t="s">
        <v>396</v>
      </c>
      <c r="C381" s="7" t="s">
        <v>1039</v>
      </c>
      <c r="D381" s="7">
        <v>380</v>
      </c>
      <c r="E381" s="7">
        <v>380</v>
      </c>
      <c r="F381" s="7">
        <v>380</v>
      </c>
      <c r="G381" s="11" t="s">
        <v>1023</v>
      </c>
      <c r="H381" s="20">
        <v>1317</v>
      </c>
      <c r="I381" s="12">
        <v>44945</v>
      </c>
      <c r="J381" s="12">
        <v>45157</v>
      </c>
      <c r="K381" s="25">
        <v>452</v>
      </c>
      <c r="L381" s="23">
        <v>865</v>
      </c>
      <c r="M381" s="30" t="s">
        <v>1052</v>
      </c>
      <c r="N381" s="30" t="s">
        <v>1055</v>
      </c>
    </row>
    <row r="382" spans="1:14" customFormat="1" x14ac:dyDescent="0.25">
      <c r="A382" s="7">
        <v>381</v>
      </c>
      <c r="B382" s="11" t="s">
        <v>397</v>
      </c>
      <c r="C382" s="7" t="s">
        <v>1039</v>
      </c>
      <c r="D382" s="7">
        <v>381</v>
      </c>
      <c r="E382" s="9">
        <v>381</v>
      </c>
      <c r="F382" s="7">
        <v>381</v>
      </c>
      <c r="G382" s="11" t="s">
        <v>1022</v>
      </c>
      <c r="H382" s="20">
        <v>29550</v>
      </c>
      <c r="I382" s="12">
        <v>44715</v>
      </c>
      <c r="J382" s="12">
        <v>44929</v>
      </c>
      <c r="K382" s="25">
        <v>13987</v>
      </c>
      <c r="L382" s="23">
        <v>15563</v>
      </c>
      <c r="M382" s="30" t="s">
        <v>1052</v>
      </c>
      <c r="N382" s="30" t="s">
        <v>1055</v>
      </c>
    </row>
    <row r="383" spans="1:14" customFormat="1" x14ac:dyDescent="0.25">
      <c r="A383" s="7">
        <v>382</v>
      </c>
      <c r="B383" s="11" t="s">
        <v>398</v>
      </c>
      <c r="C383" s="7" t="s">
        <v>1039</v>
      </c>
      <c r="D383" s="7">
        <v>382</v>
      </c>
      <c r="E383" s="7">
        <v>382</v>
      </c>
      <c r="F383" s="7">
        <v>382</v>
      </c>
      <c r="G383" s="11" t="s">
        <v>1016</v>
      </c>
      <c r="H383" s="20">
        <v>48126</v>
      </c>
      <c r="I383" s="12">
        <v>43911</v>
      </c>
      <c r="J383" s="12">
        <v>44613</v>
      </c>
      <c r="K383" s="25">
        <v>8026</v>
      </c>
      <c r="L383" s="23">
        <v>40100</v>
      </c>
      <c r="M383" s="30" t="s">
        <v>1052</v>
      </c>
      <c r="N383" s="30" t="s">
        <v>1055</v>
      </c>
    </row>
    <row r="384" spans="1:14" customFormat="1" x14ac:dyDescent="0.25">
      <c r="A384" s="7">
        <v>383</v>
      </c>
      <c r="B384" s="11" t="s">
        <v>399</v>
      </c>
      <c r="C384" s="7" t="s">
        <v>1039</v>
      </c>
      <c r="D384" s="7">
        <v>383</v>
      </c>
      <c r="E384" s="7">
        <v>383</v>
      </c>
      <c r="F384" s="7">
        <v>383</v>
      </c>
      <c r="G384" s="11" t="s">
        <v>1022</v>
      </c>
      <c r="H384" s="20">
        <v>16498</v>
      </c>
      <c r="I384" s="12">
        <v>44627</v>
      </c>
      <c r="J384" s="12">
        <v>44688</v>
      </c>
      <c r="K384" s="25">
        <v>2489</v>
      </c>
      <c r="L384" s="23">
        <v>14009</v>
      </c>
      <c r="M384" s="30" t="s">
        <v>1052</v>
      </c>
      <c r="N384" s="30" t="s">
        <v>1055</v>
      </c>
    </row>
    <row r="385" spans="1:14" customFormat="1" x14ac:dyDescent="0.25">
      <c r="A385" s="7">
        <v>384</v>
      </c>
      <c r="B385" s="11" t="s">
        <v>400</v>
      </c>
      <c r="C385" s="7" t="s">
        <v>1039</v>
      </c>
      <c r="D385" s="7">
        <v>384</v>
      </c>
      <c r="E385" s="9">
        <v>384</v>
      </c>
      <c r="F385" s="7">
        <v>384</v>
      </c>
      <c r="G385" s="11" t="s">
        <v>1016</v>
      </c>
      <c r="H385" s="20">
        <v>3114</v>
      </c>
      <c r="I385" s="12">
        <v>44101</v>
      </c>
      <c r="J385" s="12">
        <v>44223</v>
      </c>
      <c r="K385" s="25">
        <v>108</v>
      </c>
      <c r="L385" s="23">
        <v>3006</v>
      </c>
      <c r="M385" s="30" t="s">
        <v>1052</v>
      </c>
      <c r="N385" s="30" t="s">
        <v>1055</v>
      </c>
    </row>
    <row r="386" spans="1:14" customFormat="1" x14ac:dyDescent="0.25">
      <c r="A386" s="7">
        <v>385</v>
      </c>
      <c r="B386" s="11" t="s">
        <v>401</v>
      </c>
      <c r="C386" s="7" t="s">
        <v>1039</v>
      </c>
      <c r="D386" s="7">
        <v>385</v>
      </c>
      <c r="E386" s="7">
        <v>385</v>
      </c>
      <c r="F386" s="7">
        <v>385</v>
      </c>
      <c r="G386" s="11" t="s">
        <v>1022</v>
      </c>
      <c r="H386" s="20">
        <v>33859</v>
      </c>
      <c r="I386" s="12">
        <v>44974</v>
      </c>
      <c r="J386" s="12">
        <v>45216</v>
      </c>
      <c r="K386" s="25">
        <v>9265</v>
      </c>
      <c r="L386" s="23">
        <v>24594</v>
      </c>
      <c r="M386" s="30" t="s">
        <v>1052</v>
      </c>
      <c r="N386" s="30" t="s">
        <v>1055</v>
      </c>
    </row>
    <row r="387" spans="1:14" customFormat="1" x14ac:dyDescent="0.25">
      <c r="A387" s="7">
        <v>386</v>
      </c>
      <c r="B387" s="11" t="s">
        <v>402</v>
      </c>
      <c r="C387" s="7" t="s">
        <v>1039</v>
      </c>
      <c r="D387" s="7">
        <v>386</v>
      </c>
      <c r="E387" s="7">
        <v>386</v>
      </c>
      <c r="F387" s="7">
        <v>386</v>
      </c>
      <c r="G387" s="11" t="s">
        <v>1021</v>
      </c>
      <c r="H387" s="20">
        <v>18963</v>
      </c>
      <c r="I387" s="12">
        <v>45158</v>
      </c>
      <c r="J387" s="12">
        <v>45280</v>
      </c>
      <c r="K387" s="25">
        <v>12054</v>
      </c>
      <c r="L387" s="23">
        <v>6909</v>
      </c>
      <c r="M387" s="30" t="s">
        <v>1052</v>
      </c>
      <c r="N387" s="30" t="s">
        <v>1055</v>
      </c>
    </row>
    <row r="388" spans="1:14" customFormat="1" x14ac:dyDescent="0.25">
      <c r="A388" s="7">
        <v>387</v>
      </c>
      <c r="B388" s="11" t="s">
        <v>403</v>
      </c>
      <c r="C388" s="7" t="s">
        <v>1039</v>
      </c>
      <c r="D388" s="7">
        <v>387</v>
      </c>
      <c r="E388" s="9">
        <v>387</v>
      </c>
      <c r="F388" s="7">
        <v>387</v>
      </c>
      <c r="G388" s="11" t="s">
        <v>1022</v>
      </c>
      <c r="H388" s="20">
        <v>29714</v>
      </c>
      <c r="I388" s="12">
        <v>45408</v>
      </c>
      <c r="J388" s="12">
        <v>45438</v>
      </c>
      <c r="K388" s="25">
        <v>23921</v>
      </c>
      <c r="L388" s="23">
        <v>5793</v>
      </c>
      <c r="M388" s="30" t="s">
        <v>1052</v>
      </c>
      <c r="N388" s="30" t="s">
        <v>1055</v>
      </c>
    </row>
    <row r="389" spans="1:14" customFormat="1" x14ac:dyDescent="0.25">
      <c r="A389" s="7">
        <v>388</v>
      </c>
      <c r="B389" s="11" t="s">
        <v>404</v>
      </c>
      <c r="C389" s="7" t="s">
        <v>1039</v>
      </c>
      <c r="D389" s="7">
        <v>388</v>
      </c>
      <c r="E389" s="7">
        <v>388</v>
      </c>
      <c r="F389" s="7">
        <v>388</v>
      </c>
      <c r="G389" s="11" t="s">
        <v>1016</v>
      </c>
      <c r="H389" s="20">
        <v>32621</v>
      </c>
      <c r="I389" s="12">
        <v>45365</v>
      </c>
      <c r="J389" s="12">
        <v>45883</v>
      </c>
      <c r="K389" s="25">
        <v>13543</v>
      </c>
      <c r="L389" s="23">
        <v>19078</v>
      </c>
      <c r="M389" s="30" t="s">
        <v>1052</v>
      </c>
      <c r="N389" s="30" t="s">
        <v>1055</v>
      </c>
    </row>
    <row r="390" spans="1:14" customFormat="1" x14ac:dyDescent="0.25">
      <c r="A390" s="7">
        <v>389</v>
      </c>
      <c r="B390" s="11" t="s">
        <v>405</v>
      </c>
      <c r="C390" s="7" t="s">
        <v>1039</v>
      </c>
      <c r="D390" s="7">
        <v>389</v>
      </c>
      <c r="E390" s="7">
        <v>389</v>
      </c>
      <c r="F390" s="7">
        <v>389</v>
      </c>
      <c r="G390" s="11" t="s">
        <v>1016</v>
      </c>
      <c r="H390" s="20">
        <v>28323</v>
      </c>
      <c r="I390" s="12">
        <v>45426</v>
      </c>
      <c r="J390" s="12">
        <v>45822</v>
      </c>
      <c r="K390" s="25">
        <v>22078</v>
      </c>
      <c r="L390" s="23">
        <v>6245</v>
      </c>
      <c r="M390" s="30" t="s">
        <v>1052</v>
      </c>
      <c r="N390" s="30" t="s">
        <v>1055</v>
      </c>
    </row>
    <row r="391" spans="1:14" customFormat="1" x14ac:dyDescent="0.25">
      <c r="A391" s="7">
        <v>390</v>
      </c>
      <c r="B391" s="11" t="s">
        <v>406</v>
      </c>
      <c r="C391" s="7" t="s">
        <v>1039</v>
      </c>
      <c r="D391" s="7">
        <v>390</v>
      </c>
      <c r="E391" s="9">
        <v>390</v>
      </c>
      <c r="F391" s="7">
        <v>390</v>
      </c>
      <c r="G391" s="11" t="s">
        <v>1026</v>
      </c>
      <c r="H391" s="20">
        <v>4351676</v>
      </c>
      <c r="I391" s="12">
        <v>43915</v>
      </c>
      <c r="J391" s="12">
        <v>44252</v>
      </c>
      <c r="K391" s="25">
        <v>1076790</v>
      </c>
      <c r="L391" s="23">
        <v>3274886</v>
      </c>
      <c r="M391" s="30" t="s">
        <v>1052</v>
      </c>
      <c r="N391" s="30" t="s">
        <v>1055</v>
      </c>
    </row>
    <row r="392" spans="1:14" customFormat="1" x14ac:dyDescent="0.25">
      <c r="A392" s="7">
        <v>391</v>
      </c>
      <c r="B392" s="11" t="s">
        <v>407</v>
      </c>
      <c r="C392" s="7" t="s">
        <v>1039</v>
      </c>
      <c r="D392" s="7">
        <v>391</v>
      </c>
      <c r="E392" s="7">
        <v>391</v>
      </c>
      <c r="F392" s="7">
        <v>391</v>
      </c>
      <c r="G392" s="11" t="s">
        <v>1026</v>
      </c>
      <c r="H392" s="20">
        <v>1329384</v>
      </c>
      <c r="I392" s="12">
        <v>45631</v>
      </c>
      <c r="J392" s="12">
        <v>45996</v>
      </c>
      <c r="K392" s="25">
        <v>541657</v>
      </c>
      <c r="L392" s="23">
        <v>787727</v>
      </c>
      <c r="M392" s="30" t="s">
        <v>1052</v>
      </c>
      <c r="N392" s="30" t="s">
        <v>1055</v>
      </c>
    </row>
    <row r="393" spans="1:14" customFormat="1" x14ac:dyDescent="0.25">
      <c r="A393" s="7">
        <v>392</v>
      </c>
      <c r="B393" s="11" t="s">
        <v>408</v>
      </c>
      <c r="C393" s="7" t="s">
        <v>1039</v>
      </c>
      <c r="D393" s="7">
        <v>392</v>
      </c>
      <c r="E393" s="7">
        <v>392</v>
      </c>
      <c r="F393" s="7">
        <v>392</v>
      </c>
      <c r="G393" s="11" t="s">
        <v>1025</v>
      </c>
      <c r="H393" s="20">
        <v>57633</v>
      </c>
      <c r="I393" s="12">
        <v>43987</v>
      </c>
      <c r="J393" s="12">
        <v>44260</v>
      </c>
      <c r="K393" s="25">
        <v>31771</v>
      </c>
      <c r="L393" s="23">
        <v>25862</v>
      </c>
      <c r="M393" s="30" t="s">
        <v>1052</v>
      </c>
      <c r="N393" s="30" t="s">
        <v>1055</v>
      </c>
    </row>
    <row r="394" spans="1:14" customFormat="1" x14ac:dyDescent="0.25">
      <c r="A394" s="7">
        <v>393</v>
      </c>
      <c r="B394" s="11" t="s">
        <v>409</v>
      </c>
      <c r="C394" s="7" t="s">
        <v>1039</v>
      </c>
      <c r="D394" s="7">
        <v>393</v>
      </c>
      <c r="E394" s="9">
        <v>393</v>
      </c>
      <c r="F394" s="7">
        <v>393</v>
      </c>
      <c r="G394" s="11" t="s">
        <v>1026</v>
      </c>
      <c r="H394" s="20">
        <v>2878976</v>
      </c>
      <c r="I394" s="12">
        <v>44167</v>
      </c>
      <c r="J394" s="12">
        <v>44198</v>
      </c>
      <c r="K394" s="25">
        <v>1727392</v>
      </c>
      <c r="L394" s="23">
        <v>1151584</v>
      </c>
      <c r="M394" s="30" t="s">
        <v>1052</v>
      </c>
      <c r="N394" s="30" t="s">
        <v>1055</v>
      </c>
    </row>
    <row r="395" spans="1:14" customFormat="1" x14ac:dyDescent="0.25">
      <c r="A395" s="7">
        <v>394</v>
      </c>
      <c r="B395" s="11" t="s">
        <v>410</v>
      </c>
      <c r="C395" s="7" t="s">
        <v>1039</v>
      </c>
      <c r="D395" s="7">
        <v>394</v>
      </c>
      <c r="E395" s="7">
        <v>394</v>
      </c>
      <c r="F395" s="7">
        <v>394</v>
      </c>
      <c r="G395" s="11" t="s">
        <v>1027</v>
      </c>
      <c r="H395" s="20">
        <v>24598</v>
      </c>
      <c r="I395" s="12">
        <v>45527</v>
      </c>
      <c r="J395" s="12">
        <v>45619</v>
      </c>
      <c r="K395" s="25">
        <v>23947</v>
      </c>
      <c r="L395" s="23">
        <v>651</v>
      </c>
      <c r="M395" s="30" t="s">
        <v>1052</v>
      </c>
      <c r="N395" s="30" t="s">
        <v>1055</v>
      </c>
    </row>
    <row r="396" spans="1:14" customFormat="1" x14ac:dyDescent="0.25">
      <c r="A396" s="7">
        <v>395</v>
      </c>
      <c r="B396" s="11" t="s">
        <v>411</v>
      </c>
      <c r="C396" s="7" t="s">
        <v>1039</v>
      </c>
      <c r="D396" s="7">
        <v>395</v>
      </c>
      <c r="E396" s="7">
        <v>395</v>
      </c>
      <c r="F396" s="7">
        <v>395</v>
      </c>
      <c r="G396" s="11" t="s">
        <v>1016</v>
      </c>
      <c r="H396" s="20">
        <v>7602</v>
      </c>
      <c r="I396" s="12">
        <v>44050</v>
      </c>
      <c r="J396" s="12">
        <v>44203</v>
      </c>
      <c r="K396" s="25">
        <v>1053</v>
      </c>
      <c r="L396" s="23">
        <v>6549</v>
      </c>
      <c r="M396" s="30" t="s">
        <v>1052</v>
      </c>
      <c r="N396" s="30" t="s">
        <v>1055</v>
      </c>
    </row>
    <row r="397" spans="1:14" customFormat="1" x14ac:dyDescent="0.25">
      <c r="A397" s="7">
        <v>396</v>
      </c>
      <c r="B397" s="11" t="s">
        <v>412</v>
      </c>
      <c r="C397" s="7" t="s">
        <v>1039</v>
      </c>
      <c r="D397" s="7">
        <v>396</v>
      </c>
      <c r="E397" s="9">
        <v>396</v>
      </c>
      <c r="F397" s="7">
        <v>396</v>
      </c>
      <c r="G397" s="11" t="s">
        <v>1020</v>
      </c>
      <c r="H397" s="20">
        <v>202619</v>
      </c>
      <c r="I397" s="12">
        <v>44469</v>
      </c>
      <c r="J397" s="12">
        <v>44499</v>
      </c>
      <c r="K397" s="25">
        <v>102099</v>
      </c>
      <c r="L397" s="23">
        <v>100520</v>
      </c>
      <c r="M397" s="30" t="s">
        <v>1052</v>
      </c>
      <c r="N397" s="30" t="s">
        <v>1055</v>
      </c>
    </row>
    <row r="398" spans="1:14" customFormat="1" x14ac:dyDescent="0.25">
      <c r="A398" s="7">
        <v>397</v>
      </c>
      <c r="B398" s="11" t="s">
        <v>413</v>
      </c>
      <c r="C398" s="7" t="s">
        <v>1039</v>
      </c>
      <c r="D398" s="7">
        <v>397</v>
      </c>
      <c r="E398" s="7">
        <v>397</v>
      </c>
      <c r="F398" s="7">
        <v>397</v>
      </c>
      <c r="G398" s="11" t="s">
        <v>1027</v>
      </c>
      <c r="H398" s="20">
        <v>23984</v>
      </c>
      <c r="I398" s="12">
        <v>44493</v>
      </c>
      <c r="J398" s="12">
        <v>44585</v>
      </c>
      <c r="K398" s="25">
        <v>11148</v>
      </c>
      <c r="L398" s="23">
        <v>12836</v>
      </c>
      <c r="M398" s="30" t="s">
        <v>1052</v>
      </c>
      <c r="N398" s="30" t="s">
        <v>1055</v>
      </c>
    </row>
    <row r="399" spans="1:14" customFormat="1" x14ac:dyDescent="0.25">
      <c r="A399" s="7">
        <v>398</v>
      </c>
      <c r="B399" s="11" t="s">
        <v>414</v>
      </c>
      <c r="C399" s="7" t="s">
        <v>1039</v>
      </c>
      <c r="D399" s="7">
        <v>398</v>
      </c>
      <c r="E399" s="7">
        <v>398</v>
      </c>
      <c r="F399" s="7">
        <v>398</v>
      </c>
      <c r="G399" s="11" t="s">
        <v>1027</v>
      </c>
      <c r="H399" s="20">
        <v>52368</v>
      </c>
      <c r="I399" s="12">
        <v>44773</v>
      </c>
      <c r="J399" s="12">
        <v>45260</v>
      </c>
      <c r="K399" s="25">
        <v>40820</v>
      </c>
      <c r="L399" s="23">
        <v>11548</v>
      </c>
      <c r="M399" s="30" t="s">
        <v>1052</v>
      </c>
      <c r="N399" s="30" t="s">
        <v>1055</v>
      </c>
    </row>
    <row r="400" spans="1:14" customFormat="1" x14ac:dyDescent="0.25">
      <c r="A400" s="7">
        <v>399</v>
      </c>
      <c r="B400" s="11" t="s">
        <v>415</v>
      </c>
      <c r="C400" s="7" t="s">
        <v>1039</v>
      </c>
      <c r="D400" s="7">
        <v>399</v>
      </c>
      <c r="E400" s="9">
        <v>399</v>
      </c>
      <c r="F400" s="7">
        <v>399</v>
      </c>
      <c r="G400" s="11" t="s">
        <v>1024</v>
      </c>
      <c r="H400" s="20">
        <v>133512</v>
      </c>
      <c r="I400" s="12">
        <v>44415</v>
      </c>
      <c r="J400" s="12">
        <v>44476</v>
      </c>
      <c r="K400" s="25">
        <v>53925</v>
      </c>
      <c r="L400" s="23">
        <v>79587</v>
      </c>
      <c r="M400" s="30" t="s">
        <v>1052</v>
      </c>
      <c r="N400" s="30" t="s">
        <v>1055</v>
      </c>
    </row>
    <row r="401" spans="1:14" customFormat="1" x14ac:dyDescent="0.25">
      <c r="A401" s="7">
        <v>400</v>
      </c>
      <c r="B401" s="11" t="s">
        <v>416</v>
      </c>
      <c r="C401" s="7" t="s">
        <v>1039</v>
      </c>
      <c r="D401" s="7">
        <v>400</v>
      </c>
      <c r="E401" s="7">
        <v>400</v>
      </c>
      <c r="F401" s="7">
        <v>400</v>
      </c>
      <c r="G401" s="11" t="s">
        <v>1027</v>
      </c>
      <c r="H401" s="20">
        <v>40411</v>
      </c>
      <c r="I401" s="12">
        <v>44600</v>
      </c>
      <c r="J401" s="12">
        <v>45146</v>
      </c>
      <c r="K401" s="25">
        <v>13472</v>
      </c>
      <c r="L401" s="23">
        <v>26939</v>
      </c>
      <c r="M401" s="30" t="s">
        <v>1052</v>
      </c>
      <c r="N401" s="30" t="s">
        <v>1055</v>
      </c>
    </row>
    <row r="402" spans="1:14" customFormat="1" x14ac:dyDescent="0.25">
      <c r="A402" s="7">
        <v>401</v>
      </c>
      <c r="B402" s="11" t="s">
        <v>417</v>
      </c>
      <c r="C402" s="7" t="s">
        <v>1039</v>
      </c>
      <c r="D402" s="7">
        <v>401</v>
      </c>
      <c r="E402" s="7">
        <v>401</v>
      </c>
      <c r="F402" s="7">
        <v>401</v>
      </c>
      <c r="G402" s="11" t="s">
        <v>1026</v>
      </c>
      <c r="H402" s="20">
        <v>2789959</v>
      </c>
      <c r="I402" s="12">
        <v>43969</v>
      </c>
      <c r="J402" s="12">
        <v>44610</v>
      </c>
      <c r="K402" s="25">
        <v>691365</v>
      </c>
      <c r="L402" s="23">
        <v>2098594</v>
      </c>
      <c r="M402" s="30" t="s">
        <v>1052</v>
      </c>
      <c r="N402" s="30" t="s">
        <v>1055</v>
      </c>
    </row>
    <row r="403" spans="1:14" customFormat="1" x14ac:dyDescent="0.25">
      <c r="A403" s="7">
        <v>402</v>
      </c>
      <c r="B403" s="11" t="s">
        <v>418</v>
      </c>
      <c r="C403" s="7" t="s">
        <v>1039</v>
      </c>
      <c r="D403" s="7">
        <v>402</v>
      </c>
      <c r="E403" s="9">
        <v>402</v>
      </c>
      <c r="F403" s="7">
        <v>402</v>
      </c>
      <c r="G403" s="11" t="s">
        <v>1026</v>
      </c>
      <c r="H403" s="20">
        <v>3611934</v>
      </c>
      <c r="I403" s="12">
        <v>45258</v>
      </c>
      <c r="J403" s="12">
        <v>45440</v>
      </c>
      <c r="K403" s="25">
        <v>843975</v>
      </c>
      <c r="L403" s="23">
        <v>2767959</v>
      </c>
      <c r="M403" s="30" t="s">
        <v>1052</v>
      </c>
      <c r="N403" s="30" t="s">
        <v>1055</v>
      </c>
    </row>
    <row r="404" spans="1:14" customFormat="1" x14ac:dyDescent="0.25">
      <c r="A404" s="7">
        <v>403</v>
      </c>
      <c r="B404" s="11" t="s">
        <v>419</v>
      </c>
      <c r="C404" s="7" t="s">
        <v>1039</v>
      </c>
      <c r="D404" s="7">
        <v>403</v>
      </c>
      <c r="E404" s="7">
        <v>403</v>
      </c>
      <c r="F404" s="7">
        <v>403</v>
      </c>
      <c r="G404" s="11" t="s">
        <v>1024</v>
      </c>
      <c r="H404" s="20">
        <v>658270</v>
      </c>
      <c r="I404" s="12">
        <v>45370</v>
      </c>
      <c r="J404" s="12">
        <v>45735</v>
      </c>
      <c r="K404" s="25">
        <v>60128</v>
      </c>
      <c r="L404" s="23">
        <v>598142</v>
      </c>
      <c r="M404" s="30" t="s">
        <v>1052</v>
      </c>
      <c r="N404" s="30" t="s">
        <v>1055</v>
      </c>
    </row>
    <row r="405" spans="1:14" customFormat="1" x14ac:dyDescent="0.25">
      <c r="A405" s="7">
        <v>404</v>
      </c>
      <c r="B405" s="11" t="s">
        <v>420</v>
      </c>
      <c r="C405" s="7" t="s">
        <v>1039</v>
      </c>
      <c r="D405" s="7">
        <v>404</v>
      </c>
      <c r="E405" s="7">
        <v>404</v>
      </c>
      <c r="F405" s="7">
        <v>404</v>
      </c>
      <c r="G405" s="11" t="s">
        <v>1022</v>
      </c>
      <c r="H405" s="20">
        <v>23220</v>
      </c>
      <c r="I405" s="12">
        <v>45374</v>
      </c>
      <c r="J405" s="12">
        <v>45405</v>
      </c>
      <c r="K405" s="25">
        <v>12234</v>
      </c>
      <c r="L405" s="23">
        <v>10986</v>
      </c>
      <c r="M405" s="30" t="s">
        <v>1052</v>
      </c>
      <c r="N405" s="30" t="s">
        <v>1055</v>
      </c>
    </row>
    <row r="406" spans="1:14" customFormat="1" x14ac:dyDescent="0.25">
      <c r="A406" s="7">
        <v>405</v>
      </c>
      <c r="B406" s="11" t="s">
        <v>421</v>
      </c>
      <c r="C406" s="7" t="s">
        <v>1039</v>
      </c>
      <c r="D406" s="7">
        <v>405</v>
      </c>
      <c r="E406" s="9">
        <v>405</v>
      </c>
      <c r="F406" s="7">
        <v>405</v>
      </c>
      <c r="G406" s="11" t="s">
        <v>1021</v>
      </c>
      <c r="H406" s="20">
        <v>62527</v>
      </c>
      <c r="I406" s="12">
        <v>45618</v>
      </c>
      <c r="J406" s="12">
        <v>46013</v>
      </c>
      <c r="K406" s="25">
        <v>8107</v>
      </c>
      <c r="L406" s="23">
        <v>54420</v>
      </c>
      <c r="M406" s="30" t="s">
        <v>1052</v>
      </c>
      <c r="N406" s="30" t="s">
        <v>1055</v>
      </c>
    </row>
    <row r="407" spans="1:14" customFormat="1" x14ac:dyDescent="0.25">
      <c r="A407" s="7">
        <v>406</v>
      </c>
      <c r="B407" s="11" t="s">
        <v>422</v>
      </c>
      <c r="C407" s="7" t="s">
        <v>1039</v>
      </c>
      <c r="D407" s="7">
        <v>406</v>
      </c>
      <c r="E407" s="7">
        <v>406</v>
      </c>
      <c r="F407" s="7">
        <v>406</v>
      </c>
      <c r="G407" s="11" t="s">
        <v>1027</v>
      </c>
      <c r="H407" s="20">
        <v>32326</v>
      </c>
      <c r="I407" s="12">
        <v>44326</v>
      </c>
      <c r="J407" s="12">
        <v>44691</v>
      </c>
      <c r="K407" s="25">
        <v>19100</v>
      </c>
      <c r="L407" s="23">
        <v>13226</v>
      </c>
      <c r="M407" s="30" t="s">
        <v>1052</v>
      </c>
      <c r="N407" s="30" t="s">
        <v>1055</v>
      </c>
    </row>
    <row r="408" spans="1:14" customFormat="1" x14ac:dyDescent="0.25">
      <c r="A408" s="7">
        <v>407</v>
      </c>
      <c r="B408" s="11" t="s">
        <v>423</v>
      </c>
      <c r="C408" s="7" t="s">
        <v>1039</v>
      </c>
      <c r="D408" s="7">
        <v>407</v>
      </c>
      <c r="E408" s="7">
        <v>407</v>
      </c>
      <c r="F408" s="7">
        <v>407</v>
      </c>
      <c r="G408" s="11" t="s">
        <v>1016</v>
      </c>
      <c r="H408" s="20">
        <v>15119</v>
      </c>
      <c r="I408" s="12">
        <v>45225</v>
      </c>
      <c r="J408" s="12">
        <v>45864</v>
      </c>
      <c r="K408" s="25">
        <v>9196</v>
      </c>
      <c r="L408" s="23">
        <v>5923</v>
      </c>
      <c r="M408" s="30" t="s">
        <v>1052</v>
      </c>
      <c r="N408" s="30" t="s">
        <v>1055</v>
      </c>
    </row>
    <row r="409" spans="1:14" customFormat="1" x14ac:dyDescent="0.25">
      <c r="A409" s="7">
        <v>408</v>
      </c>
      <c r="B409" s="11" t="s">
        <v>424</v>
      </c>
      <c r="C409" s="7" t="s">
        <v>1039</v>
      </c>
      <c r="D409" s="7">
        <v>408</v>
      </c>
      <c r="E409" s="9">
        <v>408</v>
      </c>
      <c r="F409" s="7">
        <v>408</v>
      </c>
      <c r="G409" s="11" t="s">
        <v>1022</v>
      </c>
      <c r="H409" s="20">
        <v>24006</v>
      </c>
      <c r="I409" s="12">
        <v>44777</v>
      </c>
      <c r="J409" s="12">
        <v>45020</v>
      </c>
      <c r="K409" s="25">
        <v>20867</v>
      </c>
      <c r="L409" s="23">
        <v>3139</v>
      </c>
      <c r="M409" s="30" t="s">
        <v>1052</v>
      </c>
      <c r="N409" s="30" t="s">
        <v>1055</v>
      </c>
    </row>
    <row r="410" spans="1:14" customFormat="1" x14ac:dyDescent="0.25">
      <c r="A410" s="7">
        <v>409</v>
      </c>
      <c r="B410" s="11" t="s">
        <v>425</v>
      </c>
      <c r="C410" s="7" t="s">
        <v>1039</v>
      </c>
      <c r="D410" s="7">
        <v>409</v>
      </c>
      <c r="E410" s="7">
        <v>409</v>
      </c>
      <c r="F410" s="7">
        <v>409</v>
      </c>
      <c r="G410" s="11" t="s">
        <v>1020</v>
      </c>
      <c r="H410" s="20">
        <v>459837</v>
      </c>
      <c r="I410" s="12">
        <v>45113</v>
      </c>
      <c r="J410" s="12">
        <v>45510</v>
      </c>
      <c r="K410" s="25">
        <v>402719</v>
      </c>
      <c r="L410" s="23">
        <v>57118</v>
      </c>
      <c r="M410" s="30" t="s">
        <v>1052</v>
      </c>
      <c r="N410" s="30" t="s">
        <v>1055</v>
      </c>
    </row>
    <row r="411" spans="1:14" customFormat="1" x14ac:dyDescent="0.25">
      <c r="A411" s="7">
        <v>410</v>
      </c>
      <c r="B411" s="11" t="s">
        <v>426</v>
      </c>
      <c r="C411" s="7" t="s">
        <v>1039</v>
      </c>
      <c r="D411" s="7">
        <v>410</v>
      </c>
      <c r="E411" s="7">
        <v>410</v>
      </c>
      <c r="F411" s="7">
        <v>410</v>
      </c>
      <c r="G411" s="11" t="s">
        <v>1023</v>
      </c>
      <c r="H411" s="20">
        <v>425</v>
      </c>
      <c r="I411" s="12">
        <v>45298</v>
      </c>
      <c r="J411" s="12">
        <v>45998</v>
      </c>
      <c r="K411" s="25">
        <v>168</v>
      </c>
      <c r="L411" s="23">
        <v>257</v>
      </c>
      <c r="M411" s="30" t="s">
        <v>1052</v>
      </c>
      <c r="N411" s="30" t="s">
        <v>1055</v>
      </c>
    </row>
    <row r="412" spans="1:14" customFormat="1" x14ac:dyDescent="0.25">
      <c r="A412" s="7">
        <v>411</v>
      </c>
      <c r="B412" s="11" t="s">
        <v>427</v>
      </c>
      <c r="C412" s="7" t="s">
        <v>1039</v>
      </c>
      <c r="D412" s="7">
        <v>411</v>
      </c>
      <c r="E412" s="9">
        <v>411</v>
      </c>
      <c r="F412" s="7">
        <v>411</v>
      </c>
      <c r="G412" s="11" t="s">
        <v>1020</v>
      </c>
      <c r="H412" s="20">
        <v>101501</v>
      </c>
      <c r="I412" s="12">
        <v>45682</v>
      </c>
      <c r="J412" s="12">
        <v>45925</v>
      </c>
      <c r="K412" s="25">
        <v>90590</v>
      </c>
      <c r="L412" s="23">
        <v>10911</v>
      </c>
      <c r="M412" s="30" t="s">
        <v>1052</v>
      </c>
      <c r="N412" s="30" t="s">
        <v>1055</v>
      </c>
    </row>
    <row r="413" spans="1:14" customFormat="1" x14ac:dyDescent="0.25">
      <c r="A413" s="7">
        <v>412</v>
      </c>
      <c r="B413" s="11" t="s">
        <v>428</v>
      </c>
      <c r="C413" s="7" t="s">
        <v>1039</v>
      </c>
      <c r="D413" s="7">
        <v>412</v>
      </c>
      <c r="E413" s="7">
        <v>412</v>
      </c>
      <c r="F413" s="7">
        <v>412</v>
      </c>
      <c r="G413" s="11" t="s">
        <v>1025</v>
      </c>
      <c r="H413" s="20">
        <v>150910</v>
      </c>
      <c r="I413" s="12">
        <v>44055</v>
      </c>
      <c r="J413" s="12">
        <v>44359</v>
      </c>
      <c r="K413" s="25">
        <v>131623</v>
      </c>
      <c r="L413" s="23">
        <v>19287</v>
      </c>
      <c r="M413" s="30" t="s">
        <v>1052</v>
      </c>
      <c r="N413" s="30" t="s">
        <v>1055</v>
      </c>
    </row>
    <row r="414" spans="1:14" customFormat="1" x14ac:dyDescent="0.25">
      <c r="A414" s="7">
        <v>413</v>
      </c>
      <c r="B414" s="11" t="s">
        <v>429</v>
      </c>
      <c r="C414" s="7" t="s">
        <v>1039</v>
      </c>
      <c r="D414" s="7">
        <v>413</v>
      </c>
      <c r="E414" s="7">
        <v>413</v>
      </c>
      <c r="F414" s="7">
        <v>413</v>
      </c>
      <c r="G414" s="11" t="s">
        <v>1022</v>
      </c>
      <c r="H414" s="20">
        <v>24763</v>
      </c>
      <c r="I414" s="12">
        <v>45465</v>
      </c>
      <c r="J414" s="12">
        <v>45557</v>
      </c>
      <c r="K414" s="25">
        <v>10717</v>
      </c>
      <c r="L414" s="23">
        <v>14046</v>
      </c>
      <c r="M414" s="30" t="s">
        <v>1052</v>
      </c>
      <c r="N414" s="30" t="s">
        <v>1055</v>
      </c>
    </row>
    <row r="415" spans="1:14" customFormat="1" x14ac:dyDescent="0.25">
      <c r="A415" s="7">
        <v>414</v>
      </c>
      <c r="B415" s="11" t="s">
        <v>430</v>
      </c>
      <c r="C415" s="7" t="s">
        <v>1039</v>
      </c>
      <c r="D415" s="7">
        <v>414</v>
      </c>
      <c r="E415" s="9">
        <v>414</v>
      </c>
      <c r="F415" s="7">
        <v>414</v>
      </c>
      <c r="G415" s="11" t="s">
        <v>1022</v>
      </c>
      <c r="H415" s="20">
        <v>8283</v>
      </c>
      <c r="I415" s="12">
        <v>44206</v>
      </c>
      <c r="J415" s="12">
        <v>44510</v>
      </c>
      <c r="K415" s="25">
        <v>5242</v>
      </c>
      <c r="L415" s="23">
        <v>3041</v>
      </c>
      <c r="M415" s="30" t="s">
        <v>1052</v>
      </c>
      <c r="N415" s="30" t="s">
        <v>1055</v>
      </c>
    </row>
    <row r="416" spans="1:14" customFormat="1" x14ac:dyDescent="0.25">
      <c r="A416" s="7">
        <v>415</v>
      </c>
      <c r="B416" s="11" t="s">
        <v>431</v>
      </c>
      <c r="C416" s="7" t="s">
        <v>1039</v>
      </c>
      <c r="D416" s="7">
        <v>415</v>
      </c>
      <c r="E416" s="7">
        <v>415</v>
      </c>
      <c r="F416" s="7">
        <v>415</v>
      </c>
      <c r="G416" s="11" t="s">
        <v>1024</v>
      </c>
      <c r="H416" s="20">
        <v>176109</v>
      </c>
      <c r="I416" s="12">
        <v>44108</v>
      </c>
      <c r="J416" s="12">
        <v>44320</v>
      </c>
      <c r="K416" s="25">
        <v>163568</v>
      </c>
      <c r="L416" s="23">
        <v>12541</v>
      </c>
      <c r="M416" s="30" t="s">
        <v>1052</v>
      </c>
      <c r="N416" s="30" t="s">
        <v>1055</v>
      </c>
    </row>
    <row r="417" spans="1:14" customFormat="1" x14ac:dyDescent="0.25">
      <c r="A417" s="7">
        <v>416</v>
      </c>
      <c r="B417" s="11" t="s">
        <v>432</v>
      </c>
      <c r="C417" s="7" t="s">
        <v>1039</v>
      </c>
      <c r="D417" s="7">
        <v>416</v>
      </c>
      <c r="E417" s="7">
        <v>416</v>
      </c>
      <c r="F417" s="7">
        <v>416</v>
      </c>
      <c r="G417" s="11" t="s">
        <v>1023</v>
      </c>
      <c r="H417" s="20">
        <v>1288</v>
      </c>
      <c r="I417" s="12">
        <v>44188</v>
      </c>
      <c r="J417" s="12">
        <v>44309</v>
      </c>
      <c r="K417" s="25">
        <v>1004</v>
      </c>
      <c r="L417" s="23">
        <v>284</v>
      </c>
      <c r="M417" s="30" t="s">
        <v>1052</v>
      </c>
      <c r="N417" s="30" t="s">
        <v>1055</v>
      </c>
    </row>
    <row r="418" spans="1:14" customFormat="1" x14ac:dyDescent="0.25">
      <c r="A418" s="7">
        <v>417</v>
      </c>
      <c r="B418" s="11" t="s">
        <v>433</v>
      </c>
      <c r="C418" s="7" t="s">
        <v>1039</v>
      </c>
      <c r="D418" s="7">
        <v>417</v>
      </c>
      <c r="E418" s="9">
        <v>417</v>
      </c>
      <c r="F418" s="7">
        <v>417</v>
      </c>
      <c r="G418" s="11" t="s">
        <v>1016</v>
      </c>
      <c r="H418" s="20">
        <v>14404</v>
      </c>
      <c r="I418" s="12">
        <v>43986</v>
      </c>
      <c r="J418" s="12">
        <v>44231</v>
      </c>
      <c r="K418" s="25">
        <v>1798</v>
      </c>
      <c r="L418" s="23">
        <v>12606</v>
      </c>
      <c r="M418" s="30" t="s">
        <v>1052</v>
      </c>
      <c r="N418" s="30" t="s">
        <v>1055</v>
      </c>
    </row>
    <row r="419" spans="1:14" customFormat="1" x14ac:dyDescent="0.25">
      <c r="A419" s="7">
        <v>418</v>
      </c>
      <c r="B419" s="11" t="s">
        <v>434</v>
      </c>
      <c r="C419" s="7" t="s">
        <v>1039</v>
      </c>
      <c r="D419" s="7">
        <v>418</v>
      </c>
      <c r="E419" s="7">
        <v>418</v>
      </c>
      <c r="F419" s="7">
        <v>418</v>
      </c>
      <c r="G419" s="11" t="s">
        <v>1025</v>
      </c>
      <c r="H419" s="20">
        <v>490447</v>
      </c>
      <c r="I419" s="12">
        <v>45085</v>
      </c>
      <c r="J419" s="12">
        <v>45634</v>
      </c>
      <c r="K419" s="25">
        <v>202787</v>
      </c>
      <c r="L419" s="23">
        <v>287660</v>
      </c>
      <c r="M419" s="30" t="s">
        <v>1052</v>
      </c>
      <c r="N419" s="30" t="s">
        <v>1055</v>
      </c>
    </row>
    <row r="420" spans="1:14" customFormat="1" x14ac:dyDescent="0.25">
      <c r="A420" s="7">
        <v>419</v>
      </c>
      <c r="B420" s="11" t="s">
        <v>435</v>
      </c>
      <c r="C420" s="7" t="s">
        <v>1039</v>
      </c>
      <c r="D420" s="7">
        <v>419</v>
      </c>
      <c r="E420" s="7">
        <v>419</v>
      </c>
      <c r="F420" s="7">
        <v>419</v>
      </c>
      <c r="G420" s="11" t="s">
        <v>1023</v>
      </c>
      <c r="H420" s="20">
        <v>401</v>
      </c>
      <c r="I420" s="12">
        <v>43958</v>
      </c>
      <c r="J420" s="12">
        <v>44688</v>
      </c>
      <c r="K420" s="25">
        <v>139</v>
      </c>
      <c r="L420" s="23">
        <v>262</v>
      </c>
      <c r="M420" s="30" t="s">
        <v>1052</v>
      </c>
      <c r="N420" s="30" t="s">
        <v>1055</v>
      </c>
    </row>
    <row r="421" spans="1:14" customFormat="1" x14ac:dyDescent="0.25">
      <c r="A421" s="7">
        <v>420</v>
      </c>
      <c r="B421" s="11" t="s">
        <v>436</v>
      </c>
      <c r="C421" s="7" t="s">
        <v>1039</v>
      </c>
      <c r="D421" s="7">
        <v>420</v>
      </c>
      <c r="E421" s="9">
        <v>420</v>
      </c>
      <c r="F421" s="7">
        <v>420</v>
      </c>
      <c r="G421" s="11" t="s">
        <v>1022</v>
      </c>
      <c r="H421" s="20">
        <v>13197</v>
      </c>
      <c r="I421" s="12">
        <v>44031</v>
      </c>
      <c r="J421" s="12">
        <v>44580</v>
      </c>
      <c r="K421" s="25">
        <v>9384</v>
      </c>
      <c r="L421" s="23">
        <v>3813</v>
      </c>
      <c r="M421" s="30" t="s">
        <v>1052</v>
      </c>
      <c r="N421" s="30" t="s">
        <v>1055</v>
      </c>
    </row>
    <row r="422" spans="1:14" customFormat="1" x14ac:dyDescent="0.25">
      <c r="A422" s="7">
        <v>421</v>
      </c>
      <c r="B422" s="11" t="s">
        <v>437</v>
      </c>
      <c r="C422" s="7" t="s">
        <v>1039</v>
      </c>
      <c r="D422" s="7">
        <v>421</v>
      </c>
      <c r="E422" s="7">
        <v>421</v>
      </c>
      <c r="F422" s="7">
        <v>421</v>
      </c>
      <c r="G422" s="11" t="s">
        <v>1021</v>
      </c>
      <c r="H422" s="20">
        <v>20002</v>
      </c>
      <c r="I422" s="12">
        <v>45005</v>
      </c>
      <c r="J422" s="12">
        <v>45036</v>
      </c>
      <c r="K422" s="25">
        <v>10469</v>
      </c>
      <c r="L422" s="23">
        <v>9533</v>
      </c>
      <c r="M422" s="30" t="s">
        <v>1052</v>
      </c>
      <c r="N422" s="30" t="s">
        <v>1055</v>
      </c>
    </row>
    <row r="423" spans="1:14" customFormat="1" x14ac:dyDescent="0.25">
      <c r="A423" s="7">
        <v>422</v>
      </c>
      <c r="B423" s="11" t="s">
        <v>438</v>
      </c>
      <c r="C423" s="7" t="s">
        <v>1039</v>
      </c>
      <c r="D423" s="7">
        <v>422</v>
      </c>
      <c r="E423" s="7">
        <v>422</v>
      </c>
      <c r="F423" s="7">
        <v>422</v>
      </c>
      <c r="G423" s="11" t="s">
        <v>1022</v>
      </c>
      <c r="H423" s="20">
        <v>20515</v>
      </c>
      <c r="I423" s="12">
        <v>45622</v>
      </c>
      <c r="J423" s="12">
        <v>45683</v>
      </c>
      <c r="K423" s="25">
        <v>16114</v>
      </c>
      <c r="L423" s="23">
        <v>4401</v>
      </c>
      <c r="M423" s="30" t="s">
        <v>1052</v>
      </c>
      <c r="N423" s="30" t="s">
        <v>1055</v>
      </c>
    </row>
    <row r="424" spans="1:14" customFormat="1" x14ac:dyDescent="0.25">
      <c r="A424" s="7">
        <v>423</v>
      </c>
      <c r="B424" s="11" t="s">
        <v>439</v>
      </c>
      <c r="C424" s="7" t="s">
        <v>1039</v>
      </c>
      <c r="D424" s="7">
        <v>423</v>
      </c>
      <c r="E424" s="9">
        <v>423</v>
      </c>
      <c r="F424" s="7">
        <v>423</v>
      </c>
      <c r="G424" s="11" t="s">
        <v>1022</v>
      </c>
      <c r="H424" s="20">
        <v>21810</v>
      </c>
      <c r="I424" s="12">
        <v>45683</v>
      </c>
      <c r="J424" s="12">
        <v>46079</v>
      </c>
      <c r="K424" s="25">
        <v>1348</v>
      </c>
      <c r="L424" s="23">
        <v>20462</v>
      </c>
      <c r="M424" s="30" t="s">
        <v>1052</v>
      </c>
      <c r="N424" s="30" t="s">
        <v>1055</v>
      </c>
    </row>
    <row r="425" spans="1:14" customFormat="1" x14ac:dyDescent="0.25">
      <c r="A425" s="7">
        <v>424</v>
      </c>
      <c r="B425" s="11" t="s">
        <v>440</v>
      </c>
      <c r="C425" s="7" t="s">
        <v>1039</v>
      </c>
      <c r="D425" s="7">
        <v>424</v>
      </c>
      <c r="E425" s="7">
        <v>424</v>
      </c>
      <c r="F425" s="7">
        <v>424</v>
      </c>
      <c r="G425" s="11" t="s">
        <v>1016</v>
      </c>
      <c r="H425" s="20">
        <v>42184</v>
      </c>
      <c r="I425" s="12">
        <v>44284</v>
      </c>
      <c r="J425" s="12">
        <v>44985</v>
      </c>
      <c r="K425" s="25">
        <v>420</v>
      </c>
      <c r="L425" s="23">
        <v>41764</v>
      </c>
      <c r="M425" s="30" t="s">
        <v>1052</v>
      </c>
      <c r="N425" s="30" t="s">
        <v>1055</v>
      </c>
    </row>
    <row r="426" spans="1:14" customFormat="1" x14ac:dyDescent="0.25">
      <c r="A426" s="7">
        <v>425</v>
      </c>
      <c r="B426" s="11" t="s">
        <v>441</v>
      </c>
      <c r="C426" s="7" t="s">
        <v>1039</v>
      </c>
      <c r="D426" s="7">
        <v>425</v>
      </c>
      <c r="E426" s="7">
        <v>425</v>
      </c>
      <c r="F426" s="7">
        <v>425</v>
      </c>
      <c r="G426" s="11" t="s">
        <v>1021</v>
      </c>
      <c r="H426" s="20">
        <v>38921</v>
      </c>
      <c r="I426" s="12">
        <v>45540</v>
      </c>
      <c r="J426" s="12">
        <v>45813</v>
      </c>
      <c r="K426" s="25">
        <v>5144</v>
      </c>
      <c r="L426" s="23">
        <v>33777</v>
      </c>
      <c r="M426" s="30" t="s">
        <v>1052</v>
      </c>
      <c r="N426" s="30" t="s">
        <v>1055</v>
      </c>
    </row>
    <row r="427" spans="1:14" customFormat="1" x14ac:dyDescent="0.25">
      <c r="A427" s="7">
        <v>426</v>
      </c>
      <c r="B427" s="11" t="s">
        <v>442</v>
      </c>
      <c r="C427" s="7" t="s">
        <v>1039</v>
      </c>
      <c r="D427" s="7">
        <v>426</v>
      </c>
      <c r="E427" s="9">
        <v>426</v>
      </c>
      <c r="F427" s="7">
        <v>426</v>
      </c>
      <c r="G427" s="11" t="s">
        <v>1020</v>
      </c>
      <c r="H427" s="20">
        <v>326050</v>
      </c>
      <c r="I427" s="12">
        <v>44333</v>
      </c>
      <c r="J427" s="12">
        <v>44729</v>
      </c>
      <c r="K427" s="25">
        <v>30929</v>
      </c>
      <c r="L427" s="23">
        <v>295121</v>
      </c>
      <c r="M427" s="30" t="s">
        <v>1052</v>
      </c>
      <c r="N427" s="30" t="s">
        <v>1055</v>
      </c>
    </row>
    <row r="428" spans="1:14" customFormat="1" x14ac:dyDescent="0.25">
      <c r="A428" s="7">
        <v>427</v>
      </c>
      <c r="B428" s="11" t="s">
        <v>443</v>
      </c>
      <c r="C428" s="7" t="s">
        <v>1039</v>
      </c>
      <c r="D428" s="7">
        <v>427</v>
      </c>
      <c r="E428" s="7">
        <v>427</v>
      </c>
      <c r="F428" s="7">
        <v>427</v>
      </c>
      <c r="G428" s="11" t="s">
        <v>1021</v>
      </c>
      <c r="H428" s="20">
        <v>8392</v>
      </c>
      <c r="I428" s="12">
        <v>43934</v>
      </c>
      <c r="J428" s="12">
        <v>44209</v>
      </c>
      <c r="K428" s="25">
        <v>4356</v>
      </c>
      <c r="L428" s="23">
        <v>4036</v>
      </c>
      <c r="M428" s="30" t="s">
        <v>1052</v>
      </c>
      <c r="N428" s="30" t="s">
        <v>1055</v>
      </c>
    </row>
    <row r="429" spans="1:14" customFormat="1" x14ac:dyDescent="0.25">
      <c r="A429" s="7">
        <v>428</v>
      </c>
      <c r="B429" s="11" t="s">
        <v>444</v>
      </c>
      <c r="C429" s="7" t="s">
        <v>1039</v>
      </c>
      <c r="D429" s="7">
        <v>428</v>
      </c>
      <c r="E429" s="7">
        <v>428</v>
      </c>
      <c r="F429" s="7">
        <v>428</v>
      </c>
      <c r="G429" s="11" t="s">
        <v>1026</v>
      </c>
      <c r="H429" s="20">
        <v>546571</v>
      </c>
      <c r="I429" s="12">
        <v>44480</v>
      </c>
      <c r="J429" s="12">
        <v>44937</v>
      </c>
      <c r="K429" s="25">
        <v>391977</v>
      </c>
      <c r="L429" s="23">
        <v>154594</v>
      </c>
      <c r="M429" s="30" t="s">
        <v>1052</v>
      </c>
      <c r="N429" s="30" t="s">
        <v>1055</v>
      </c>
    </row>
    <row r="430" spans="1:14" customFormat="1" x14ac:dyDescent="0.25">
      <c r="A430" s="7">
        <v>429</v>
      </c>
      <c r="B430" s="11" t="s">
        <v>445</v>
      </c>
      <c r="C430" s="7" t="s">
        <v>1039</v>
      </c>
      <c r="D430" s="7">
        <v>429</v>
      </c>
      <c r="E430" s="9">
        <v>429</v>
      </c>
      <c r="F430" s="7">
        <v>429</v>
      </c>
      <c r="G430" s="11" t="s">
        <v>1016</v>
      </c>
      <c r="H430" s="20">
        <v>35452</v>
      </c>
      <c r="I430" s="12">
        <v>44784</v>
      </c>
      <c r="J430" s="12">
        <v>45302</v>
      </c>
      <c r="K430" s="25">
        <v>10587</v>
      </c>
      <c r="L430" s="23">
        <v>24865</v>
      </c>
      <c r="M430" s="30" t="s">
        <v>1052</v>
      </c>
      <c r="N430" s="30" t="s">
        <v>1055</v>
      </c>
    </row>
    <row r="431" spans="1:14" customFormat="1" x14ac:dyDescent="0.25">
      <c r="A431" s="7">
        <v>430</v>
      </c>
      <c r="B431" s="11" t="s">
        <v>446</v>
      </c>
      <c r="C431" s="7" t="s">
        <v>1039</v>
      </c>
      <c r="D431" s="7">
        <v>430</v>
      </c>
      <c r="E431" s="7">
        <v>430</v>
      </c>
      <c r="F431" s="7">
        <v>430</v>
      </c>
      <c r="G431" s="11" t="s">
        <v>1027</v>
      </c>
      <c r="H431" s="20">
        <v>37399</v>
      </c>
      <c r="I431" s="12">
        <v>45711</v>
      </c>
      <c r="J431" s="12">
        <v>45984</v>
      </c>
      <c r="K431" s="25">
        <v>681</v>
      </c>
      <c r="L431" s="23">
        <v>36718</v>
      </c>
      <c r="M431" s="30" t="s">
        <v>1052</v>
      </c>
      <c r="N431" s="30" t="s">
        <v>1055</v>
      </c>
    </row>
    <row r="432" spans="1:14" customFormat="1" x14ac:dyDescent="0.25">
      <c r="A432" s="7">
        <v>431</v>
      </c>
      <c r="B432" s="11" t="s">
        <v>447</v>
      </c>
      <c r="C432" s="7" t="s">
        <v>1039</v>
      </c>
      <c r="D432" s="7">
        <v>431</v>
      </c>
      <c r="E432" s="7">
        <v>431</v>
      </c>
      <c r="F432" s="7">
        <v>431</v>
      </c>
      <c r="G432" s="11" t="s">
        <v>1027</v>
      </c>
      <c r="H432" s="20">
        <v>40557</v>
      </c>
      <c r="I432" s="12">
        <v>44054</v>
      </c>
      <c r="J432" s="12">
        <v>44266</v>
      </c>
      <c r="K432" s="25">
        <v>16649</v>
      </c>
      <c r="L432" s="23">
        <v>23908</v>
      </c>
      <c r="M432" s="30" t="s">
        <v>1052</v>
      </c>
      <c r="N432" s="30" t="s">
        <v>1055</v>
      </c>
    </row>
    <row r="433" spans="1:14" customFormat="1" x14ac:dyDescent="0.25">
      <c r="A433" s="7">
        <v>432</v>
      </c>
      <c r="B433" s="11" t="s">
        <v>448</v>
      </c>
      <c r="C433" s="7" t="s">
        <v>1039</v>
      </c>
      <c r="D433" s="7">
        <v>432</v>
      </c>
      <c r="E433" s="9">
        <v>432</v>
      </c>
      <c r="F433" s="7">
        <v>432</v>
      </c>
      <c r="G433" s="11" t="s">
        <v>1020</v>
      </c>
      <c r="H433" s="20">
        <v>231774</v>
      </c>
      <c r="I433" s="12">
        <v>45644</v>
      </c>
      <c r="J433" s="12">
        <v>46099</v>
      </c>
      <c r="K433" s="25">
        <v>91135</v>
      </c>
      <c r="L433" s="23">
        <v>140639</v>
      </c>
      <c r="M433" s="30" t="s">
        <v>1052</v>
      </c>
      <c r="N433" s="30" t="s">
        <v>1055</v>
      </c>
    </row>
    <row r="434" spans="1:14" customFormat="1" x14ac:dyDescent="0.25">
      <c r="A434" s="7">
        <v>433</v>
      </c>
      <c r="B434" s="11" t="s">
        <v>449</v>
      </c>
      <c r="C434" s="7" t="s">
        <v>1039</v>
      </c>
      <c r="D434" s="7">
        <v>433</v>
      </c>
      <c r="E434" s="7">
        <v>433</v>
      </c>
      <c r="F434" s="7">
        <v>433</v>
      </c>
      <c r="G434" s="11" t="s">
        <v>1021</v>
      </c>
      <c r="H434" s="20">
        <v>82105</v>
      </c>
      <c r="I434" s="12">
        <v>45660</v>
      </c>
      <c r="J434" s="12">
        <v>45841</v>
      </c>
      <c r="K434" s="25">
        <v>14982</v>
      </c>
      <c r="L434" s="23">
        <v>67123</v>
      </c>
      <c r="M434" s="30" t="s">
        <v>1052</v>
      </c>
      <c r="N434" s="30" t="s">
        <v>1055</v>
      </c>
    </row>
    <row r="435" spans="1:14" customFormat="1" x14ac:dyDescent="0.25">
      <c r="A435" s="7">
        <v>434</v>
      </c>
      <c r="B435" s="11" t="s">
        <v>450</v>
      </c>
      <c r="C435" s="7" t="s">
        <v>1039</v>
      </c>
      <c r="D435" s="7">
        <v>434</v>
      </c>
      <c r="E435" s="7">
        <v>434</v>
      </c>
      <c r="F435" s="7">
        <v>434</v>
      </c>
      <c r="G435" s="11" t="s">
        <v>1020</v>
      </c>
      <c r="H435" s="20">
        <v>100084</v>
      </c>
      <c r="I435" s="12">
        <v>44874</v>
      </c>
      <c r="J435" s="12">
        <v>45544</v>
      </c>
      <c r="K435" s="25">
        <v>86661</v>
      </c>
      <c r="L435" s="23">
        <v>13423</v>
      </c>
      <c r="M435" s="30" t="s">
        <v>1052</v>
      </c>
      <c r="N435" s="30" t="s">
        <v>1055</v>
      </c>
    </row>
    <row r="436" spans="1:14" customFormat="1" x14ac:dyDescent="0.25">
      <c r="A436" s="7">
        <v>435</v>
      </c>
      <c r="B436" s="11" t="s">
        <v>451</v>
      </c>
      <c r="C436" s="7" t="s">
        <v>1039</v>
      </c>
      <c r="D436" s="7">
        <v>435</v>
      </c>
      <c r="E436" s="9">
        <v>435</v>
      </c>
      <c r="F436" s="7">
        <v>435</v>
      </c>
      <c r="G436" s="11" t="s">
        <v>1021</v>
      </c>
      <c r="H436" s="20">
        <v>77365</v>
      </c>
      <c r="I436" s="12">
        <v>45228</v>
      </c>
      <c r="J436" s="12">
        <v>45686</v>
      </c>
      <c r="K436" s="25">
        <v>47621</v>
      </c>
      <c r="L436" s="23">
        <v>29744</v>
      </c>
      <c r="M436" s="30" t="s">
        <v>1052</v>
      </c>
      <c r="N436" s="30" t="s">
        <v>1055</v>
      </c>
    </row>
    <row r="437" spans="1:14" customFormat="1" x14ac:dyDescent="0.25">
      <c r="A437" s="7">
        <v>436</v>
      </c>
      <c r="B437" s="11" t="s">
        <v>452</v>
      </c>
      <c r="C437" s="7" t="s">
        <v>1039</v>
      </c>
      <c r="D437" s="7">
        <v>436</v>
      </c>
      <c r="E437" s="7">
        <v>436</v>
      </c>
      <c r="F437" s="7">
        <v>436</v>
      </c>
      <c r="G437" s="11" t="s">
        <v>1022</v>
      </c>
      <c r="H437" s="20">
        <v>15163</v>
      </c>
      <c r="I437" s="12">
        <v>43929</v>
      </c>
      <c r="J437" s="12">
        <v>44508</v>
      </c>
      <c r="K437" s="25">
        <v>1715</v>
      </c>
      <c r="L437" s="23">
        <v>13448</v>
      </c>
      <c r="M437" s="30" t="s">
        <v>1052</v>
      </c>
      <c r="N437" s="30" t="s">
        <v>1055</v>
      </c>
    </row>
    <row r="438" spans="1:14" customFormat="1" x14ac:dyDescent="0.25">
      <c r="A438" s="7">
        <v>437</v>
      </c>
      <c r="B438" s="11" t="s">
        <v>453</v>
      </c>
      <c r="C438" s="7" t="s">
        <v>1039</v>
      </c>
      <c r="D438" s="7">
        <v>437</v>
      </c>
      <c r="E438" s="7">
        <v>437</v>
      </c>
      <c r="F438" s="7">
        <v>437</v>
      </c>
      <c r="G438" s="11" t="s">
        <v>1022</v>
      </c>
      <c r="H438" s="20">
        <v>18938</v>
      </c>
      <c r="I438" s="12">
        <v>44024</v>
      </c>
      <c r="J438" s="12">
        <v>44298</v>
      </c>
      <c r="K438" s="25">
        <v>17602</v>
      </c>
      <c r="L438" s="23">
        <v>1336</v>
      </c>
      <c r="M438" s="30" t="s">
        <v>1052</v>
      </c>
      <c r="N438" s="30" t="s">
        <v>1055</v>
      </c>
    </row>
    <row r="439" spans="1:14" customFormat="1" x14ac:dyDescent="0.25">
      <c r="A439" s="7">
        <v>438</v>
      </c>
      <c r="B439" s="11" t="s">
        <v>454</v>
      </c>
      <c r="C439" s="7" t="s">
        <v>1039</v>
      </c>
      <c r="D439" s="7">
        <v>438</v>
      </c>
      <c r="E439" s="9">
        <v>438</v>
      </c>
      <c r="F439" s="7">
        <v>438</v>
      </c>
      <c r="G439" s="11" t="s">
        <v>1025</v>
      </c>
      <c r="H439" s="20">
        <v>466661</v>
      </c>
      <c r="I439" s="12">
        <v>44870</v>
      </c>
      <c r="J439" s="12">
        <v>45143</v>
      </c>
      <c r="K439" s="25">
        <v>362362</v>
      </c>
      <c r="L439" s="23">
        <v>104299</v>
      </c>
      <c r="M439" s="30" t="s">
        <v>1052</v>
      </c>
      <c r="N439" s="30" t="s">
        <v>1055</v>
      </c>
    </row>
    <row r="440" spans="1:14" customFormat="1" x14ac:dyDescent="0.25">
      <c r="A440" s="7">
        <v>439</v>
      </c>
      <c r="B440" s="11" t="s">
        <v>455</v>
      </c>
      <c r="C440" s="7" t="s">
        <v>1039</v>
      </c>
      <c r="D440" s="7">
        <v>439</v>
      </c>
      <c r="E440" s="7">
        <v>439</v>
      </c>
      <c r="F440" s="7">
        <v>439</v>
      </c>
      <c r="G440" s="11" t="s">
        <v>1025</v>
      </c>
      <c r="H440" s="20">
        <v>191848</v>
      </c>
      <c r="I440" s="12">
        <v>44140</v>
      </c>
      <c r="J440" s="12">
        <v>44809</v>
      </c>
      <c r="K440" s="25">
        <v>100808</v>
      </c>
      <c r="L440" s="23">
        <v>91040</v>
      </c>
      <c r="M440" s="30" t="s">
        <v>1052</v>
      </c>
      <c r="N440" s="30" t="s">
        <v>1055</v>
      </c>
    </row>
    <row r="441" spans="1:14" customFormat="1" x14ac:dyDescent="0.25">
      <c r="A441" s="7">
        <v>440</v>
      </c>
      <c r="B441" s="11" t="s">
        <v>456</v>
      </c>
      <c r="C441" s="7" t="s">
        <v>1039</v>
      </c>
      <c r="D441" s="7">
        <v>440</v>
      </c>
      <c r="E441" s="7">
        <v>440</v>
      </c>
      <c r="F441" s="7">
        <v>440</v>
      </c>
      <c r="G441" s="11" t="s">
        <v>1021</v>
      </c>
      <c r="H441" s="20">
        <v>20358</v>
      </c>
      <c r="I441" s="12">
        <v>44557</v>
      </c>
      <c r="J441" s="12">
        <v>45104</v>
      </c>
      <c r="K441" s="25">
        <v>16656</v>
      </c>
      <c r="L441" s="23">
        <v>3702</v>
      </c>
      <c r="M441" s="30" t="s">
        <v>1052</v>
      </c>
      <c r="N441" s="30" t="s">
        <v>1055</v>
      </c>
    </row>
    <row r="442" spans="1:14" customFormat="1" x14ac:dyDescent="0.25">
      <c r="A442" s="7">
        <v>441</v>
      </c>
      <c r="B442" s="11" t="s">
        <v>457</v>
      </c>
      <c r="C442" s="7" t="s">
        <v>1039</v>
      </c>
      <c r="D442" s="7">
        <v>441</v>
      </c>
      <c r="E442" s="9">
        <v>441</v>
      </c>
      <c r="F442" s="7">
        <v>441</v>
      </c>
      <c r="G442" s="11" t="s">
        <v>1016</v>
      </c>
      <c r="H442" s="20">
        <v>13834</v>
      </c>
      <c r="I442" s="12">
        <v>44675</v>
      </c>
      <c r="J442" s="12">
        <v>45254</v>
      </c>
      <c r="K442" s="25">
        <v>1817</v>
      </c>
      <c r="L442" s="23">
        <v>12017</v>
      </c>
      <c r="M442" s="30" t="s">
        <v>1052</v>
      </c>
      <c r="N442" s="30" t="s">
        <v>1055</v>
      </c>
    </row>
    <row r="443" spans="1:14" customFormat="1" x14ac:dyDescent="0.25">
      <c r="A443" s="7">
        <v>442</v>
      </c>
      <c r="B443" s="11" t="s">
        <v>458</v>
      </c>
      <c r="C443" s="7" t="s">
        <v>1039</v>
      </c>
      <c r="D443" s="7">
        <v>442</v>
      </c>
      <c r="E443" s="7">
        <v>442</v>
      </c>
      <c r="F443" s="7">
        <v>442</v>
      </c>
      <c r="G443" s="11" t="s">
        <v>1024</v>
      </c>
      <c r="H443" s="20">
        <v>647413</v>
      </c>
      <c r="I443" s="12">
        <v>45538</v>
      </c>
      <c r="J443" s="12">
        <v>46206</v>
      </c>
      <c r="K443" s="25">
        <v>377780</v>
      </c>
      <c r="L443" s="23">
        <v>269633</v>
      </c>
      <c r="M443" s="30" t="s">
        <v>1052</v>
      </c>
      <c r="N443" s="30" t="s">
        <v>1055</v>
      </c>
    </row>
    <row r="444" spans="1:14" customFormat="1" x14ac:dyDescent="0.25">
      <c r="A444" s="7">
        <v>443</v>
      </c>
      <c r="B444" s="11" t="s">
        <v>459</v>
      </c>
      <c r="C444" s="7" t="s">
        <v>1039</v>
      </c>
      <c r="D444" s="7">
        <v>443</v>
      </c>
      <c r="E444" s="7">
        <v>443</v>
      </c>
      <c r="F444" s="7">
        <v>443</v>
      </c>
      <c r="G444" s="11" t="s">
        <v>1022</v>
      </c>
      <c r="H444" s="20">
        <v>32690</v>
      </c>
      <c r="I444" s="12">
        <v>45403</v>
      </c>
      <c r="J444" s="12">
        <v>46043</v>
      </c>
      <c r="K444" s="25">
        <v>20886</v>
      </c>
      <c r="L444" s="23">
        <v>11804</v>
      </c>
      <c r="M444" s="30" t="s">
        <v>1052</v>
      </c>
      <c r="N444" s="30" t="s">
        <v>1055</v>
      </c>
    </row>
    <row r="445" spans="1:14" customFormat="1" x14ac:dyDescent="0.25">
      <c r="A445" s="7">
        <v>444</v>
      </c>
      <c r="B445" s="11" t="s">
        <v>460</v>
      </c>
      <c r="C445" s="7" t="s">
        <v>1039</v>
      </c>
      <c r="D445" s="7">
        <v>444</v>
      </c>
      <c r="E445" s="9">
        <v>444</v>
      </c>
      <c r="F445" s="7">
        <v>444</v>
      </c>
      <c r="G445" s="11" t="s">
        <v>1020</v>
      </c>
      <c r="H445" s="20">
        <v>493910</v>
      </c>
      <c r="I445" s="12">
        <v>44421</v>
      </c>
      <c r="J445" s="12">
        <v>44725</v>
      </c>
      <c r="K445" s="25">
        <v>58216</v>
      </c>
      <c r="L445" s="23">
        <v>435694</v>
      </c>
      <c r="M445" s="30" t="s">
        <v>1052</v>
      </c>
      <c r="N445" s="30" t="s">
        <v>1055</v>
      </c>
    </row>
    <row r="446" spans="1:14" customFormat="1" x14ac:dyDescent="0.25">
      <c r="A446" s="7">
        <v>445</v>
      </c>
      <c r="B446" s="11" t="s">
        <v>461</v>
      </c>
      <c r="C446" s="7" t="s">
        <v>1039</v>
      </c>
      <c r="D446" s="7">
        <v>445</v>
      </c>
      <c r="E446" s="7">
        <v>445</v>
      </c>
      <c r="F446" s="7">
        <v>445</v>
      </c>
      <c r="G446" s="11" t="s">
        <v>1023</v>
      </c>
      <c r="H446" s="20">
        <v>422</v>
      </c>
      <c r="I446" s="12">
        <v>45409</v>
      </c>
      <c r="J446" s="12">
        <v>45804</v>
      </c>
      <c r="K446" s="25">
        <v>104</v>
      </c>
      <c r="L446" s="23">
        <v>318</v>
      </c>
      <c r="M446" s="30" t="s">
        <v>1052</v>
      </c>
      <c r="N446" s="30" t="s">
        <v>1055</v>
      </c>
    </row>
    <row r="447" spans="1:14" customFormat="1" x14ac:dyDescent="0.25">
      <c r="A447" s="7">
        <v>446</v>
      </c>
      <c r="B447" s="11" t="s">
        <v>462</v>
      </c>
      <c r="C447" s="7" t="s">
        <v>1039</v>
      </c>
      <c r="D447" s="7">
        <v>446</v>
      </c>
      <c r="E447" s="7">
        <v>446</v>
      </c>
      <c r="F447" s="7">
        <v>446</v>
      </c>
      <c r="G447" s="11" t="s">
        <v>1024</v>
      </c>
      <c r="H447" s="20">
        <v>850757</v>
      </c>
      <c r="I447" s="12">
        <v>45240</v>
      </c>
      <c r="J447" s="12">
        <v>45971</v>
      </c>
      <c r="K447" s="25">
        <v>1973</v>
      </c>
      <c r="L447" s="23">
        <v>848784</v>
      </c>
      <c r="M447" s="30" t="s">
        <v>1052</v>
      </c>
      <c r="N447" s="30" t="s">
        <v>1055</v>
      </c>
    </row>
    <row r="448" spans="1:14" customFormat="1" x14ac:dyDescent="0.25">
      <c r="A448" s="7">
        <v>447</v>
      </c>
      <c r="B448" s="11" t="s">
        <v>463</v>
      </c>
      <c r="C448" s="7" t="s">
        <v>1039</v>
      </c>
      <c r="D448" s="7">
        <v>447</v>
      </c>
      <c r="E448" s="9">
        <v>447</v>
      </c>
      <c r="F448" s="7">
        <v>447</v>
      </c>
      <c r="G448" s="11" t="s">
        <v>1024</v>
      </c>
      <c r="H448" s="20">
        <v>429430</v>
      </c>
      <c r="I448" s="12">
        <v>44605</v>
      </c>
      <c r="J448" s="12">
        <v>45243</v>
      </c>
      <c r="K448" s="25">
        <v>216316</v>
      </c>
      <c r="L448" s="23">
        <v>213114</v>
      </c>
      <c r="M448" s="30" t="s">
        <v>1052</v>
      </c>
      <c r="N448" s="30" t="s">
        <v>1055</v>
      </c>
    </row>
    <row r="449" spans="1:14" customFormat="1" x14ac:dyDescent="0.25">
      <c r="A449" s="7">
        <v>448</v>
      </c>
      <c r="B449" s="11" t="s">
        <v>464</v>
      </c>
      <c r="C449" s="7" t="s">
        <v>1039</v>
      </c>
      <c r="D449" s="7">
        <v>448</v>
      </c>
      <c r="E449" s="7">
        <v>448</v>
      </c>
      <c r="F449" s="7">
        <v>448</v>
      </c>
      <c r="G449" s="11" t="s">
        <v>1026</v>
      </c>
      <c r="H449" s="20">
        <v>3777348</v>
      </c>
      <c r="I449" s="12">
        <v>44100</v>
      </c>
      <c r="J449" s="12">
        <v>44799</v>
      </c>
      <c r="K449" s="25">
        <v>2221244</v>
      </c>
      <c r="L449" s="23">
        <v>1556104</v>
      </c>
      <c r="M449" s="30" t="s">
        <v>1052</v>
      </c>
      <c r="N449" s="30" t="s">
        <v>1055</v>
      </c>
    </row>
    <row r="450" spans="1:14" customFormat="1" x14ac:dyDescent="0.25">
      <c r="A450" s="7">
        <v>449</v>
      </c>
      <c r="B450" s="11" t="s">
        <v>465</v>
      </c>
      <c r="C450" s="7" t="s">
        <v>1039</v>
      </c>
      <c r="D450" s="7">
        <v>449</v>
      </c>
      <c r="E450" s="7">
        <v>449</v>
      </c>
      <c r="F450" s="7">
        <v>449</v>
      </c>
      <c r="G450" s="11" t="s">
        <v>1016</v>
      </c>
      <c r="H450" s="20">
        <v>7785</v>
      </c>
      <c r="I450" s="12">
        <v>44436</v>
      </c>
      <c r="J450" s="12">
        <v>44954</v>
      </c>
      <c r="K450" s="25">
        <v>7316</v>
      </c>
      <c r="L450" s="23">
        <v>469</v>
      </c>
      <c r="M450" s="30" t="s">
        <v>1052</v>
      </c>
      <c r="N450" s="30" t="s">
        <v>1055</v>
      </c>
    </row>
    <row r="451" spans="1:14" customFormat="1" x14ac:dyDescent="0.25">
      <c r="A451" s="7">
        <v>450</v>
      </c>
      <c r="B451" s="11" t="s">
        <v>466</v>
      </c>
      <c r="C451" s="7" t="s">
        <v>1039</v>
      </c>
      <c r="D451" s="7">
        <v>450</v>
      </c>
      <c r="E451" s="9">
        <v>450</v>
      </c>
      <c r="F451" s="7">
        <v>450</v>
      </c>
      <c r="G451" s="11" t="s">
        <v>1021</v>
      </c>
      <c r="H451" s="20">
        <v>50531</v>
      </c>
      <c r="I451" s="12">
        <v>45077</v>
      </c>
      <c r="J451" s="12">
        <v>45808</v>
      </c>
      <c r="K451" s="25">
        <v>39903</v>
      </c>
      <c r="L451" s="23">
        <v>10628</v>
      </c>
      <c r="M451" s="30" t="s">
        <v>1052</v>
      </c>
      <c r="N451" s="30" t="s">
        <v>1055</v>
      </c>
    </row>
    <row r="452" spans="1:14" customFormat="1" x14ac:dyDescent="0.25">
      <c r="A452" s="7">
        <v>451</v>
      </c>
      <c r="B452" s="11" t="s">
        <v>467</v>
      </c>
      <c r="C452" s="7" t="s">
        <v>1039</v>
      </c>
      <c r="D452" s="7">
        <v>451</v>
      </c>
      <c r="E452" s="7">
        <v>451</v>
      </c>
      <c r="F452" s="7">
        <v>451</v>
      </c>
      <c r="G452" s="11" t="s">
        <v>1021</v>
      </c>
      <c r="H452" s="20">
        <v>53944</v>
      </c>
      <c r="I452" s="12">
        <v>44249</v>
      </c>
      <c r="J452" s="12">
        <v>44856</v>
      </c>
      <c r="K452" s="25">
        <v>17311</v>
      </c>
      <c r="L452" s="23">
        <v>36633</v>
      </c>
      <c r="M452" s="30" t="s">
        <v>1052</v>
      </c>
      <c r="N452" s="30" t="s">
        <v>1055</v>
      </c>
    </row>
    <row r="453" spans="1:14" customFormat="1" x14ac:dyDescent="0.25">
      <c r="A453" s="7">
        <v>452</v>
      </c>
      <c r="B453" s="11" t="s">
        <v>468</v>
      </c>
      <c r="C453" s="7" t="s">
        <v>1039</v>
      </c>
      <c r="D453" s="7">
        <v>452</v>
      </c>
      <c r="E453" s="7">
        <v>452</v>
      </c>
      <c r="F453" s="7">
        <v>452</v>
      </c>
      <c r="G453" s="11" t="s">
        <v>1022</v>
      </c>
      <c r="H453" s="20">
        <v>11024</v>
      </c>
      <c r="I453" s="12">
        <v>43899</v>
      </c>
      <c r="J453" s="12">
        <v>44295</v>
      </c>
      <c r="K453" s="25">
        <v>5023</v>
      </c>
      <c r="L453" s="23">
        <v>6001</v>
      </c>
      <c r="M453" s="30" t="s">
        <v>1052</v>
      </c>
      <c r="N453" s="30" t="s">
        <v>1055</v>
      </c>
    </row>
    <row r="454" spans="1:14" customFormat="1" x14ac:dyDescent="0.25">
      <c r="A454" s="7">
        <v>453</v>
      </c>
      <c r="B454" s="11" t="s">
        <v>469</v>
      </c>
      <c r="C454" s="7" t="s">
        <v>1039</v>
      </c>
      <c r="D454" s="7">
        <v>453</v>
      </c>
      <c r="E454" s="9">
        <v>453</v>
      </c>
      <c r="F454" s="7">
        <v>453</v>
      </c>
      <c r="G454" s="11" t="s">
        <v>1016</v>
      </c>
      <c r="H454" s="20">
        <v>35637</v>
      </c>
      <c r="I454" s="12">
        <v>45572</v>
      </c>
      <c r="J454" s="12">
        <v>46302</v>
      </c>
      <c r="K454" s="25">
        <v>23275</v>
      </c>
      <c r="L454" s="23">
        <v>12362</v>
      </c>
      <c r="M454" s="30" t="s">
        <v>1052</v>
      </c>
      <c r="N454" s="30" t="s">
        <v>1055</v>
      </c>
    </row>
    <row r="455" spans="1:14" customFormat="1" x14ac:dyDescent="0.25">
      <c r="A455" s="7">
        <v>454</v>
      </c>
      <c r="B455" s="11" t="s">
        <v>470</v>
      </c>
      <c r="C455" s="7" t="s">
        <v>1039</v>
      </c>
      <c r="D455" s="7">
        <v>454</v>
      </c>
      <c r="E455" s="7">
        <v>454</v>
      </c>
      <c r="F455" s="7">
        <v>454</v>
      </c>
      <c r="G455" s="11" t="s">
        <v>1026</v>
      </c>
      <c r="H455" s="20">
        <v>3136588</v>
      </c>
      <c r="I455" s="12">
        <v>45343</v>
      </c>
      <c r="J455" s="12">
        <v>45525</v>
      </c>
      <c r="K455" s="25">
        <v>402175</v>
      </c>
      <c r="L455" s="23">
        <v>2734413</v>
      </c>
      <c r="M455" s="30" t="s">
        <v>1052</v>
      </c>
      <c r="N455" s="30" t="s">
        <v>1055</v>
      </c>
    </row>
    <row r="456" spans="1:14" customFormat="1" x14ac:dyDescent="0.25">
      <c r="A456" s="7">
        <v>455</v>
      </c>
      <c r="B456" s="11" t="s">
        <v>471</v>
      </c>
      <c r="C456" s="7" t="s">
        <v>1039</v>
      </c>
      <c r="D456" s="7">
        <v>455</v>
      </c>
      <c r="E456" s="7">
        <v>455</v>
      </c>
      <c r="F456" s="7">
        <v>455</v>
      </c>
      <c r="G456" s="11" t="s">
        <v>1023</v>
      </c>
      <c r="H456" s="20">
        <v>366</v>
      </c>
      <c r="I456" s="12">
        <v>44044</v>
      </c>
      <c r="J456" s="12">
        <v>44652</v>
      </c>
      <c r="K456" s="25">
        <v>146</v>
      </c>
      <c r="L456" s="23">
        <v>220</v>
      </c>
      <c r="M456" s="30" t="s">
        <v>1052</v>
      </c>
      <c r="N456" s="30" t="s">
        <v>1055</v>
      </c>
    </row>
    <row r="457" spans="1:14" customFormat="1" x14ac:dyDescent="0.25">
      <c r="A457" s="7">
        <v>456</v>
      </c>
      <c r="B457" s="11" t="s">
        <v>472</v>
      </c>
      <c r="C457" s="7" t="s">
        <v>1039</v>
      </c>
      <c r="D457" s="7">
        <v>456</v>
      </c>
      <c r="E457" s="9">
        <v>456</v>
      </c>
      <c r="F457" s="7">
        <v>456</v>
      </c>
      <c r="G457" s="11" t="s">
        <v>1027</v>
      </c>
      <c r="H457" s="20">
        <v>29961</v>
      </c>
      <c r="I457" s="12">
        <v>45459</v>
      </c>
      <c r="J457" s="12">
        <v>45673</v>
      </c>
      <c r="K457" s="25">
        <v>15047</v>
      </c>
      <c r="L457" s="23">
        <v>14914</v>
      </c>
      <c r="M457" s="30" t="s">
        <v>1052</v>
      </c>
      <c r="N457" s="30" t="s">
        <v>1055</v>
      </c>
    </row>
    <row r="458" spans="1:14" customFormat="1" x14ac:dyDescent="0.25">
      <c r="A458" s="7">
        <v>457</v>
      </c>
      <c r="B458" s="11" t="s">
        <v>473</v>
      </c>
      <c r="C458" s="7" t="s">
        <v>1039</v>
      </c>
      <c r="D458" s="7">
        <v>457</v>
      </c>
      <c r="E458" s="7">
        <v>457</v>
      </c>
      <c r="F458" s="7">
        <v>457</v>
      </c>
      <c r="G458" s="11" t="s">
        <v>1024</v>
      </c>
      <c r="H458" s="20">
        <v>415631</v>
      </c>
      <c r="I458" s="12">
        <v>44260</v>
      </c>
      <c r="J458" s="12">
        <v>44686</v>
      </c>
      <c r="K458" s="25">
        <v>390224</v>
      </c>
      <c r="L458" s="23">
        <v>25407</v>
      </c>
      <c r="M458" s="30" t="s">
        <v>1052</v>
      </c>
      <c r="N458" s="30" t="s">
        <v>1055</v>
      </c>
    </row>
    <row r="459" spans="1:14" customFormat="1" x14ac:dyDescent="0.25">
      <c r="A459" s="7">
        <v>458</v>
      </c>
      <c r="B459" s="11" t="s">
        <v>474</v>
      </c>
      <c r="C459" s="7" t="s">
        <v>1039</v>
      </c>
      <c r="D459" s="7">
        <v>458</v>
      </c>
      <c r="E459" s="7">
        <v>458</v>
      </c>
      <c r="F459" s="7">
        <v>458</v>
      </c>
      <c r="G459" s="11" t="s">
        <v>1022</v>
      </c>
      <c r="H459" s="20">
        <v>22966</v>
      </c>
      <c r="I459" s="12">
        <v>44544</v>
      </c>
      <c r="J459" s="12">
        <v>44787</v>
      </c>
      <c r="K459" s="25">
        <v>7275</v>
      </c>
      <c r="L459" s="23">
        <v>15691</v>
      </c>
      <c r="M459" s="30" t="s">
        <v>1052</v>
      </c>
      <c r="N459" s="30" t="s">
        <v>1055</v>
      </c>
    </row>
    <row r="460" spans="1:14" customFormat="1" x14ac:dyDescent="0.25">
      <c r="A460" s="7">
        <v>459</v>
      </c>
      <c r="B460" s="11" t="s">
        <v>475</v>
      </c>
      <c r="C460" s="7" t="s">
        <v>1039</v>
      </c>
      <c r="D460" s="7">
        <v>459</v>
      </c>
      <c r="E460" s="9">
        <v>459</v>
      </c>
      <c r="F460" s="7">
        <v>459</v>
      </c>
      <c r="G460" s="11" t="s">
        <v>1027</v>
      </c>
      <c r="H460" s="20">
        <v>28527</v>
      </c>
      <c r="I460" s="12">
        <v>44916</v>
      </c>
      <c r="J460" s="12">
        <v>44947</v>
      </c>
      <c r="K460" s="25">
        <v>21713</v>
      </c>
      <c r="L460" s="23">
        <v>6814</v>
      </c>
      <c r="M460" s="30" t="s">
        <v>1052</v>
      </c>
      <c r="N460" s="30" t="s">
        <v>1055</v>
      </c>
    </row>
    <row r="461" spans="1:14" customFormat="1" x14ac:dyDescent="0.25">
      <c r="A461" s="7">
        <v>460</v>
      </c>
      <c r="B461" s="11" t="s">
        <v>476</v>
      </c>
      <c r="C461" s="7" t="s">
        <v>1039</v>
      </c>
      <c r="D461" s="7">
        <v>460</v>
      </c>
      <c r="E461" s="7">
        <v>460</v>
      </c>
      <c r="F461" s="7">
        <v>460</v>
      </c>
      <c r="G461" s="11" t="s">
        <v>1022</v>
      </c>
      <c r="H461" s="20">
        <v>15521</v>
      </c>
      <c r="I461" s="12">
        <v>45585</v>
      </c>
      <c r="J461" s="12">
        <v>46162</v>
      </c>
      <c r="K461" s="25">
        <v>9603</v>
      </c>
      <c r="L461" s="23">
        <v>5918</v>
      </c>
      <c r="M461" s="30" t="s">
        <v>1052</v>
      </c>
      <c r="N461" s="30" t="s">
        <v>1055</v>
      </c>
    </row>
    <row r="462" spans="1:14" customFormat="1" x14ac:dyDescent="0.25">
      <c r="A462" s="7">
        <v>461</v>
      </c>
      <c r="B462" s="11" t="s">
        <v>477</v>
      </c>
      <c r="C462" s="7" t="s">
        <v>1039</v>
      </c>
      <c r="D462" s="7">
        <v>461</v>
      </c>
      <c r="E462" s="7">
        <v>461</v>
      </c>
      <c r="F462" s="7">
        <v>461</v>
      </c>
      <c r="G462" s="11" t="s">
        <v>1020</v>
      </c>
      <c r="H462" s="20">
        <v>154270</v>
      </c>
      <c r="I462" s="12">
        <v>44500</v>
      </c>
      <c r="J462" s="12">
        <v>45169</v>
      </c>
      <c r="K462" s="25">
        <v>142876</v>
      </c>
      <c r="L462" s="23">
        <v>11394</v>
      </c>
      <c r="M462" s="30" t="s">
        <v>1052</v>
      </c>
      <c r="N462" s="30" t="s">
        <v>1055</v>
      </c>
    </row>
    <row r="463" spans="1:14" customFormat="1" x14ac:dyDescent="0.25">
      <c r="A463" s="7">
        <v>462</v>
      </c>
      <c r="B463" s="11" t="s">
        <v>478</v>
      </c>
      <c r="C463" s="7" t="s">
        <v>1039</v>
      </c>
      <c r="D463" s="7">
        <v>462</v>
      </c>
      <c r="E463" s="9">
        <v>462</v>
      </c>
      <c r="F463" s="7">
        <v>462</v>
      </c>
      <c r="G463" s="11" t="s">
        <v>1016</v>
      </c>
      <c r="H463" s="20">
        <v>45622</v>
      </c>
      <c r="I463" s="12">
        <v>45442</v>
      </c>
      <c r="J463" s="12">
        <v>46081</v>
      </c>
      <c r="K463" s="25">
        <v>42821</v>
      </c>
      <c r="L463" s="23">
        <v>2801</v>
      </c>
      <c r="M463" s="30" t="s">
        <v>1052</v>
      </c>
      <c r="N463" s="30" t="s">
        <v>1055</v>
      </c>
    </row>
    <row r="464" spans="1:14" customFormat="1" x14ac:dyDescent="0.25">
      <c r="A464" s="7">
        <v>463</v>
      </c>
      <c r="B464" s="11" t="s">
        <v>479</v>
      </c>
      <c r="C464" s="7" t="s">
        <v>1039</v>
      </c>
      <c r="D464" s="7">
        <v>463</v>
      </c>
      <c r="E464" s="7">
        <v>463</v>
      </c>
      <c r="F464" s="7">
        <v>463</v>
      </c>
      <c r="G464" s="11" t="s">
        <v>1020</v>
      </c>
      <c r="H464" s="20">
        <v>274145</v>
      </c>
      <c r="I464" s="12">
        <v>44240</v>
      </c>
      <c r="J464" s="12">
        <v>44725</v>
      </c>
      <c r="K464" s="25">
        <v>164754</v>
      </c>
      <c r="L464" s="23">
        <v>109391</v>
      </c>
      <c r="M464" s="30" t="s">
        <v>1052</v>
      </c>
      <c r="N464" s="30" t="s">
        <v>1055</v>
      </c>
    </row>
    <row r="465" spans="1:14" customFormat="1" x14ac:dyDescent="0.25">
      <c r="A465" s="7">
        <v>464</v>
      </c>
      <c r="B465" s="11" t="s">
        <v>480</v>
      </c>
      <c r="C465" s="7" t="s">
        <v>1039</v>
      </c>
      <c r="D465" s="7">
        <v>464</v>
      </c>
      <c r="E465" s="7">
        <v>464</v>
      </c>
      <c r="F465" s="7">
        <v>464</v>
      </c>
      <c r="G465" s="11" t="s">
        <v>1023</v>
      </c>
      <c r="H465" s="20">
        <v>254</v>
      </c>
      <c r="I465" s="12">
        <v>45656</v>
      </c>
      <c r="J465" s="12">
        <v>46111</v>
      </c>
      <c r="K465" s="25">
        <v>47</v>
      </c>
      <c r="L465" s="23">
        <v>207</v>
      </c>
      <c r="M465" s="30" t="s">
        <v>1052</v>
      </c>
      <c r="N465" s="30" t="s">
        <v>1055</v>
      </c>
    </row>
    <row r="466" spans="1:14" customFormat="1" x14ac:dyDescent="0.25">
      <c r="A466" s="7">
        <v>465</v>
      </c>
      <c r="B466" s="11" t="s">
        <v>481</v>
      </c>
      <c r="C466" s="7" t="s">
        <v>1039</v>
      </c>
      <c r="D466" s="7">
        <v>465</v>
      </c>
      <c r="E466" s="9">
        <v>465</v>
      </c>
      <c r="F466" s="7">
        <v>465</v>
      </c>
      <c r="G466" s="11" t="s">
        <v>1020</v>
      </c>
      <c r="H466" s="20">
        <v>103234</v>
      </c>
      <c r="I466" s="12">
        <v>45465</v>
      </c>
      <c r="J466" s="12">
        <v>45618</v>
      </c>
      <c r="K466" s="25">
        <v>59404</v>
      </c>
      <c r="L466" s="23">
        <v>43830</v>
      </c>
      <c r="M466" s="30" t="s">
        <v>1052</v>
      </c>
      <c r="N466" s="30" t="s">
        <v>1055</v>
      </c>
    </row>
    <row r="467" spans="1:14" customFormat="1" x14ac:dyDescent="0.25">
      <c r="A467" s="7">
        <v>466</v>
      </c>
      <c r="B467" s="11" t="s">
        <v>482</v>
      </c>
      <c r="C467" s="7" t="s">
        <v>1039</v>
      </c>
      <c r="D467" s="7">
        <v>466</v>
      </c>
      <c r="E467" s="7">
        <v>466</v>
      </c>
      <c r="F467" s="7">
        <v>466</v>
      </c>
      <c r="G467" s="11" t="s">
        <v>1023</v>
      </c>
      <c r="H467" s="20">
        <v>812</v>
      </c>
      <c r="I467" s="12">
        <v>45220</v>
      </c>
      <c r="J467" s="12">
        <v>45890</v>
      </c>
      <c r="K467" s="25">
        <v>216</v>
      </c>
      <c r="L467" s="23">
        <v>596</v>
      </c>
      <c r="M467" s="30" t="s">
        <v>1052</v>
      </c>
      <c r="N467" s="30" t="s">
        <v>1055</v>
      </c>
    </row>
    <row r="468" spans="1:14" customFormat="1" x14ac:dyDescent="0.25">
      <c r="A468" s="7">
        <v>467</v>
      </c>
      <c r="B468" s="11" t="s">
        <v>483</v>
      </c>
      <c r="C468" s="7" t="s">
        <v>1039</v>
      </c>
      <c r="D468" s="7">
        <v>467</v>
      </c>
      <c r="E468" s="7">
        <v>467</v>
      </c>
      <c r="F468" s="7">
        <v>467</v>
      </c>
      <c r="G468" s="11" t="s">
        <v>1026</v>
      </c>
      <c r="H468" s="20">
        <v>2299564</v>
      </c>
      <c r="I468" s="12">
        <v>44760</v>
      </c>
      <c r="J468" s="12">
        <v>45156</v>
      </c>
      <c r="K468" s="25">
        <v>807261</v>
      </c>
      <c r="L468" s="23">
        <v>1492303</v>
      </c>
      <c r="M468" s="30" t="s">
        <v>1052</v>
      </c>
      <c r="N468" s="30" t="s">
        <v>1055</v>
      </c>
    </row>
    <row r="469" spans="1:14" customFormat="1" x14ac:dyDescent="0.25">
      <c r="A469" s="7">
        <v>468</v>
      </c>
      <c r="B469" s="11" t="s">
        <v>484</v>
      </c>
      <c r="C469" s="7" t="s">
        <v>1039</v>
      </c>
      <c r="D469" s="7">
        <v>468</v>
      </c>
      <c r="E469" s="9">
        <v>468</v>
      </c>
      <c r="F469" s="7">
        <v>468</v>
      </c>
      <c r="G469" s="11" t="s">
        <v>1023</v>
      </c>
      <c r="H469" s="20">
        <v>812</v>
      </c>
      <c r="I469" s="12">
        <v>45427</v>
      </c>
      <c r="J469" s="12">
        <v>45884</v>
      </c>
      <c r="K469" s="25">
        <v>788</v>
      </c>
      <c r="L469" s="23">
        <v>24</v>
      </c>
      <c r="M469" s="30" t="s">
        <v>1052</v>
      </c>
      <c r="N469" s="30" t="s">
        <v>1055</v>
      </c>
    </row>
    <row r="470" spans="1:14" customFormat="1" x14ac:dyDescent="0.25">
      <c r="A470" s="7">
        <v>469</v>
      </c>
      <c r="B470" s="11" t="s">
        <v>485</v>
      </c>
      <c r="C470" s="7" t="s">
        <v>1039</v>
      </c>
      <c r="D470" s="7">
        <v>469</v>
      </c>
      <c r="E470" s="7">
        <v>469</v>
      </c>
      <c r="F470" s="7">
        <v>469</v>
      </c>
      <c r="G470" s="11" t="s">
        <v>1024</v>
      </c>
      <c r="H470" s="20">
        <v>687712</v>
      </c>
      <c r="I470" s="12">
        <v>44072</v>
      </c>
      <c r="J470" s="12">
        <v>44437</v>
      </c>
      <c r="K470" s="25">
        <v>282164</v>
      </c>
      <c r="L470" s="23">
        <v>405548</v>
      </c>
      <c r="M470" s="30" t="s">
        <v>1052</v>
      </c>
      <c r="N470" s="30" t="s">
        <v>1055</v>
      </c>
    </row>
    <row r="471" spans="1:14" customFormat="1" x14ac:dyDescent="0.25">
      <c r="A471" s="7">
        <v>470</v>
      </c>
      <c r="B471" s="11" t="s">
        <v>486</v>
      </c>
      <c r="C471" s="7" t="s">
        <v>1039</v>
      </c>
      <c r="D471" s="7">
        <v>470</v>
      </c>
      <c r="E471" s="7">
        <v>470</v>
      </c>
      <c r="F471" s="7">
        <v>470</v>
      </c>
      <c r="G471" s="11" t="s">
        <v>1020</v>
      </c>
      <c r="H471" s="20">
        <v>297547</v>
      </c>
      <c r="I471" s="12">
        <v>45343</v>
      </c>
      <c r="J471" s="12">
        <v>45798</v>
      </c>
      <c r="K471" s="25">
        <v>159614</v>
      </c>
      <c r="L471" s="23">
        <v>137933</v>
      </c>
      <c r="M471" s="30" t="s">
        <v>1052</v>
      </c>
      <c r="N471" s="30" t="s">
        <v>1055</v>
      </c>
    </row>
    <row r="472" spans="1:14" customFormat="1" x14ac:dyDescent="0.25">
      <c r="A472" s="7">
        <v>471</v>
      </c>
      <c r="B472" s="11" t="s">
        <v>487</v>
      </c>
      <c r="C472" s="7" t="s">
        <v>1039</v>
      </c>
      <c r="D472" s="7">
        <v>471</v>
      </c>
      <c r="E472" s="9">
        <v>471</v>
      </c>
      <c r="F472" s="7">
        <v>471</v>
      </c>
      <c r="G472" s="11" t="s">
        <v>1020</v>
      </c>
      <c r="H472" s="20">
        <v>355502</v>
      </c>
      <c r="I472" s="12">
        <v>44012</v>
      </c>
      <c r="J472" s="12">
        <v>44104</v>
      </c>
      <c r="K472" s="25">
        <v>261002</v>
      </c>
      <c r="L472" s="23">
        <v>94500</v>
      </c>
      <c r="M472" s="30" t="s">
        <v>1052</v>
      </c>
      <c r="N472" s="30" t="s">
        <v>1055</v>
      </c>
    </row>
    <row r="473" spans="1:14" customFormat="1" x14ac:dyDescent="0.25">
      <c r="A473" s="7">
        <v>472</v>
      </c>
      <c r="B473" s="11" t="s">
        <v>488</v>
      </c>
      <c r="C473" s="7" t="s">
        <v>1039</v>
      </c>
      <c r="D473" s="7">
        <v>472</v>
      </c>
      <c r="E473" s="7">
        <v>472</v>
      </c>
      <c r="F473" s="7">
        <v>472</v>
      </c>
      <c r="G473" s="11" t="s">
        <v>1022</v>
      </c>
      <c r="H473" s="20">
        <v>6816</v>
      </c>
      <c r="I473" s="12">
        <v>44629</v>
      </c>
      <c r="J473" s="12">
        <v>44660</v>
      </c>
      <c r="K473" s="25">
        <v>3336</v>
      </c>
      <c r="L473" s="23">
        <v>3480</v>
      </c>
      <c r="M473" s="30" t="s">
        <v>1052</v>
      </c>
      <c r="N473" s="30" t="s">
        <v>1055</v>
      </c>
    </row>
    <row r="474" spans="1:14" customFormat="1" x14ac:dyDescent="0.25">
      <c r="A474" s="7">
        <v>473</v>
      </c>
      <c r="B474" s="11" t="s">
        <v>489</v>
      </c>
      <c r="C474" s="7" t="s">
        <v>1039</v>
      </c>
      <c r="D474" s="7">
        <v>473</v>
      </c>
      <c r="E474" s="7">
        <v>473</v>
      </c>
      <c r="F474" s="7">
        <v>473</v>
      </c>
      <c r="G474" s="11" t="s">
        <v>1016</v>
      </c>
      <c r="H474" s="20">
        <v>40984</v>
      </c>
      <c r="I474" s="12">
        <v>44394</v>
      </c>
      <c r="J474" s="12">
        <v>44912</v>
      </c>
      <c r="K474" s="25">
        <v>6766</v>
      </c>
      <c r="L474" s="23">
        <v>34218</v>
      </c>
      <c r="M474" s="30" t="s">
        <v>1052</v>
      </c>
      <c r="N474" s="30" t="s">
        <v>1055</v>
      </c>
    </row>
    <row r="475" spans="1:14" customFormat="1" x14ac:dyDescent="0.25">
      <c r="A475" s="7">
        <v>474</v>
      </c>
      <c r="B475" s="11" t="s">
        <v>490</v>
      </c>
      <c r="C475" s="7" t="s">
        <v>1039</v>
      </c>
      <c r="D475" s="7">
        <v>474</v>
      </c>
      <c r="E475" s="9">
        <v>474</v>
      </c>
      <c r="F475" s="7">
        <v>474</v>
      </c>
      <c r="G475" s="11" t="s">
        <v>1027</v>
      </c>
      <c r="H475" s="20">
        <v>20375</v>
      </c>
      <c r="I475" s="12">
        <v>45450</v>
      </c>
      <c r="J475" s="12">
        <v>45937</v>
      </c>
      <c r="K475" s="25">
        <v>1758</v>
      </c>
      <c r="L475" s="23">
        <v>18617</v>
      </c>
      <c r="M475" s="30" t="s">
        <v>1052</v>
      </c>
      <c r="N475" s="30" t="s">
        <v>1055</v>
      </c>
    </row>
    <row r="476" spans="1:14" customFormat="1" x14ac:dyDescent="0.25">
      <c r="A476" s="7">
        <v>475</v>
      </c>
      <c r="B476" s="11" t="s">
        <v>491</v>
      </c>
      <c r="C476" s="7" t="s">
        <v>1039</v>
      </c>
      <c r="D476" s="7">
        <v>475</v>
      </c>
      <c r="E476" s="7">
        <v>475</v>
      </c>
      <c r="F476" s="7">
        <v>475</v>
      </c>
      <c r="G476" s="11" t="s">
        <v>1023</v>
      </c>
      <c r="H476" s="20">
        <v>300</v>
      </c>
      <c r="I476" s="12">
        <v>44618</v>
      </c>
      <c r="J476" s="12">
        <v>44830</v>
      </c>
      <c r="K476" s="25">
        <v>167</v>
      </c>
      <c r="L476" s="23">
        <v>133</v>
      </c>
      <c r="M476" s="30" t="s">
        <v>1052</v>
      </c>
      <c r="N476" s="30" t="s">
        <v>1055</v>
      </c>
    </row>
    <row r="477" spans="1:14" customFormat="1" x14ac:dyDescent="0.25">
      <c r="A477" s="7">
        <v>476</v>
      </c>
      <c r="B477" s="11" t="s">
        <v>492</v>
      </c>
      <c r="C477" s="7" t="s">
        <v>1039</v>
      </c>
      <c r="D477" s="7">
        <v>476</v>
      </c>
      <c r="E477" s="7">
        <v>476</v>
      </c>
      <c r="F477" s="7">
        <v>476</v>
      </c>
      <c r="G477" s="11" t="s">
        <v>1026</v>
      </c>
      <c r="H477" s="20">
        <v>4451379</v>
      </c>
      <c r="I477" s="12">
        <v>45329</v>
      </c>
      <c r="J477" s="12">
        <v>45723</v>
      </c>
      <c r="K477" s="25">
        <v>3047138</v>
      </c>
      <c r="L477" s="23">
        <v>1404241</v>
      </c>
      <c r="M477" s="30" t="s">
        <v>1052</v>
      </c>
      <c r="N477" s="30" t="s">
        <v>1055</v>
      </c>
    </row>
    <row r="478" spans="1:14" customFormat="1" x14ac:dyDescent="0.25">
      <c r="A478" s="7">
        <v>477</v>
      </c>
      <c r="B478" s="11" t="s">
        <v>493</v>
      </c>
      <c r="C478" s="7" t="s">
        <v>1039</v>
      </c>
      <c r="D478" s="7">
        <v>477</v>
      </c>
      <c r="E478" s="9">
        <v>477</v>
      </c>
      <c r="F478" s="7">
        <v>477</v>
      </c>
      <c r="G478" s="11" t="s">
        <v>1022</v>
      </c>
      <c r="H478" s="20">
        <v>15547</v>
      </c>
      <c r="I478" s="12">
        <v>44090</v>
      </c>
      <c r="J478" s="12">
        <v>44546</v>
      </c>
      <c r="K478" s="25">
        <v>12728</v>
      </c>
      <c r="L478" s="23">
        <v>2819</v>
      </c>
      <c r="M478" s="30" t="s">
        <v>1052</v>
      </c>
      <c r="N478" s="30" t="s">
        <v>1055</v>
      </c>
    </row>
    <row r="479" spans="1:14" customFormat="1" x14ac:dyDescent="0.25">
      <c r="A479" s="7">
        <v>478</v>
      </c>
      <c r="B479" s="11" t="s">
        <v>494</v>
      </c>
      <c r="C479" s="7" t="s">
        <v>1039</v>
      </c>
      <c r="D479" s="7">
        <v>478</v>
      </c>
      <c r="E479" s="7">
        <v>478</v>
      </c>
      <c r="F479" s="7">
        <v>478</v>
      </c>
      <c r="G479" s="11" t="s">
        <v>1021</v>
      </c>
      <c r="H479" s="20">
        <v>97126</v>
      </c>
      <c r="I479" s="12">
        <v>45182</v>
      </c>
      <c r="J479" s="12">
        <v>45851</v>
      </c>
      <c r="K479" s="25">
        <v>30592</v>
      </c>
      <c r="L479" s="23">
        <v>66534</v>
      </c>
      <c r="M479" s="30" t="s">
        <v>1052</v>
      </c>
      <c r="N479" s="30" t="s">
        <v>1055</v>
      </c>
    </row>
    <row r="480" spans="1:14" customFormat="1" x14ac:dyDescent="0.25">
      <c r="A480" s="7">
        <v>479</v>
      </c>
      <c r="B480" s="11" t="s">
        <v>495</v>
      </c>
      <c r="C480" s="7" t="s">
        <v>1039</v>
      </c>
      <c r="D480" s="7">
        <v>479</v>
      </c>
      <c r="E480" s="7">
        <v>479</v>
      </c>
      <c r="F480" s="7">
        <v>479</v>
      </c>
      <c r="G480" s="11" t="s">
        <v>1024</v>
      </c>
      <c r="H480" s="20">
        <v>601157</v>
      </c>
      <c r="I480" s="12">
        <v>45154</v>
      </c>
      <c r="J480" s="12">
        <v>45854</v>
      </c>
      <c r="K480" s="25">
        <v>463326</v>
      </c>
      <c r="L480" s="23">
        <v>137831</v>
      </c>
      <c r="M480" s="30" t="s">
        <v>1052</v>
      </c>
      <c r="N480" s="30" t="s">
        <v>1055</v>
      </c>
    </row>
    <row r="481" spans="1:14" customFormat="1" x14ac:dyDescent="0.25">
      <c r="A481" s="7">
        <v>480</v>
      </c>
      <c r="B481" s="11" t="s">
        <v>496</v>
      </c>
      <c r="C481" s="7" t="s">
        <v>1039</v>
      </c>
      <c r="D481" s="7">
        <v>480</v>
      </c>
      <c r="E481" s="9">
        <v>480</v>
      </c>
      <c r="F481" s="7">
        <v>480</v>
      </c>
      <c r="G481" s="11" t="s">
        <v>1027</v>
      </c>
      <c r="H481" s="20">
        <v>47384</v>
      </c>
      <c r="I481" s="12">
        <v>45576</v>
      </c>
      <c r="J481" s="12">
        <v>46064</v>
      </c>
      <c r="K481" s="25">
        <v>13875</v>
      </c>
      <c r="L481" s="23">
        <v>33509</v>
      </c>
      <c r="M481" s="30" t="s">
        <v>1052</v>
      </c>
      <c r="N481" s="30" t="s">
        <v>1055</v>
      </c>
    </row>
    <row r="482" spans="1:14" customFormat="1" x14ac:dyDescent="0.25">
      <c r="A482" s="7">
        <v>481</v>
      </c>
      <c r="B482" s="11" t="s">
        <v>497</v>
      </c>
      <c r="C482" s="7" t="s">
        <v>1039</v>
      </c>
      <c r="D482" s="7">
        <v>481</v>
      </c>
      <c r="E482" s="7">
        <v>481</v>
      </c>
      <c r="F482" s="7">
        <v>481</v>
      </c>
      <c r="G482" s="11" t="s">
        <v>1016</v>
      </c>
      <c r="H482" s="20">
        <v>37651</v>
      </c>
      <c r="I482" s="12">
        <v>45324</v>
      </c>
      <c r="J482" s="12">
        <v>45598</v>
      </c>
      <c r="K482" s="25">
        <v>7116</v>
      </c>
      <c r="L482" s="23">
        <v>30535</v>
      </c>
      <c r="M482" s="30" t="s">
        <v>1052</v>
      </c>
      <c r="N482" s="30" t="s">
        <v>1055</v>
      </c>
    </row>
    <row r="483" spans="1:14" customFormat="1" x14ac:dyDescent="0.25">
      <c r="A483" s="7">
        <v>482</v>
      </c>
      <c r="B483" s="11" t="s">
        <v>498</v>
      </c>
      <c r="C483" s="7" t="s">
        <v>1039</v>
      </c>
      <c r="D483" s="7">
        <v>482</v>
      </c>
      <c r="E483" s="7">
        <v>482</v>
      </c>
      <c r="F483" s="7">
        <v>482</v>
      </c>
      <c r="G483" s="11" t="s">
        <v>1024</v>
      </c>
      <c r="H483" s="20">
        <v>751284</v>
      </c>
      <c r="I483" s="12">
        <v>43874</v>
      </c>
      <c r="J483" s="12">
        <v>44329</v>
      </c>
      <c r="K483" s="25">
        <v>420913</v>
      </c>
      <c r="L483" s="23">
        <v>330371</v>
      </c>
      <c r="M483" s="30" t="s">
        <v>1052</v>
      </c>
      <c r="N483" s="30" t="s">
        <v>1055</v>
      </c>
    </row>
    <row r="484" spans="1:14" customFormat="1" x14ac:dyDescent="0.25">
      <c r="A484" s="7">
        <v>483</v>
      </c>
      <c r="B484" s="11" t="s">
        <v>499</v>
      </c>
      <c r="C484" s="7" t="s">
        <v>1039</v>
      </c>
      <c r="D484" s="7">
        <v>483</v>
      </c>
      <c r="E484" s="9">
        <v>483</v>
      </c>
      <c r="F484" s="7">
        <v>483</v>
      </c>
      <c r="G484" s="11" t="s">
        <v>1021</v>
      </c>
      <c r="H484" s="20">
        <v>82224</v>
      </c>
      <c r="I484" s="12">
        <v>45418</v>
      </c>
      <c r="J484" s="12">
        <v>45753</v>
      </c>
      <c r="K484" s="25">
        <v>82178</v>
      </c>
      <c r="L484" s="23">
        <v>46</v>
      </c>
      <c r="M484" s="30" t="s">
        <v>1052</v>
      </c>
      <c r="N484" s="30" t="s">
        <v>1055</v>
      </c>
    </row>
    <row r="485" spans="1:14" customFormat="1" x14ac:dyDescent="0.25">
      <c r="A485" s="7">
        <v>484</v>
      </c>
      <c r="B485" s="11" t="s">
        <v>500</v>
      </c>
      <c r="C485" s="7" t="s">
        <v>1039</v>
      </c>
      <c r="D485" s="7">
        <v>484</v>
      </c>
      <c r="E485" s="7">
        <v>484</v>
      </c>
      <c r="F485" s="7">
        <v>484</v>
      </c>
      <c r="G485" s="11" t="s">
        <v>1021</v>
      </c>
      <c r="H485" s="20">
        <v>97687</v>
      </c>
      <c r="I485" s="12">
        <v>44924</v>
      </c>
      <c r="J485" s="12">
        <v>45472</v>
      </c>
      <c r="K485" s="25">
        <v>8252</v>
      </c>
      <c r="L485" s="23">
        <v>89435</v>
      </c>
      <c r="M485" s="30" t="s">
        <v>1052</v>
      </c>
      <c r="N485" s="30" t="s">
        <v>1055</v>
      </c>
    </row>
    <row r="486" spans="1:14" customFormat="1" x14ac:dyDescent="0.25">
      <c r="A486" s="7">
        <v>485</v>
      </c>
      <c r="B486" s="11" t="s">
        <v>501</v>
      </c>
      <c r="C486" s="7" t="s">
        <v>1039</v>
      </c>
      <c r="D486" s="7">
        <v>485</v>
      </c>
      <c r="E486" s="7">
        <v>485</v>
      </c>
      <c r="F486" s="7">
        <v>485</v>
      </c>
      <c r="G486" s="11" t="s">
        <v>1027</v>
      </c>
      <c r="H486" s="20">
        <v>34312</v>
      </c>
      <c r="I486" s="12">
        <v>44570</v>
      </c>
      <c r="J486" s="12">
        <v>44935</v>
      </c>
      <c r="K486" s="25">
        <v>26390</v>
      </c>
      <c r="L486" s="23">
        <v>7922</v>
      </c>
      <c r="M486" s="30" t="s">
        <v>1052</v>
      </c>
      <c r="N486" s="30" t="s">
        <v>1055</v>
      </c>
    </row>
    <row r="487" spans="1:14" customFormat="1" x14ac:dyDescent="0.25">
      <c r="A487" s="7">
        <v>486</v>
      </c>
      <c r="B487" s="11" t="s">
        <v>502</v>
      </c>
      <c r="C487" s="7" t="s">
        <v>1039</v>
      </c>
      <c r="D487" s="7">
        <v>486</v>
      </c>
      <c r="E487" s="9">
        <v>486</v>
      </c>
      <c r="F487" s="7">
        <v>486</v>
      </c>
      <c r="G487" s="11" t="s">
        <v>1021</v>
      </c>
      <c r="H487" s="20">
        <v>6287</v>
      </c>
      <c r="I487" s="12">
        <v>45315</v>
      </c>
      <c r="J487" s="12">
        <v>45712</v>
      </c>
      <c r="K487" s="25">
        <v>3428</v>
      </c>
      <c r="L487" s="23">
        <v>2859</v>
      </c>
      <c r="M487" s="30" t="s">
        <v>1052</v>
      </c>
      <c r="N487" s="30" t="s">
        <v>1055</v>
      </c>
    </row>
    <row r="488" spans="1:14" customFormat="1" x14ac:dyDescent="0.25">
      <c r="A488" s="7">
        <v>487</v>
      </c>
      <c r="B488" s="11" t="s">
        <v>503</v>
      </c>
      <c r="C488" s="7" t="s">
        <v>1039</v>
      </c>
      <c r="D488" s="7">
        <v>487</v>
      </c>
      <c r="E488" s="7">
        <v>487</v>
      </c>
      <c r="F488" s="7">
        <v>487</v>
      </c>
      <c r="G488" s="11" t="s">
        <v>1022</v>
      </c>
      <c r="H488" s="20">
        <v>9868</v>
      </c>
      <c r="I488" s="12">
        <v>44407</v>
      </c>
      <c r="J488" s="12">
        <v>45107</v>
      </c>
      <c r="K488" s="25">
        <v>7451</v>
      </c>
      <c r="L488" s="23">
        <v>2417</v>
      </c>
      <c r="M488" s="30" t="s">
        <v>1052</v>
      </c>
      <c r="N488" s="30" t="s">
        <v>1055</v>
      </c>
    </row>
    <row r="489" spans="1:14" customFormat="1" x14ac:dyDescent="0.25">
      <c r="A489" s="7">
        <v>488</v>
      </c>
      <c r="B489" s="11" t="s">
        <v>504</v>
      </c>
      <c r="C489" s="7" t="s">
        <v>1039</v>
      </c>
      <c r="D489" s="7">
        <v>488</v>
      </c>
      <c r="E489" s="7">
        <v>488</v>
      </c>
      <c r="F489" s="7">
        <v>488</v>
      </c>
      <c r="G489" s="11" t="s">
        <v>1020</v>
      </c>
      <c r="H489" s="20">
        <v>47325</v>
      </c>
      <c r="I489" s="12">
        <v>44327</v>
      </c>
      <c r="J489" s="12">
        <v>44996</v>
      </c>
      <c r="K489" s="25">
        <v>24991</v>
      </c>
      <c r="L489" s="23">
        <v>22334</v>
      </c>
      <c r="M489" s="30" t="s">
        <v>1052</v>
      </c>
      <c r="N489" s="30" t="s">
        <v>1055</v>
      </c>
    </row>
    <row r="490" spans="1:14" customFormat="1" x14ac:dyDescent="0.25">
      <c r="A490" s="7">
        <v>489</v>
      </c>
      <c r="B490" s="11" t="s">
        <v>505</v>
      </c>
      <c r="C490" s="7" t="s">
        <v>1039</v>
      </c>
      <c r="D490" s="7">
        <v>489</v>
      </c>
      <c r="E490" s="9">
        <v>489</v>
      </c>
      <c r="F490" s="7">
        <v>489</v>
      </c>
      <c r="G490" s="11" t="s">
        <v>1026</v>
      </c>
      <c r="H490" s="20">
        <v>3864990</v>
      </c>
      <c r="I490" s="12">
        <v>44969</v>
      </c>
      <c r="J490" s="12">
        <v>45272</v>
      </c>
      <c r="K490" s="25">
        <v>1193780</v>
      </c>
      <c r="L490" s="23">
        <v>2671210</v>
      </c>
      <c r="M490" s="30" t="s">
        <v>1052</v>
      </c>
      <c r="N490" s="30" t="s">
        <v>1055</v>
      </c>
    </row>
    <row r="491" spans="1:14" customFormat="1" x14ac:dyDescent="0.25">
      <c r="A491" s="7">
        <v>490</v>
      </c>
      <c r="B491" s="11" t="s">
        <v>506</v>
      </c>
      <c r="C491" s="7" t="s">
        <v>1039</v>
      </c>
      <c r="D491" s="7">
        <v>490</v>
      </c>
      <c r="E491" s="7">
        <v>490</v>
      </c>
      <c r="F491" s="7">
        <v>490</v>
      </c>
      <c r="G491" s="11" t="s">
        <v>1020</v>
      </c>
      <c r="H491" s="20">
        <v>107657</v>
      </c>
      <c r="I491" s="12">
        <v>45711</v>
      </c>
      <c r="J491" s="12">
        <v>46349</v>
      </c>
      <c r="K491" s="25">
        <v>82214</v>
      </c>
      <c r="L491" s="23">
        <v>25443</v>
      </c>
      <c r="M491" s="30" t="s">
        <v>1052</v>
      </c>
      <c r="N491" s="30" t="s">
        <v>1055</v>
      </c>
    </row>
    <row r="492" spans="1:14" customFormat="1" x14ac:dyDescent="0.25">
      <c r="A492" s="7">
        <v>491</v>
      </c>
      <c r="B492" s="11" t="s">
        <v>507</v>
      </c>
      <c r="C492" s="7" t="s">
        <v>1039</v>
      </c>
      <c r="D492" s="7">
        <v>491</v>
      </c>
      <c r="E492" s="7">
        <v>491</v>
      </c>
      <c r="F492" s="7">
        <v>491</v>
      </c>
      <c r="G492" s="11" t="s">
        <v>1022</v>
      </c>
      <c r="H492" s="20">
        <v>14096</v>
      </c>
      <c r="I492" s="12">
        <v>44357</v>
      </c>
      <c r="J492" s="12">
        <v>44479</v>
      </c>
      <c r="K492" s="25">
        <v>5039</v>
      </c>
      <c r="L492" s="23">
        <v>9057</v>
      </c>
      <c r="M492" s="30" t="s">
        <v>1052</v>
      </c>
      <c r="N492" s="30" t="s">
        <v>1055</v>
      </c>
    </row>
    <row r="493" spans="1:14" customFormat="1" x14ac:dyDescent="0.25">
      <c r="A493" s="7">
        <v>492</v>
      </c>
      <c r="B493" s="11" t="s">
        <v>508</v>
      </c>
      <c r="C493" s="7" t="s">
        <v>1039</v>
      </c>
      <c r="D493" s="7">
        <v>492</v>
      </c>
      <c r="E493" s="9">
        <v>492</v>
      </c>
      <c r="F493" s="7">
        <v>492</v>
      </c>
      <c r="G493" s="11" t="s">
        <v>1021</v>
      </c>
      <c r="H493" s="20">
        <v>58548</v>
      </c>
      <c r="I493" s="12">
        <v>44226</v>
      </c>
      <c r="J493" s="12">
        <v>44285</v>
      </c>
      <c r="K493" s="25">
        <v>2469</v>
      </c>
      <c r="L493" s="23">
        <v>56079</v>
      </c>
      <c r="M493" s="30" t="s">
        <v>1052</v>
      </c>
      <c r="N493" s="30" t="s">
        <v>1055</v>
      </c>
    </row>
    <row r="494" spans="1:14" customFormat="1" x14ac:dyDescent="0.25">
      <c r="A494" s="7">
        <v>493</v>
      </c>
      <c r="B494" s="11" t="s">
        <v>509</v>
      </c>
      <c r="C494" s="7" t="s">
        <v>1039</v>
      </c>
      <c r="D494" s="7">
        <v>493</v>
      </c>
      <c r="E494" s="7">
        <v>493</v>
      </c>
      <c r="F494" s="7">
        <v>493</v>
      </c>
      <c r="G494" s="11" t="s">
        <v>1022</v>
      </c>
      <c r="H494" s="20">
        <v>23517</v>
      </c>
      <c r="I494" s="12">
        <v>44562</v>
      </c>
      <c r="J494" s="12">
        <v>45200</v>
      </c>
      <c r="K494" s="25">
        <v>21584</v>
      </c>
      <c r="L494" s="23">
        <v>1933</v>
      </c>
      <c r="M494" s="30" t="s">
        <v>1052</v>
      </c>
      <c r="N494" s="30" t="s">
        <v>1055</v>
      </c>
    </row>
    <row r="495" spans="1:14" customFormat="1" x14ac:dyDescent="0.25">
      <c r="A495" s="7">
        <v>494</v>
      </c>
      <c r="B495" s="11" t="s">
        <v>510</v>
      </c>
      <c r="C495" s="7" t="s">
        <v>1039</v>
      </c>
      <c r="D495" s="7">
        <v>494</v>
      </c>
      <c r="E495" s="7">
        <v>494</v>
      </c>
      <c r="F495" s="7">
        <v>494</v>
      </c>
      <c r="G495" s="11" t="s">
        <v>1025</v>
      </c>
      <c r="H495" s="20">
        <v>495342</v>
      </c>
      <c r="I495" s="12">
        <v>44075</v>
      </c>
      <c r="J495" s="12">
        <v>44166</v>
      </c>
      <c r="K495" s="25">
        <v>302609</v>
      </c>
      <c r="L495" s="23">
        <v>192733</v>
      </c>
      <c r="M495" s="30" t="s">
        <v>1052</v>
      </c>
      <c r="N495" s="30" t="s">
        <v>1055</v>
      </c>
    </row>
    <row r="496" spans="1:14" customFormat="1" x14ac:dyDescent="0.25">
      <c r="A496" s="7">
        <v>495</v>
      </c>
      <c r="B496" s="11" t="s">
        <v>511</v>
      </c>
      <c r="C496" s="7" t="s">
        <v>1039</v>
      </c>
      <c r="D496" s="7">
        <v>495</v>
      </c>
      <c r="E496" s="9">
        <v>495</v>
      </c>
      <c r="F496" s="7">
        <v>495</v>
      </c>
      <c r="G496" s="11" t="s">
        <v>1027</v>
      </c>
      <c r="H496" s="20">
        <v>38139</v>
      </c>
      <c r="I496" s="12">
        <v>45140</v>
      </c>
      <c r="J496" s="12">
        <v>45659</v>
      </c>
      <c r="K496" s="25">
        <v>32573</v>
      </c>
      <c r="L496" s="23">
        <v>5566</v>
      </c>
      <c r="M496" s="30" t="s">
        <v>1052</v>
      </c>
      <c r="N496" s="30" t="s">
        <v>1055</v>
      </c>
    </row>
    <row r="497" spans="1:14" customFormat="1" x14ac:dyDescent="0.25">
      <c r="A497" s="7">
        <v>496</v>
      </c>
      <c r="B497" s="11" t="s">
        <v>512</v>
      </c>
      <c r="C497" s="7" t="s">
        <v>1039</v>
      </c>
      <c r="D497" s="7">
        <v>496</v>
      </c>
      <c r="E497" s="7">
        <v>496</v>
      </c>
      <c r="F497" s="7">
        <v>496</v>
      </c>
      <c r="G497" s="11" t="s">
        <v>1027</v>
      </c>
      <c r="H497" s="20">
        <v>54861</v>
      </c>
      <c r="I497" s="12">
        <v>45026</v>
      </c>
      <c r="J497" s="12">
        <v>45392</v>
      </c>
      <c r="K497" s="25">
        <v>1028</v>
      </c>
      <c r="L497" s="23">
        <v>53833</v>
      </c>
      <c r="M497" s="30" t="s">
        <v>1052</v>
      </c>
      <c r="N497" s="30" t="s">
        <v>1055</v>
      </c>
    </row>
    <row r="498" spans="1:14" customFormat="1" x14ac:dyDescent="0.25">
      <c r="A498" s="7">
        <v>497</v>
      </c>
      <c r="B498" s="11" t="s">
        <v>513</v>
      </c>
      <c r="C498" s="7" t="s">
        <v>1039</v>
      </c>
      <c r="D498" s="7">
        <v>497</v>
      </c>
      <c r="E498" s="7">
        <v>497</v>
      </c>
      <c r="F498" s="7">
        <v>497</v>
      </c>
      <c r="G498" s="11" t="s">
        <v>1023</v>
      </c>
      <c r="H498" s="20">
        <v>694</v>
      </c>
      <c r="I498" s="12">
        <v>45001</v>
      </c>
      <c r="J498" s="12">
        <v>45093</v>
      </c>
      <c r="K498" s="25">
        <v>390</v>
      </c>
      <c r="L498" s="23">
        <v>304</v>
      </c>
      <c r="M498" s="30" t="s">
        <v>1052</v>
      </c>
      <c r="N498" s="30" t="s">
        <v>1055</v>
      </c>
    </row>
    <row r="499" spans="1:14" customFormat="1" x14ac:dyDescent="0.25">
      <c r="A499" s="7">
        <v>498</v>
      </c>
      <c r="B499" s="11" t="s">
        <v>514</v>
      </c>
      <c r="C499" s="7" t="s">
        <v>1039</v>
      </c>
      <c r="D499" s="7">
        <v>498</v>
      </c>
      <c r="E499" s="9">
        <v>498</v>
      </c>
      <c r="F499" s="7">
        <v>498</v>
      </c>
      <c r="G499" s="11" t="s">
        <v>1016</v>
      </c>
      <c r="H499" s="20">
        <v>48020</v>
      </c>
      <c r="I499" s="12">
        <v>44215</v>
      </c>
      <c r="J499" s="12">
        <v>44731</v>
      </c>
      <c r="K499" s="25">
        <v>3351</v>
      </c>
      <c r="L499" s="23">
        <v>44669</v>
      </c>
      <c r="M499" s="30" t="s">
        <v>1052</v>
      </c>
      <c r="N499" s="30" t="s">
        <v>1055</v>
      </c>
    </row>
    <row r="500" spans="1:14" customFormat="1" x14ac:dyDescent="0.25">
      <c r="A500" s="7">
        <v>499</v>
      </c>
      <c r="B500" s="11" t="s">
        <v>515</v>
      </c>
      <c r="C500" s="7" t="s">
        <v>1039</v>
      </c>
      <c r="D500" s="7">
        <v>499</v>
      </c>
      <c r="E500" s="7">
        <v>499</v>
      </c>
      <c r="F500" s="7">
        <v>499</v>
      </c>
      <c r="G500" s="11" t="s">
        <v>1020</v>
      </c>
      <c r="H500" s="20">
        <v>270440</v>
      </c>
      <c r="I500" s="12">
        <v>44652</v>
      </c>
      <c r="J500" s="12">
        <v>44774</v>
      </c>
      <c r="K500" s="25">
        <v>102315</v>
      </c>
      <c r="L500" s="23">
        <v>168125</v>
      </c>
      <c r="M500" s="30" t="s">
        <v>1052</v>
      </c>
      <c r="N500" s="30" t="s">
        <v>1055</v>
      </c>
    </row>
    <row r="501" spans="1:14" customFormat="1" x14ac:dyDescent="0.25">
      <c r="A501" s="7">
        <v>500</v>
      </c>
      <c r="B501" s="11" t="s">
        <v>516</v>
      </c>
      <c r="C501" s="7" t="s">
        <v>1039</v>
      </c>
      <c r="D501" s="7">
        <v>500</v>
      </c>
      <c r="E501" s="7">
        <v>500</v>
      </c>
      <c r="F501" s="7">
        <v>500</v>
      </c>
      <c r="G501" s="11" t="s">
        <v>1016</v>
      </c>
      <c r="H501" s="20">
        <v>6260</v>
      </c>
      <c r="I501" s="12">
        <v>45639</v>
      </c>
      <c r="J501" s="12">
        <v>46066</v>
      </c>
      <c r="K501" s="25">
        <v>2566</v>
      </c>
      <c r="L501" s="23">
        <v>3694</v>
      </c>
      <c r="M501" s="30" t="s">
        <v>1052</v>
      </c>
      <c r="N501" s="30" t="s">
        <v>1055</v>
      </c>
    </row>
    <row r="502" spans="1:14" customFormat="1" x14ac:dyDescent="0.25">
      <c r="A502" s="7">
        <v>501</v>
      </c>
      <c r="B502" s="11" t="s">
        <v>517</v>
      </c>
      <c r="C502" s="7" t="s">
        <v>1039</v>
      </c>
      <c r="D502" s="7">
        <v>501</v>
      </c>
      <c r="E502" s="9">
        <v>501</v>
      </c>
      <c r="F502" s="7">
        <v>501</v>
      </c>
      <c r="G502" s="11" t="s">
        <v>1021</v>
      </c>
      <c r="H502" s="20">
        <v>57865</v>
      </c>
      <c r="I502" s="12">
        <v>44380</v>
      </c>
      <c r="J502" s="12">
        <v>44745</v>
      </c>
      <c r="K502" s="25">
        <v>55461</v>
      </c>
      <c r="L502" s="23">
        <v>2404</v>
      </c>
      <c r="M502" s="30" t="s">
        <v>1052</v>
      </c>
      <c r="N502" s="30" t="s">
        <v>1055</v>
      </c>
    </row>
    <row r="503" spans="1:14" customFormat="1" x14ac:dyDescent="0.25">
      <c r="A503" s="7">
        <v>502</v>
      </c>
      <c r="B503" s="11" t="s">
        <v>518</v>
      </c>
      <c r="C503" s="7" t="s">
        <v>1039</v>
      </c>
      <c r="D503" s="7">
        <v>502</v>
      </c>
      <c r="E503" s="7">
        <v>502</v>
      </c>
      <c r="F503" s="7">
        <v>502</v>
      </c>
      <c r="G503" s="11" t="s">
        <v>1023</v>
      </c>
      <c r="H503" s="20">
        <v>1274</v>
      </c>
      <c r="I503" s="12">
        <v>43948</v>
      </c>
      <c r="J503" s="12">
        <v>44131</v>
      </c>
      <c r="K503" s="25">
        <v>45</v>
      </c>
      <c r="L503" s="23">
        <v>1229</v>
      </c>
      <c r="M503" s="30" t="s">
        <v>1052</v>
      </c>
      <c r="N503" s="30" t="s">
        <v>1055</v>
      </c>
    </row>
    <row r="504" spans="1:14" customFormat="1" x14ac:dyDescent="0.25">
      <c r="A504" s="7">
        <v>503</v>
      </c>
      <c r="B504" s="11" t="s">
        <v>519</v>
      </c>
      <c r="C504" s="7" t="s">
        <v>1039</v>
      </c>
      <c r="D504" s="7">
        <v>503</v>
      </c>
      <c r="E504" s="7">
        <v>503</v>
      </c>
      <c r="F504" s="7">
        <v>503</v>
      </c>
      <c r="G504" s="11" t="s">
        <v>1020</v>
      </c>
      <c r="H504" s="20">
        <v>394397</v>
      </c>
      <c r="I504" s="12">
        <v>44050</v>
      </c>
      <c r="J504" s="12">
        <v>44749</v>
      </c>
      <c r="K504" s="25">
        <v>264234</v>
      </c>
      <c r="L504" s="23">
        <v>130163</v>
      </c>
      <c r="M504" s="30" t="s">
        <v>1052</v>
      </c>
      <c r="N504" s="30" t="s">
        <v>1055</v>
      </c>
    </row>
    <row r="505" spans="1:14" customFormat="1" x14ac:dyDescent="0.25">
      <c r="A505" s="7">
        <v>504</v>
      </c>
      <c r="B505" s="11" t="s">
        <v>520</v>
      </c>
      <c r="C505" s="7" t="s">
        <v>1039</v>
      </c>
      <c r="D505" s="7">
        <v>504</v>
      </c>
      <c r="E505" s="9">
        <v>504</v>
      </c>
      <c r="F505" s="7">
        <v>504</v>
      </c>
      <c r="G505" s="11" t="s">
        <v>1025</v>
      </c>
      <c r="H505" s="20">
        <v>361407</v>
      </c>
      <c r="I505" s="12">
        <v>44318</v>
      </c>
      <c r="J505" s="12">
        <v>44836</v>
      </c>
      <c r="K505" s="25">
        <v>276946</v>
      </c>
      <c r="L505" s="23">
        <v>84461</v>
      </c>
      <c r="M505" s="30" t="s">
        <v>1052</v>
      </c>
      <c r="N505" s="30" t="s">
        <v>1055</v>
      </c>
    </row>
    <row r="506" spans="1:14" customFormat="1" x14ac:dyDescent="0.25">
      <c r="A506" s="7">
        <v>505</v>
      </c>
      <c r="B506" s="11" t="s">
        <v>521</v>
      </c>
      <c r="C506" s="7" t="s">
        <v>1039</v>
      </c>
      <c r="D506" s="7">
        <v>505</v>
      </c>
      <c r="E506" s="7">
        <v>505</v>
      </c>
      <c r="F506" s="7">
        <v>505</v>
      </c>
      <c r="G506" s="11" t="s">
        <v>1022</v>
      </c>
      <c r="H506" s="20">
        <v>5983</v>
      </c>
      <c r="I506" s="12">
        <v>43894</v>
      </c>
      <c r="J506" s="12">
        <v>44381</v>
      </c>
      <c r="K506" s="25">
        <v>5566</v>
      </c>
      <c r="L506" s="23">
        <v>417</v>
      </c>
      <c r="M506" s="30" t="s">
        <v>1052</v>
      </c>
      <c r="N506" s="30" t="s">
        <v>1055</v>
      </c>
    </row>
    <row r="507" spans="1:14" customFormat="1" x14ac:dyDescent="0.25">
      <c r="A507" s="7">
        <v>506</v>
      </c>
      <c r="B507" s="11" t="s">
        <v>522</v>
      </c>
      <c r="C507" s="7" t="s">
        <v>1039</v>
      </c>
      <c r="D507" s="7">
        <v>506</v>
      </c>
      <c r="E507" s="7">
        <v>506</v>
      </c>
      <c r="F507" s="7">
        <v>506</v>
      </c>
      <c r="G507" s="11" t="s">
        <v>1024</v>
      </c>
      <c r="H507" s="20">
        <v>334908</v>
      </c>
      <c r="I507" s="12">
        <v>44876</v>
      </c>
      <c r="J507" s="12">
        <v>45180</v>
      </c>
      <c r="K507" s="25">
        <v>307270</v>
      </c>
      <c r="L507" s="23">
        <v>27638</v>
      </c>
      <c r="M507" s="30" t="s">
        <v>1052</v>
      </c>
      <c r="N507" s="30" t="s">
        <v>1055</v>
      </c>
    </row>
    <row r="508" spans="1:14" customFormat="1" x14ac:dyDescent="0.25">
      <c r="A508" s="7">
        <v>507</v>
      </c>
      <c r="B508" s="11" t="s">
        <v>523</v>
      </c>
      <c r="C508" s="7" t="s">
        <v>1039</v>
      </c>
      <c r="D508" s="7">
        <v>507</v>
      </c>
      <c r="E508" s="9">
        <v>507</v>
      </c>
      <c r="F508" s="7">
        <v>507</v>
      </c>
      <c r="G508" s="11" t="s">
        <v>1016</v>
      </c>
      <c r="H508" s="20">
        <v>3707</v>
      </c>
      <c r="I508" s="12">
        <v>45556</v>
      </c>
      <c r="J508" s="12">
        <v>46286</v>
      </c>
      <c r="K508" s="25">
        <v>2433</v>
      </c>
      <c r="L508" s="23">
        <v>1274</v>
      </c>
      <c r="M508" s="30" t="s">
        <v>1052</v>
      </c>
      <c r="N508" s="30" t="s">
        <v>1055</v>
      </c>
    </row>
    <row r="509" spans="1:14" customFormat="1" x14ac:dyDescent="0.25">
      <c r="A509" s="7">
        <v>508</v>
      </c>
      <c r="B509" s="11" t="s">
        <v>524</v>
      </c>
      <c r="C509" s="7" t="s">
        <v>1039</v>
      </c>
      <c r="D509" s="7">
        <v>508</v>
      </c>
      <c r="E509" s="7">
        <v>508</v>
      </c>
      <c r="F509" s="7">
        <v>508</v>
      </c>
      <c r="G509" s="11" t="s">
        <v>1024</v>
      </c>
      <c r="H509" s="20">
        <v>787061</v>
      </c>
      <c r="I509" s="12">
        <v>44545</v>
      </c>
      <c r="J509" s="12">
        <v>45092</v>
      </c>
      <c r="K509" s="25">
        <v>663620</v>
      </c>
      <c r="L509" s="23">
        <v>123441</v>
      </c>
      <c r="M509" s="30" t="s">
        <v>1052</v>
      </c>
      <c r="N509" s="30" t="s">
        <v>1055</v>
      </c>
    </row>
    <row r="510" spans="1:14" customFormat="1" x14ac:dyDescent="0.25">
      <c r="A510" s="7">
        <v>509</v>
      </c>
      <c r="B510" s="11" t="s">
        <v>525</v>
      </c>
      <c r="C510" s="7" t="s">
        <v>1039</v>
      </c>
      <c r="D510" s="7">
        <v>509</v>
      </c>
      <c r="E510" s="7">
        <v>509</v>
      </c>
      <c r="F510" s="7">
        <v>509</v>
      </c>
      <c r="G510" s="11" t="s">
        <v>1026</v>
      </c>
      <c r="H510" s="20">
        <v>2604107</v>
      </c>
      <c r="I510" s="12">
        <v>44552</v>
      </c>
      <c r="J510" s="12">
        <v>44764</v>
      </c>
      <c r="K510" s="25">
        <v>1998454</v>
      </c>
      <c r="L510" s="23">
        <v>605653</v>
      </c>
      <c r="M510" s="30" t="s">
        <v>1052</v>
      </c>
      <c r="N510" s="30" t="s">
        <v>1055</v>
      </c>
    </row>
    <row r="511" spans="1:14" customFormat="1" x14ac:dyDescent="0.25">
      <c r="A511" s="7">
        <v>510</v>
      </c>
      <c r="B511" s="11" t="s">
        <v>526</v>
      </c>
      <c r="C511" s="7" t="s">
        <v>1039</v>
      </c>
      <c r="D511" s="7">
        <v>510</v>
      </c>
      <c r="E511" s="9">
        <v>510</v>
      </c>
      <c r="F511" s="7">
        <v>510</v>
      </c>
      <c r="G511" s="11" t="s">
        <v>1022</v>
      </c>
      <c r="H511" s="20">
        <v>29864</v>
      </c>
      <c r="I511" s="12">
        <v>44191</v>
      </c>
      <c r="J511" s="12">
        <v>44799</v>
      </c>
      <c r="K511" s="25">
        <v>8755</v>
      </c>
      <c r="L511" s="23">
        <v>21109</v>
      </c>
      <c r="M511" s="30" t="s">
        <v>1052</v>
      </c>
      <c r="N511" s="30" t="s">
        <v>1055</v>
      </c>
    </row>
    <row r="512" spans="1:14" customFormat="1" x14ac:dyDescent="0.25">
      <c r="A512" s="7">
        <v>511</v>
      </c>
      <c r="B512" s="11" t="s">
        <v>527</v>
      </c>
      <c r="C512" s="7" t="s">
        <v>1039</v>
      </c>
      <c r="D512" s="7">
        <v>511</v>
      </c>
      <c r="E512" s="7">
        <v>511</v>
      </c>
      <c r="F512" s="7">
        <v>511</v>
      </c>
      <c r="G512" s="11" t="s">
        <v>1022</v>
      </c>
      <c r="H512" s="20">
        <v>20251</v>
      </c>
      <c r="I512" s="12">
        <v>45152</v>
      </c>
      <c r="J512" s="12">
        <v>45274</v>
      </c>
      <c r="K512" s="25">
        <v>15479</v>
      </c>
      <c r="L512" s="23">
        <v>4772</v>
      </c>
      <c r="M512" s="30" t="s">
        <v>1052</v>
      </c>
      <c r="N512" s="30" t="s">
        <v>1055</v>
      </c>
    </row>
    <row r="513" spans="1:14" customFormat="1" x14ac:dyDescent="0.25">
      <c r="A513" s="7">
        <v>512</v>
      </c>
      <c r="B513" s="11" t="s">
        <v>528</v>
      </c>
      <c r="C513" s="7" t="s">
        <v>1039</v>
      </c>
      <c r="D513" s="7">
        <v>512</v>
      </c>
      <c r="E513" s="7">
        <v>512</v>
      </c>
      <c r="F513" s="7">
        <v>512</v>
      </c>
      <c r="G513" s="11" t="s">
        <v>1021</v>
      </c>
      <c r="H513" s="20">
        <v>65978</v>
      </c>
      <c r="I513" s="12">
        <v>44505</v>
      </c>
      <c r="J513" s="12">
        <v>44597</v>
      </c>
      <c r="K513" s="25">
        <v>28585</v>
      </c>
      <c r="L513" s="23">
        <v>37393</v>
      </c>
      <c r="M513" s="30" t="s">
        <v>1052</v>
      </c>
      <c r="N513" s="30" t="s">
        <v>1055</v>
      </c>
    </row>
    <row r="514" spans="1:14" customFormat="1" x14ac:dyDescent="0.25">
      <c r="A514" s="7">
        <v>513</v>
      </c>
      <c r="B514" s="11" t="s">
        <v>529</v>
      </c>
      <c r="C514" s="7" t="s">
        <v>1039</v>
      </c>
      <c r="D514" s="7">
        <v>513</v>
      </c>
      <c r="E514" s="9">
        <v>513</v>
      </c>
      <c r="F514" s="7">
        <v>513</v>
      </c>
      <c r="G514" s="11" t="s">
        <v>1022</v>
      </c>
      <c r="H514" s="20">
        <v>16815</v>
      </c>
      <c r="I514" s="12">
        <v>45370</v>
      </c>
      <c r="J514" s="12">
        <v>45676</v>
      </c>
      <c r="K514" s="25">
        <v>16009</v>
      </c>
      <c r="L514" s="23">
        <v>806</v>
      </c>
      <c r="M514" s="30" t="s">
        <v>1052</v>
      </c>
      <c r="N514" s="30" t="s">
        <v>1055</v>
      </c>
    </row>
    <row r="515" spans="1:14" customFormat="1" x14ac:dyDescent="0.25">
      <c r="A515" s="7">
        <v>514</v>
      </c>
      <c r="B515" s="11" t="s">
        <v>530</v>
      </c>
      <c r="C515" s="7" t="s">
        <v>1039</v>
      </c>
      <c r="D515" s="7">
        <v>514</v>
      </c>
      <c r="E515" s="7">
        <v>514</v>
      </c>
      <c r="F515" s="7">
        <v>514</v>
      </c>
      <c r="G515" s="11" t="s">
        <v>1022</v>
      </c>
      <c r="H515" s="20">
        <v>12674</v>
      </c>
      <c r="I515" s="12">
        <v>44816</v>
      </c>
      <c r="J515" s="12">
        <v>45181</v>
      </c>
      <c r="K515" s="25">
        <v>7610</v>
      </c>
      <c r="L515" s="23">
        <v>5064</v>
      </c>
      <c r="M515" s="30" t="s">
        <v>1052</v>
      </c>
      <c r="N515" s="30" t="s">
        <v>1055</v>
      </c>
    </row>
    <row r="516" spans="1:14" customFormat="1" x14ac:dyDescent="0.25">
      <c r="A516" s="7">
        <v>515</v>
      </c>
      <c r="B516" s="11" t="s">
        <v>531</v>
      </c>
      <c r="C516" s="7" t="s">
        <v>1039</v>
      </c>
      <c r="D516" s="7">
        <v>515</v>
      </c>
      <c r="E516" s="7">
        <v>515</v>
      </c>
      <c r="F516" s="7">
        <v>515</v>
      </c>
      <c r="G516" s="11" t="s">
        <v>1016</v>
      </c>
      <c r="H516" s="20">
        <v>41271</v>
      </c>
      <c r="I516" s="12">
        <v>44506</v>
      </c>
      <c r="J516" s="12">
        <v>44598</v>
      </c>
      <c r="K516" s="25">
        <v>35694</v>
      </c>
      <c r="L516" s="23">
        <v>5577</v>
      </c>
      <c r="M516" s="30" t="s">
        <v>1052</v>
      </c>
      <c r="N516" s="30" t="s">
        <v>1055</v>
      </c>
    </row>
    <row r="517" spans="1:14" customFormat="1" x14ac:dyDescent="0.25">
      <c r="A517" s="7">
        <v>516</v>
      </c>
      <c r="B517" s="11" t="s">
        <v>532</v>
      </c>
      <c r="C517" s="7" t="s">
        <v>1039</v>
      </c>
      <c r="D517" s="7">
        <v>516</v>
      </c>
      <c r="E517" s="9">
        <v>516</v>
      </c>
      <c r="F517" s="7">
        <v>516</v>
      </c>
      <c r="G517" s="11" t="s">
        <v>1020</v>
      </c>
      <c r="H517" s="20">
        <v>232263</v>
      </c>
      <c r="I517" s="12">
        <v>45660</v>
      </c>
      <c r="J517" s="12">
        <v>46115</v>
      </c>
      <c r="K517" s="25">
        <v>179673</v>
      </c>
      <c r="L517" s="23">
        <v>52590</v>
      </c>
      <c r="M517" s="30" t="s">
        <v>1052</v>
      </c>
      <c r="N517" s="30" t="s">
        <v>1055</v>
      </c>
    </row>
    <row r="518" spans="1:14" customFormat="1" x14ac:dyDescent="0.25">
      <c r="A518" s="7">
        <v>517</v>
      </c>
      <c r="B518" s="11" t="s">
        <v>533</v>
      </c>
      <c r="C518" s="7" t="s">
        <v>1039</v>
      </c>
      <c r="D518" s="7">
        <v>517</v>
      </c>
      <c r="E518" s="7">
        <v>517</v>
      </c>
      <c r="F518" s="7">
        <v>517</v>
      </c>
      <c r="G518" s="11" t="s">
        <v>1023</v>
      </c>
      <c r="H518" s="20">
        <v>857</v>
      </c>
      <c r="I518" s="12">
        <v>44130</v>
      </c>
      <c r="J518" s="12">
        <v>44161</v>
      </c>
      <c r="K518" s="25">
        <v>239</v>
      </c>
      <c r="L518" s="23">
        <v>618</v>
      </c>
      <c r="M518" s="30" t="s">
        <v>1052</v>
      </c>
      <c r="N518" s="30" t="s">
        <v>1055</v>
      </c>
    </row>
    <row r="519" spans="1:14" customFormat="1" x14ac:dyDescent="0.25">
      <c r="A519" s="7">
        <v>518</v>
      </c>
      <c r="B519" s="11" t="s">
        <v>534</v>
      </c>
      <c r="C519" s="7" t="s">
        <v>1039</v>
      </c>
      <c r="D519" s="7">
        <v>518</v>
      </c>
      <c r="E519" s="7">
        <v>518</v>
      </c>
      <c r="F519" s="7">
        <v>518</v>
      </c>
      <c r="G519" s="11" t="s">
        <v>1023</v>
      </c>
      <c r="H519" s="20">
        <v>1264</v>
      </c>
      <c r="I519" s="12">
        <v>44897</v>
      </c>
      <c r="J519" s="12">
        <v>45414</v>
      </c>
      <c r="K519" s="25">
        <v>263</v>
      </c>
      <c r="L519" s="23">
        <v>1001</v>
      </c>
      <c r="M519" s="30" t="s">
        <v>1052</v>
      </c>
      <c r="N519" s="30" t="s">
        <v>1055</v>
      </c>
    </row>
    <row r="520" spans="1:14" customFormat="1" x14ac:dyDescent="0.25">
      <c r="A520" s="7">
        <v>519</v>
      </c>
      <c r="B520" s="11" t="s">
        <v>535</v>
      </c>
      <c r="C520" s="7" t="s">
        <v>1039</v>
      </c>
      <c r="D520" s="7">
        <v>519</v>
      </c>
      <c r="E520" s="9">
        <v>519</v>
      </c>
      <c r="F520" s="7">
        <v>519</v>
      </c>
      <c r="G520" s="11" t="s">
        <v>1021</v>
      </c>
      <c r="H520" s="20">
        <v>34117</v>
      </c>
      <c r="I520" s="12">
        <v>44636</v>
      </c>
      <c r="J520" s="12">
        <v>44789</v>
      </c>
      <c r="K520" s="25">
        <v>32071</v>
      </c>
      <c r="L520" s="23">
        <v>2046</v>
      </c>
      <c r="M520" s="30" t="s">
        <v>1052</v>
      </c>
      <c r="N520" s="30" t="s">
        <v>1055</v>
      </c>
    </row>
    <row r="521" spans="1:14" customFormat="1" x14ac:dyDescent="0.25">
      <c r="A521" s="7">
        <v>520</v>
      </c>
      <c r="B521" s="11" t="s">
        <v>536</v>
      </c>
      <c r="C521" s="7" t="s">
        <v>1039</v>
      </c>
      <c r="D521" s="7">
        <v>520</v>
      </c>
      <c r="E521" s="7">
        <v>520</v>
      </c>
      <c r="F521" s="7">
        <v>520</v>
      </c>
      <c r="G521" s="11" t="s">
        <v>1020</v>
      </c>
      <c r="H521" s="20">
        <v>267883</v>
      </c>
      <c r="I521" s="12">
        <v>44448</v>
      </c>
      <c r="J521" s="12">
        <v>44509</v>
      </c>
      <c r="K521" s="25">
        <v>8607</v>
      </c>
      <c r="L521" s="23">
        <v>259276</v>
      </c>
      <c r="M521" s="30" t="s">
        <v>1052</v>
      </c>
      <c r="N521" s="30" t="s">
        <v>1055</v>
      </c>
    </row>
    <row r="522" spans="1:14" customFormat="1" x14ac:dyDescent="0.25">
      <c r="A522" s="7">
        <v>521</v>
      </c>
      <c r="B522" s="11" t="s">
        <v>537</v>
      </c>
      <c r="C522" s="7" t="s">
        <v>1039</v>
      </c>
      <c r="D522" s="7">
        <v>521</v>
      </c>
      <c r="E522" s="7">
        <v>521</v>
      </c>
      <c r="F522" s="7">
        <v>521</v>
      </c>
      <c r="G522" s="11" t="s">
        <v>1022</v>
      </c>
      <c r="H522" s="20">
        <v>18362</v>
      </c>
      <c r="I522" s="12">
        <v>44002</v>
      </c>
      <c r="J522" s="12">
        <v>44612</v>
      </c>
      <c r="K522" s="25">
        <v>2934</v>
      </c>
      <c r="L522" s="23">
        <v>15428</v>
      </c>
      <c r="M522" s="30" t="s">
        <v>1052</v>
      </c>
      <c r="N522" s="30" t="s">
        <v>1055</v>
      </c>
    </row>
    <row r="523" spans="1:14" customFormat="1" x14ac:dyDescent="0.25">
      <c r="A523" s="7">
        <v>522</v>
      </c>
      <c r="B523" s="11" t="s">
        <v>538</v>
      </c>
      <c r="C523" s="7" t="s">
        <v>1039</v>
      </c>
      <c r="D523" s="7">
        <v>522</v>
      </c>
      <c r="E523" s="9">
        <v>522</v>
      </c>
      <c r="F523" s="7">
        <v>522</v>
      </c>
      <c r="G523" s="11" t="s">
        <v>1021</v>
      </c>
      <c r="H523" s="20">
        <v>59411</v>
      </c>
      <c r="I523" s="12">
        <v>45100</v>
      </c>
      <c r="J523" s="12">
        <v>45374</v>
      </c>
      <c r="K523" s="25">
        <v>47476</v>
      </c>
      <c r="L523" s="23">
        <v>11935</v>
      </c>
      <c r="M523" s="30" t="s">
        <v>1052</v>
      </c>
      <c r="N523" s="30" t="s">
        <v>1055</v>
      </c>
    </row>
    <row r="524" spans="1:14" customFormat="1" x14ac:dyDescent="0.25">
      <c r="A524" s="7">
        <v>523</v>
      </c>
      <c r="B524" s="11" t="s">
        <v>539</v>
      </c>
      <c r="C524" s="7" t="s">
        <v>1039</v>
      </c>
      <c r="D524" s="7">
        <v>523</v>
      </c>
      <c r="E524" s="7">
        <v>523</v>
      </c>
      <c r="F524" s="7">
        <v>523</v>
      </c>
      <c r="G524" s="11" t="s">
        <v>1026</v>
      </c>
      <c r="H524" s="20">
        <v>780852</v>
      </c>
      <c r="I524" s="12">
        <v>44785</v>
      </c>
      <c r="J524" s="12">
        <v>44846</v>
      </c>
      <c r="K524" s="25">
        <v>224362</v>
      </c>
      <c r="L524" s="23">
        <v>556490</v>
      </c>
      <c r="M524" s="30" t="s">
        <v>1052</v>
      </c>
      <c r="N524" s="30" t="s">
        <v>1055</v>
      </c>
    </row>
    <row r="525" spans="1:14" customFormat="1" x14ac:dyDescent="0.25">
      <c r="A525" s="7">
        <v>524</v>
      </c>
      <c r="B525" s="11" t="s">
        <v>540</v>
      </c>
      <c r="C525" s="7" t="s">
        <v>1039</v>
      </c>
      <c r="D525" s="7">
        <v>524</v>
      </c>
      <c r="E525" s="7">
        <v>524</v>
      </c>
      <c r="F525" s="7">
        <v>524</v>
      </c>
      <c r="G525" s="11" t="s">
        <v>1021</v>
      </c>
      <c r="H525" s="20">
        <v>81744</v>
      </c>
      <c r="I525" s="12">
        <v>43944</v>
      </c>
      <c r="J525" s="12">
        <v>44462</v>
      </c>
      <c r="K525" s="25">
        <v>42922</v>
      </c>
      <c r="L525" s="23">
        <v>38822</v>
      </c>
      <c r="M525" s="30" t="s">
        <v>1052</v>
      </c>
      <c r="N525" s="30" t="s">
        <v>1055</v>
      </c>
    </row>
    <row r="526" spans="1:14" customFormat="1" x14ac:dyDescent="0.25">
      <c r="A526" s="7">
        <v>525</v>
      </c>
      <c r="B526" s="11" t="s">
        <v>541</v>
      </c>
      <c r="C526" s="7" t="s">
        <v>1039</v>
      </c>
      <c r="D526" s="7">
        <v>525</v>
      </c>
      <c r="E526" s="9">
        <v>525</v>
      </c>
      <c r="F526" s="7">
        <v>525</v>
      </c>
      <c r="G526" s="11" t="s">
        <v>1022</v>
      </c>
      <c r="H526" s="20">
        <v>14769</v>
      </c>
      <c r="I526" s="12">
        <v>44681</v>
      </c>
      <c r="J526" s="12">
        <v>44925</v>
      </c>
      <c r="K526" s="25">
        <v>1842</v>
      </c>
      <c r="L526" s="23">
        <v>12927</v>
      </c>
      <c r="M526" s="30" t="s">
        <v>1052</v>
      </c>
      <c r="N526" s="30" t="s">
        <v>1055</v>
      </c>
    </row>
    <row r="527" spans="1:14" customFormat="1" x14ac:dyDescent="0.25">
      <c r="A527" s="7">
        <v>526</v>
      </c>
      <c r="B527" s="11" t="s">
        <v>542</v>
      </c>
      <c r="C527" s="7" t="s">
        <v>1039</v>
      </c>
      <c r="D527" s="7">
        <v>526</v>
      </c>
      <c r="E527" s="7">
        <v>526</v>
      </c>
      <c r="F527" s="7">
        <v>526</v>
      </c>
      <c r="G527" s="11" t="s">
        <v>1016</v>
      </c>
      <c r="H527" s="20">
        <v>9639</v>
      </c>
      <c r="I527" s="12">
        <v>44410</v>
      </c>
      <c r="J527" s="12">
        <v>44683</v>
      </c>
      <c r="K527" s="25">
        <v>7653</v>
      </c>
      <c r="L527" s="23">
        <v>1986</v>
      </c>
      <c r="M527" s="30" t="s">
        <v>1052</v>
      </c>
      <c r="N527" s="30" t="s">
        <v>1055</v>
      </c>
    </row>
    <row r="528" spans="1:14" customFormat="1" x14ac:dyDescent="0.25">
      <c r="A528" s="7">
        <v>527</v>
      </c>
      <c r="B528" s="11" t="s">
        <v>543</v>
      </c>
      <c r="C528" s="7" t="s">
        <v>1039</v>
      </c>
      <c r="D528" s="7">
        <v>527</v>
      </c>
      <c r="E528" s="7">
        <v>527</v>
      </c>
      <c r="F528" s="7">
        <v>527</v>
      </c>
      <c r="G528" s="11" t="s">
        <v>1021</v>
      </c>
      <c r="H528" s="20">
        <v>94737</v>
      </c>
      <c r="I528" s="12">
        <v>45133</v>
      </c>
      <c r="J528" s="12">
        <v>45714</v>
      </c>
      <c r="K528" s="25">
        <v>34084</v>
      </c>
      <c r="L528" s="23">
        <v>60653</v>
      </c>
      <c r="M528" s="30" t="s">
        <v>1052</v>
      </c>
      <c r="N528" s="30" t="s">
        <v>1055</v>
      </c>
    </row>
    <row r="529" spans="1:14" customFormat="1" x14ac:dyDescent="0.25">
      <c r="A529" s="7">
        <v>528</v>
      </c>
      <c r="B529" s="11" t="s">
        <v>544</v>
      </c>
      <c r="C529" s="7" t="s">
        <v>1039</v>
      </c>
      <c r="D529" s="7">
        <v>528</v>
      </c>
      <c r="E529" s="9">
        <v>528</v>
      </c>
      <c r="F529" s="7">
        <v>528</v>
      </c>
      <c r="G529" s="11" t="s">
        <v>1016</v>
      </c>
      <c r="H529" s="20">
        <v>14505</v>
      </c>
      <c r="I529" s="12">
        <v>45467</v>
      </c>
      <c r="J529" s="12">
        <v>45801</v>
      </c>
      <c r="K529" s="25">
        <v>4609</v>
      </c>
      <c r="L529" s="23">
        <v>9896</v>
      </c>
      <c r="M529" s="30" t="s">
        <v>1052</v>
      </c>
      <c r="N529" s="30" t="s">
        <v>1055</v>
      </c>
    </row>
    <row r="530" spans="1:14" customFormat="1" x14ac:dyDescent="0.25">
      <c r="A530" s="7">
        <v>529</v>
      </c>
      <c r="B530" s="11" t="s">
        <v>545</v>
      </c>
      <c r="C530" s="7" t="s">
        <v>1039</v>
      </c>
      <c r="D530" s="7">
        <v>529</v>
      </c>
      <c r="E530" s="7">
        <v>529</v>
      </c>
      <c r="F530" s="7">
        <v>529</v>
      </c>
      <c r="G530" s="11" t="s">
        <v>1016</v>
      </c>
      <c r="H530" s="20">
        <v>45229</v>
      </c>
      <c r="I530" s="12">
        <v>44807</v>
      </c>
      <c r="J530" s="12">
        <v>45049</v>
      </c>
      <c r="K530" s="25">
        <v>24279</v>
      </c>
      <c r="L530" s="23">
        <v>20950</v>
      </c>
      <c r="M530" s="30" t="s">
        <v>1052</v>
      </c>
      <c r="N530" s="30" t="s">
        <v>1055</v>
      </c>
    </row>
    <row r="531" spans="1:14" customFormat="1" x14ac:dyDescent="0.25">
      <c r="A531" s="7">
        <v>530</v>
      </c>
      <c r="B531" s="11" t="s">
        <v>546</v>
      </c>
      <c r="C531" s="7" t="s">
        <v>1039</v>
      </c>
      <c r="D531" s="7">
        <v>530</v>
      </c>
      <c r="E531" s="7">
        <v>530</v>
      </c>
      <c r="F531" s="7">
        <v>530</v>
      </c>
      <c r="G531" s="11" t="s">
        <v>1022</v>
      </c>
      <c r="H531" s="20">
        <v>33025</v>
      </c>
      <c r="I531" s="12">
        <v>45498</v>
      </c>
      <c r="J531" s="12">
        <v>45529</v>
      </c>
      <c r="K531" s="25">
        <v>11607</v>
      </c>
      <c r="L531" s="23">
        <v>21418</v>
      </c>
      <c r="M531" s="30" t="s">
        <v>1052</v>
      </c>
      <c r="N531" s="30" t="s">
        <v>1055</v>
      </c>
    </row>
    <row r="532" spans="1:14" customFormat="1" x14ac:dyDescent="0.25">
      <c r="A532" s="7">
        <v>531</v>
      </c>
      <c r="B532" s="11" t="s">
        <v>547</v>
      </c>
      <c r="C532" s="7" t="s">
        <v>1039</v>
      </c>
      <c r="D532" s="7">
        <v>531</v>
      </c>
      <c r="E532" s="9">
        <v>531</v>
      </c>
      <c r="F532" s="7">
        <v>531</v>
      </c>
      <c r="G532" s="11" t="s">
        <v>1025</v>
      </c>
      <c r="H532" s="20">
        <v>291056</v>
      </c>
      <c r="I532" s="12">
        <v>45595</v>
      </c>
      <c r="J532" s="12">
        <v>45807</v>
      </c>
      <c r="K532" s="25">
        <v>108607</v>
      </c>
      <c r="L532" s="23">
        <v>182449</v>
      </c>
      <c r="M532" s="30" t="s">
        <v>1052</v>
      </c>
      <c r="N532" s="30" t="s">
        <v>1055</v>
      </c>
    </row>
    <row r="533" spans="1:14" customFormat="1" x14ac:dyDescent="0.25">
      <c r="A533" s="7">
        <v>532</v>
      </c>
      <c r="B533" s="11" t="s">
        <v>548</v>
      </c>
      <c r="C533" s="7" t="s">
        <v>1039</v>
      </c>
      <c r="D533" s="7">
        <v>532</v>
      </c>
      <c r="E533" s="7">
        <v>532</v>
      </c>
      <c r="F533" s="7">
        <v>532</v>
      </c>
      <c r="G533" s="11" t="s">
        <v>1024</v>
      </c>
      <c r="H533" s="20">
        <v>262251</v>
      </c>
      <c r="I533" s="12">
        <v>45342</v>
      </c>
      <c r="J533" s="12">
        <v>45767</v>
      </c>
      <c r="K533" s="25">
        <v>150537</v>
      </c>
      <c r="L533" s="23">
        <v>111714</v>
      </c>
      <c r="M533" s="30" t="s">
        <v>1052</v>
      </c>
      <c r="N533" s="30" t="s">
        <v>1055</v>
      </c>
    </row>
    <row r="534" spans="1:14" customFormat="1" x14ac:dyDescent="0.25">
      <c r="A534" s="7">
        <v>533</v>
      </c>
      <c r="B534" s="11" t="s">
        <v>549</v>
      </c>
      <c r="C534" s="7" t="s">
        <v>1039</v>
      </c>
      <c r="D534" s="7">
        <v>533</v>
      </c>
      <c r="E534" s="7">
        <v>533</v>
      </c>
      <c r="F534" s="7">
        <v>533</v>
      </c>
      <c r="G534" s="11" t="s">
        <v>1020</v>
      </c>
      <c r="H534" s="20">
        <v>378733</v>
      </c>
      <c r="I534" s="12">
        <v>44266</v>
      </c>
      <c r="J534" s="12">
        <v>44784</v>
      </c>
      <c r="K534" s="25">
        <v>274646</v>
      </c>
      <c r="L534" s="23">
        <v>104087</v>
      </c>
      <c r="M534" s="30" t="s">
        <v>1052</v>
      </c>
      <c r="N534" s="30" t="s">
        <v>1055</v>
      </c>
    </row>
    <row r="535" spans="1:14" customFormat="1" x14ac:dyDescent="0.25">
      <c r="A535" s="7">
        <v>534</v>
      </c>
      <c r="B535" s="11" t="s">
        <v>550</v>
      </c>
      <c r="C535" s="7" t="s">
        <v>1039</v>
      </c>
      <c r="D535" s="7">
        <v>534</v>
      </c>
      <c r="E535" s="9">
        <v>534</v>
      </c>
      <c r="F535" s="7">
        <v>534</v>
      </c>
      <c r="G535" s="11" t="s">
        <v>1027</v>
      </c>
      <c r="H535" s="20">
        <v>27631</v>
      </c>
      <c r="I535" s="12">
        <v>44708</v>
      </c>
      <c r="J535" s="12">
        <v>45439</v>
      </c>
      <c r="K535" s="25">
        <v>25540</v>
      </c>
      <c r="L535" s="23">
        <v>2091</v>
      </c>
      <c r="M535" s="30" t="s">
        <v>1052</v>
      </c>
      <c r="N535" s="30" t="s">
        <v>1055</v>
      </c>
    </row>
    <row r="536" spans="1:14" customFormat="1" x14ac:dyDescent="0.25">
      <c r="A536" s="7">
        <v>535</v>
      </c>
      <c r="B536" s="11" t="s">
        <v>551</v>
      </c>
      <c r="C536" s="7" t="s">
        <v>1039</v>
      </c>
      <c r="D536" s="7">
        <v>535</v>
      </c>
      <c r="E536" s="7">
        <v>535</v>
      </c>
      <c r="F536" s="7">
        <v>535</v>
      </c>
      <c r="G536" s="11" t="s">
        <v>1020</v>
      </c>
      <c r="H536" s="20">
        <v>46158</v>
      </c>
      <c r="I536" s="12">
        <v>44923</v>
      </c>
      <c r="J536" s="12">
        <v>45379</v>
      </c>
      <c r="K536" s="25">
        <v>15745</v>
      </c>
      <c r="L536" s="23">
        <v>30413</v>
      </c>
      <c r="M536" s="30" t="s">
        <v>1052</v>
      </c>
      <c r="N536" s="30" t="s">
        <v>1055</v>
      </c>
    </row>
    <row r="537" spans="1:14" customFormat="1" x14ac:dyDescent="0.25">
      <c r="A537" s="7">
        <v>536</v>
      </c>
      <c r="B537" s="11" t="s">
        <v>552</v>
      </c>
      <c r="C537" s="7" t="s">
        <v>1039</v>
      </c>
      <c r="D537" s="7">
        <v>536</v>
      </c>
      <c r="E537" s="7">
        <v>536</v>
      </c>
      <c r="F537" s="7">
        <v>536</v>
      </c>
      <c r="G537" s="11" t="s">
        <v>1027</v>
      </c>
      <c r="H537" s="20">
        <v>29115</v>
      </c>
      <c r="I537" s="12">
        <v>44208</v>
      </c>
      <c r="J537" s="12">
        <v>44907</v>
      </c>
      <c r="K537" s="25">
        <v>2110</v>
      </c>
      <c r="L537" s="23">
        <v>27005</v>
      </c>
      <c r="M537" s="30" t="s">
        <v>1052</v>
      </c>
      <c r="N537" s="30" t="s">
        <v>1055</v>
      </c>
    </row>
    <row r="538" spans="1:14" customFormat="1" x14ac:dyDescent="0.25">
      <c r="A538" s="7">
        <v>537</v>
      </c>
      <c r="B538" s="11" t="s">
        <v>553</v>
      </c>
      <c r="C538" s="7" t="s">
        <v>1039</v>
      </c>
      <c r="D538" s="7">
        <v>537</v>
      </c>
      <c r="E538" s="9">
        <v>537</v>
      </c>
      <c r="F538" s="7">
        <v>537</v>
      </c>
      <c r="G538" s="11" t="s">
        <v>1023</v>
      </c>
      <c r="H538" s="20">
        <v>979</v>
      </c>
      <c r="I538" s="12">
        <v>44890</v>
      </c>
      <c r="J538" s="12">
        <v>45132</v>
      </c>
      <c r="K538" s="25">
        <v>943</v>
      </c>
      <c r="L538" s="23">
        <v>36</v>
      </c>
      <c r="M538" s="30" t="s">
        <v>1052</v>
      </c>
      <c r="N538" s="30" t="s">
        <v>1055</v>
      </c>
    </row>
    <row r="539" spans="1:14" customFormat="1" x14ac:dyDescent="0.25">
      <c r="A539" s="7">
        <v>538</v>
      </c>
      <c r="B539" s="11" t="s">
        <v>554</v>
      </c>
      <c r="C539" s="7" t="s">
        <v>1039</v>
      </c>
      <c r="D539" s="7">
        <v>538</v>
      </c>
      <c r="E539" s="7">
        <v>538</v>
      </c>
      <c r="F539" s="7">
        <v>538</v>
      </c>
      <c r="G539" s="11" t="s">
        <v>1024</v>
      </c>
      <c r="H539" s="20">
        <v>749646</v>
      </c>
      <c r="I539" s="12">
        <v>44637</v>
      </c>
      <c r="J539" s="12">
        <v>44943</v>
      </c>
      <c r="K539" s="25">
        <v>625786</v>
      </c>
      <c r="L539" s="23">
        <v>123860</v>
      </c>
      <c r="M539" s="30" t="s">
        <v>1052</v>
      </c>
      <c r="N539" s="30" t="s">
        <v>1055</v>
      </c>
    </row>
    <row r="540" spans="1:14" customFormat="1" x14ac:dyDescent="0.25">
      <c r="A540" s="7">
        <v>539</v>
      </c>
      <c r="B540" s="11" t="s">
        <v>555</v>
      </c>
      <c r="C540" s="7" t="s">
        <v>1039</v>
      </c>
      <c r="D540" s="7">
        <v>539</v>
      </c>
      <c r="E540" s="7">
        <v>539</v>
      </c>
      <c r="F540" s="7">
        <v>539</v>
      </c>
      <c r="G540" s="11" t="s">
        <v>1021</v>
      </c>
      <c r="H540" s="20">
        <v>57107</v>
      </c>
      <c r="I540" s="12">
        <v>44211</v>
      </c>
      <c r="J540" s="12">
        <v>44242</v>
      </c>
      <c r="K540" s="25">
        <v>18583</v>
      </c>
      <c r="L540" s="23">
        <v>38524</v>
      </c>
      <c r="M540" s="30" t="s">
        <v>1052</v>
      </c>
      <c r="N540" s="30" t="s">
        <v>1055</v>
      </c>
    </row>
    <row r="541" spans="1:14" customFormat="1" x14ac:dyDescent="0.25">
      <c r="A541" s="7">
        <v>540</v>
      </c>
      <c r="B541" s="11" t="s">
        <v>556</v>
      </c>
      <c r="C541" s="7" t="s">
        <v>1039</v>
      </c>
      <c r="D541" s="7">
        <v>540</v>
      </c>
      <c r="E541" s="9">
        <v>540</v>
      </c>
      <c r="F541" s="7">
        <v>540</v>
      </c>
      <c r="G541" s="11" t="s">
        <v>1021</v>
      </c>
      <c r="H541" s="20">
        <v>30817</v>
      </c>
      <c r="I541" s="12">
        <v>44480</v>
      </c>
      <c r="J541" s="12">
        <v>44631</v>
      </c>
      <c r="K541" s="25">
        <v>3507</v>
      </c>
      <c r="L541" s="23">
        <v>27310</v>
      </c>
      <c r="M541" s="30" t="s">
        <v>1052</v>
      </c>
      <c r="N541" s="30" t="s">
        <v>1055</v>
      </c>
    </row>
    <row r="542" spans="1:14" customFormat="1" x14ac:dyDescent="0.25">
      <c r="A542" s="7">
        <v>541</v>
      </c>
      <c r="B542" s="11" t="s">
        <v>557</v>
      </c>
      <c r="C542" s="7" t="s">
        <v>1039</v>
      </c>
      <c r="D542" s="7">
        <v>541</v>
      </c>
      <c r="E542" s="7">
        <v>541</v>
      </c>
      <c r="F542" s="7">
        <v>541</v>
      </c>
      <c r="G542" s="11" t="s">
        <v>1027</v>
      </c>
      <c r="H542" s="20">
        <v>38193</v>
      </c>
      <c r="I542" s="12">
        <v>44285</v>
      </c>
      <c r="J542" s="12">
        <v>45015</v>
      </c>
      <c r="K542" s="25">
        <v>18784</v>
      </c>
      <c r="L542" s="23">
        <v>19409</v>
      </c>
      <c r="M542" s="30" t="s">
        <v>1052</v>
      </c>
      <c r="N542" s="30" t="s">
        <v>1055</v>
      </c>
    </row>
    <row r="543" spans="1:14" customFormat="1" x14ac:dyDescent="0.25">
      <c r="A543" s="7">
        <v>542</v>
      </c>
      <c r="B543" s="11" t="s">
        <v>558</v>
      </c>
      <c r="C543" s="7" t="s">
        <v>1039</v>
      </c>
      <c r="D543" s="7">
        <v>542</v>
      </c>
      <c r="E543" s="7">
        <v>542</v>
      </c>
      <c r="F543" s="7">
        <v>542</v>
      </c>
      <c r="G543" s="11" t="s">
        <v>1023</v>
      </c>
      <c r="H543" s="20">
        <v>373</v>
      </c>
      <c r="I543" s="12">
        <v>44735</v>
      </c>
      <c r="J543" s="12">
        <v>45130</v>
      </c>
      <c r="K543" s="25">
        <v>107</v>
      </c>
      <c r="L543" s="23">
        <v>266</v>
      </c>
      <c r="M543" s="30" t="s">
        <v>1052</v>
      </c>
      <c r="N543" s="30" t="s">
        <v>1055</v>
      </c>
    </row>
    <row r="544" spans="1:14" customFormat="1" x14ac:dyDescent="0.25">
      <c r="A544" s="7">
        <v>543</v>
      </c>
      <c r="B544" s="11" t="s">
        <v>559</v>
      </c>
      <c r="C544" s="7" t="s">
        <v>1039</v>
      </c>
      <c r="D544" s="7">
        <v>543</v>
      </c>
      <c r="E544" s="9">
        <v>543</v>
      </c>
      <c r="F544" s="7">
        <v>543</v>
      </c>
      <c r="G544" s="11" t="s">
        <v>1016</v>
      </c>
      <c r="H544" s="20">
        <v>19582</v>
      </c>
      <c r="I544" s="12">
        <v>45009</v>
      </c>
      <c r="J544" s="12">
        <v>45040</v>
      </c>
      <c r="K544" s="25">
        <v>13450</v>
      </c>
      <c r="L544" s="23">
        <v>6132</v>
      </c>
      <c r="M544" s="30" t="s">
        <v>1052</v>
      </c>
      <c r="N544" s="30" t="s">
        <v>1055</v>
      </c>
    </row>
    <row r="545" spans="1:14" customFormat="1" x14ac:dyDescent="0.25">
      <c r="A545" s="7">
        <v>544</v>
      </c>
      <c r="B545" s="11" t="s">
        <v>560</v>
      </c>
      <c r="C545" s="7" t="s">
        <v>1039</v>
      </c>
      <c r="D545" s="7">
        <v>544</v>
      </c>
      <c r="E545" s="7">
        <v>544</v>
      </c>
      <c r="F545" s="7">
        <v>544</v>
      </c>
      <c r="G545" s="11" t="s">
        <v>1022</v>
      </c>
      <c r="H545" s="20">
        <v>25904</v>
      </c>
      <c r="I545" s="12">
        <v>45179</v>
      </c>
      <c r="J545" s="12">
        <v>45910</v>
      </c>
      <c r="K545" s="25">
        <v>5636</v>
      </c>
      <c r="L545" s="23">
        <v>20268</v>
      </c>
      <c r="M545" s="30" t="s">
        <v>1052</v>
      </c>
      <c r="N545" s="30" t="s">
        <v>1055</v>
      </c>
    </row>
    <row r="546" spans="1:14" customFormat="1" x14ac:dyDescent="0.25">
      <c r="A546" s="7">
        <v>545</v>
      </c>
      <c r="B546" s="11" t="s">
        <v>561</v>
      </c>
      <c r="C546" s="7" t="s">
        <v>1039</v>
      </c>
      <c r="D546" s="7">
        <v>545</v>
      </c>
      <c r="E546" s="7">
        <v>545</v>
      </c>
      <c r="F546" s="7">
        <v>545</v>
      </c>
      <c r="G546" s="11" t="s">
        <v>1027</v>
      </c>
      <c r="H546" s="20">
        <v>44272</v>
      </c>
      <c r="I546" s="12">
        <v>45649</v>
      </c>
      <c r="J546" s="12">
        <v>46135</v>
      </c>
      <c r="K546" s="25">
        <v>19635</v>
      </c>
      <c r="L546" s="23">
        <v>24637</v>
      </c>
      <c r="M546" s="30" t="s">
        <v>1052</v>
      </c>
      <c r="N546" s="30" t="s">
        <v>1055</v>
      </c>
    </row>
    <row r="547" spans="1:14" customFormat="1" x14ac:dyDescent="0.25">
      <c r="A547" s="7">
        <v>546</v>
      </c>
      <c r="B547" s="11" t="s">
        <v>562</v>
      </c>
      <c r="C547" s="7" t="s">
        <v>1039</v>
      </c>
      <c r="D547" s="7">
        <v>546</v>
      </c>
      <c r="E547" s="9">
        <v>546</v>
      </c>
      <c r="F547" s="7">
        <v>546</v>
      </c>
      <c r="G547" s="11" t="s">
        <v>1024</v>
      </c>
      <c r="H547" s="20">
        <v>410444</v>
      </c>
      <c r="I547" s="12">
        <v>45209</v>
      </c>
      <c r="J547" s="12">
        <v>45636</v>
      </c>
      <c r="K547" s="25">
        <v>25451</v>
      </c>
      <c r="L547" s="23">
        <v>384993</v>
      </c>
      <c r="M547" s="30" t="s">
        <v>1052</v>
      </c>
      <c r="N547" s="30" t="s">
        <v>1055</v>
      </c>
    </row>
    <row r="548" spans="1:14" customFormat="1" x14ac:dyDescent="0.25">
      <c r="A548" s="7">
        <v>547</v>
      </c>
      <c r="B548" s="11" t="s">
        <v>563</v>
      </c>
      <c r="C548" s="7" t="s">
        <v>1039</v>
      </c>
      <c r="D548" s="7">
        <v>547</v>
      </c>
      <c r="E548" s="7">
        <v>547</v>
      </c>
      <c r="F548" s="7">
        <v>547</v>
      </c>
      <c r="G548" s="11" t="s">
        <v>1023</v>
      </c>
      <c r="H548" s="20">
        <v>1125</v>
      </c>
      <c r="I548" s="12">
        <v>45352</v>
      </c>
      <c r="J548" s="12">
        <v>45992</v>
      </c>
      <c r="K548" s="25">
        <v>431</v>
      </c>
      <c r="L548" s="23">
        <v>694</v>
      </c>
      <c r="M548" s="30" t="s">
        <v>1052</v>
      </c>
      <c r="N548" s="30" t="s">
        <v>1055</v>
      </c>
    </row>
    <row r="549" spans="1:14" customFormat="1" x14ac:dyDescent="0.25">
      <c r="A549" s="7">
        <v>548</v>
      </c>
      <c r="B549" s="11" t="s">
        <v>564</v>
      </c>
      <c r="C549" s="7" t="s">
        <v>1039</v>
      </c>
      <c r="D549" s="7">
        <v>548</v>
      </c>
      <c r="E549" s="7">
        <v>548</v>
      </c>
      <c r="F549" s="7">
        <v>548</v>
      </c>
      <c r="G549" s="11" t="s">
        <v>1022</v>
      </c>
      <c r="H549" s="20">
        <v>8509</v>
      </c>
      <c r="I549" s="12">
        <v>45148</v>
      </c>
      <c r="J549" s="12">
        <v>45757</v>
      </c>
      <c r="K549" s="25">
        <v>2658</v>
      </c>
      <c r="L549" s="23">
        <v>5851</v>
      </c>
      <c r="M549" s="30" t="s">
        <v>1052</v>
      </c>
      <c r="N549" s="30" t="s">
        <v>1055</v>
      </c>
    </row>
    <row r="550" spans="1:14" customFormat="1" x14ac:dyDescent="0.25">
      <c r="A550" s="7">
        <v>549</v>
      </c>
      <c r="B550" s="11" t="s">
        <v>565</v>
      </c>
      <c r="C550" s="7" t="s">
        <v>1039</v>
      </c>
      <c r="D550" s="7">
        <v>549</v>
      </c>
      <c r="E550" s="9">
        <v>549</v>
      </c>
      <c r="F550" s="7">
        <v>549</v>
      </c>
      <c r="G550" s="11" t="s">
        <v>1021</v>
      </c>
      <c r="H550" s="20">
        <v>94312</v>
      </c>
      <c r="I550" s="12">
        <v>44250</v>
      </c>
      <c r="J550" s="12">
        <v>44370</v>
      </c>
      <c r="K550" s="25">
        <v>24979</v>
      </c>
      <c r="L550" s="23">
        <v>69333</v>
      </c>
      <c r="M550" s="30" t="s">
        <v>1052</v>
      </c>
      <c r="N550" s="30" t="s">
        <v>1055</v>
      </c>
    </row>
    <row r="551" spans="1:14" customFormat="1" x14ac:dyDescent="0.25">
      <c r="A551" s="7">
        <v>550</v>
      </c>
      <c r="B551" s="11" t="s">
        <v>566</v>
      </c>
      <c r="C551" s="7" t="s">
        <v>1039</v>
      </c>
      <c r="D551" s="7">
        <v>550</v>
      </c>
      <c r="E551" s="7">
        <v>550</v>
      </c>
      <c r="F551" s="7">
        <v>550</v>
      </c>
      <c r="G551" s="11" t="s">
        <v>1027</v>
      </c>
      <c r="H551" s="20">
        <v>54223</v>
      </c>
      <c r="I551" s="12">
        <v>45464</v>
      </c>
      <c r="J551" s="12">
        <v>46133</v>
      </c>
      <c r="K551" s="25">
        <v>1378</v>
      </c>
      <c r="L551" s="23">
        <v>52845</v>
      </c>
      <c r="M551" s="30" t="s">
        <v>1052</v>
      </c>
      <c r="N551" s="30" t="s">
        <v>1055</v>
      </c>
    </row>
    <row r="552" spans="1:14" customFormat="1" x14ac:dyDescent="0.25">
      <c r="A552" s="7">
        <v>551</v>
      </c>
      <c r="B552" s="11" t="s">
        <v>567</v>
      </c>
      <c r="C552" s="7" t="s">
        <v>1039</v>
      </c>
      <c r="D552" s="7">
        <v>551</v>
      </c>
      <c r="E552" s="7">
        <v>551</v>
      </c>
      <c r="F552" s="7">
        <v>551</v>
      </c>
      <c r="G552" s="11" t="s">
        <v>1026</v>
      </c>
      <c r="H552" s="20">
        <v>1974880</v>
      </c>
      <c r="I552" s="12">
        <v>45432</v>
      </c>
      <c r="J552" s="12">
        <v>45677</v>
      </c>
      <c r="K552" s="25">
        <v>204501</v>
      </c>
      <c r="L552" s="23">
        <v>1770379</v>
      </c>
      <c r="M552" s="30" t="s">
        <v>1052</v>
      </c>
      <c r="N552" s="30" t="s">
        <v>1055</v>
      </c>
    </row>
    <row r="553" spans="1:14" customFormat="1" x14ac:dyDescent="0.25">
      <c r="A553" s="7">
        <v>552</v>
      </c>
      <c r="B553" s="11" t="s">
        <v>568</v>
      </c>
      <c r="C553" s="7" t="s">
        <v>1039</v>
      </c>
      <c r="D553" s="7">
        <v>552</v>
      </c>
      <c r="E553" s="9">
        <v>552</v>
      </c>
      <c r="F553" s="7">
        <v>552</v>
      </c>
      <c r="G553" s="11" t="s">
        <v>1023</v>
      </c>
      <c r="H553" s="20">
        <v>1023</v>
      </c>
      <c r="I553" s="12">
        <v>45643</v>
      </c>
      <c r="J553" s="12">
        <v>45917</v>
      </c>
      <c r="K553" s="25">
        <v>531</v>
      </c>
      <c r="L553" s="23">
        <v>492</v>
      </c>
      <c r="M553" s="30" t="s">
        <v>1052</v>
      </c>
      <c r="N553" s="30" t="s">
        <v>1055</v>
      </c>
    </row>
    <row r="554" spans="1:14" customFormat="1" x14ac:dyDescent="0.25">
      <c r="A554" s="7">
        <v>553</v>
      </c>
      <c r="B554" s="11" t="s">
        <v>569</v>
      </c>
      <c r="C554" s="7" t="s">
        <v>1039</v>
      </c>
      <c r="D554" s="7">
        <v>553</v>
      </c>
      <c r="E554" s="7">
        <v>553</v>
      </c>
      <c r="F554" s="7">
        <v>553</v>
      </c>
      <c r="G554" s="11" t="s">
        <v>1020</v>
      </c>
      <c r="H554" s="20">
        <v>277812</v>
      </c>
      <c r="I554" s="12">
        <v>43965</v>
      </c>
      <c r="J554" s="12">
        <v>44088</v>
      </c>
      <c r="K554" s="25">
        <v>231434</v>
      </c>
      <c r="L554" s="23">
        <v>46378</v>
      </c>
      <c r="M554" s="30" t="s">
        <v>1052</v>
      </c>
      <c r="N554" s="30" t="s">
        <v>1055</v>
      </c>
    </row>
    <row r="555" spans="1:14" customFormat="1" x14ac:dyDescent="0.25">
      <c r="A555" s="7">
        <v>554</v>
      </c>
      <c r="B555" s="11" t="s">
        <v>570</v>
      </c>
      <c r="C555" s="7" t="s">
        <v>1039</v>
      </c>
      <c r="D555" s="7">
        <v>554</v>
      </c>
      <c r="E555" s="7">
        <v>554</v>
      </c>
      <c r="F555" s="7">
        <v>554</v>
      </c>
      <c r="G555" s="11" t="s">
        <v>1022</v>
      </c>
      <c r="H555" s="20">
        <v>13076</v>
      </c>
      <c r="I555" s="12">
        <v>43967</v>
      </c>
      <c r="J555" s="12">
        <v>44697</v>
      </c>
      <c r="K555" s="25">
        <v>2933</v>
      </c>
      <c r="L555" s="23">
        <v>10143</v>
      </c>
      <c r="M555" s="30" t="s">
        <v>1052</v>
      </c>
      <c r="N555" s="30" t="s">
        <v>1055</v>
      </c>
    </row>
    <row r="556" spans="1:14" customFormat="1" x14ac:dyDescent="0.25">
      <c r="A556" s="7">
        <v>555</v>
      </c>
      <c r="B556" s="11" t="s">
        <v>571</v>
      </c>
      <c r="C556" s="7" t="s">
        <v>1039</v>
      </c>
      <c r="D556" s="7">
        <v>555</v>
      </c>
      <c r="E556" s="9">
        <v>555</v>
      </c>
      <c r="F556" s="7">
        <v>555</v>
      </c>
      <c r="G556" s="11" t="s">
        <v>1020</v>
      </c>
      <c r="H556" s="20">
        <v>271330</v>
      </c>
      <c r="I556" s="12">
        <v>45230</v>
      </c>
      <c r="J556" s="12">
        <v>45291</v>
      </c>
      <c r="K556" s="25">
        <v>151895</v>
      </c>
      <c r="L556" s="23">
        <v>119435</v>
      </c>
      <c r="M556" s="30" t="s">
        <v>1052</v>
      </c>
      <c r="N556" s="30" t="s">
        <v>1055</v>
      </c>
    </row>
    <row r="557" spans="1:14" customFormat="1" x14ac:dyDescent="0.25">
      <c r="A557" s="7">
        <v>556</v>
      </c>
      <c r="B557" s="11" t="s">
        <v>572</v>
      </c>
      <c r="C557" s="7" t="s">
        <v>1039</v>
      </c>
      <c r="D557" s="7">
        <v>556</v>
      </c>
      <c r="E557" s="7">
        <v>556</v>
      </c>
      <c r="F557" s="7">
        <v>556</v>
      </c>
      <c r="G557" s="11" t="s">
        <v>1023</v>
      </c>
      <c r="H557" s="20">
        <v>73</v>
      </c>
      <c r="I557" s="12">
        <v>44047</v>
      </c>
      <c r="J557" s="12">
        <v>44381</v>
      </c>
      <c r="K557" s="25">
        <v>19</v>
      </c>
      <c r="L557" s="23">
        <v>54</v>
      </c>
      <c r="M557" s="30" t="s">
        <v>1052</v>
      </c>
      <c r="N557" s="30" t="s">
        <v>1055</v>
      </c>
    </row>
    <row r="558" spans="1:14" customFormat="1" x14ac:dyDescent="0.25">
      <c r="A558" s="7">
        <v>557</v>
      </c>
      <c r="B558" s="11" t="s">
        <v>573</v>
      </c>
      <c r="C558" s="7" t="s">
        <v>1039</v>
      </c>
      <c r="D558" s="7">
        <v>557</v>
      </c>
      <c r="E558" s="7">
        <v>557</v>
      </c>
      <c r="F558" s="7">
        <v>557</v>
      </c>
      <c r="G558" s="11" t="s">
        <v>1016</v>
      </c>
      <c r="H558" s="20">
        <v>8673</v>
      </c>
      <c r="I558" s="12">
        <v>45479</v>
      </c>
      <c r="J558" s="12">
        <v>45722</v>
      </c>
      <c r="K558" s="25">
        <v>1638</v>
      </c>
      <c r="L558" s="23">
        <v>7035</v>
      </c>
      <c r="M558" s="30" t="s">
        <v>1052</v>
      </c>
      <c r="N558" s="30" t="s">
        <v>1055</v>
      </c>
    </row>
    <row r="559" spans="1:14" customFormat="1" x14ac:dyDescent="0.25">
      <c r="A559" s="7">
        <v>558</v>
      </c>
      <c r="B559" s="11" t="s">
        <v>574</v>
      </c>
      <c r="C559" s="7" t="s">
        <v>1039</v>
      </c>
      <c r="D559" s="7">
        <v>558</v>
      </c>
      <c r="E559" s="9">
        <v>558</v>
      </c>
      <c r="F559" s="7">
        <v>558</v>
      </c>
      <c r="G559" s="11" t="s">
        <v>1025</v>
      </c>
      <c r="H559" s="20">
        <v>288143</v>
      </c>
      <c r="I559" s="12">
        <v>44600</v>
      </c>
      <c r="J559" s="12">
        <v>45299</v>
      </c>
      <c r="K559" s="25">
        <v>69529</v>
      </c>
      <c r="L559" s="23">
        <v>218614</v>
      </c>
      <c r="M559" s="30" t="s">
        <v>1052</v>
      </c>
      <c r="N559" s="30" t="s">
        <v>1055</v>
      </c>
    </row>
    <row r="560" spans="1:14" customFormat="1" x14ac:dyDescent="0.25">
      <c r="A560" s="7">
        <v>559</v>
      </c>
      <c r="B560" s="11" t="s">
        <v>575</v>
      </c>
      <c r="C560" s="7" t="s">
        <v>1039</v>
      </c>
      <c r="D560" s="7">
        <v>559</v>
      </c>
      <c r="E560" s="7">
        <v>559</v>
      </c>
      <c r="F560" s="7">
        <v>559</v>
      </c>
      <c r="G560" s="11" t="s">
        <v>1025</v>
      </c>
      <c r="H560" s="20">
        <v>87500</v>
      </c>
      <c r="I560" s="12">
        <v>44011</v>
      </c>
      <c r="J560" s="12">
        <v>44468</v>
      </c>
      <c r="K560" s="25">
        <v>66158</v>
      </c>
      <c r="L560" s="23">
        <v>21342</v>
      </c>
      <c r="M560" s="30" t="s">
        <v>1052</v>
      </c>
      <c r="N560" s="30" t="s">
        <v>1055</v>
      </c>
    </row>
    <row r="561" spans="1:14" customFormat="1" x14ac:dyDescent="0.25">
      <c r="A561" s="7">
        <v>560</v>
      </c>
      <c r="B561" s="11" t="s">
        <v>576</v>
      </c>
      <c r="C561" s="7" t="s">
        <v>1039</v>
      </c>
      <c r="D561" s="7">
        <v>560</v>
      </c>
      <c r="E561" s="7">
        <v>560</v>
      </c>
      <c r="F561" s="7">
        <v>560</v>
      </c>
      <c r="G561" s="11" t="s">
        <v>1027</v>
      </c>
      <c r="H561" s="20">
        <v>47803</v>
      </c>
      <c r="I561" s="12">
        <v>45091</v>
      </c>
      <c r="J561" s="12">
        <v>45244</v>
      </c>
      <c r="K561" s="25">
        <v>14411</v>
      </c>
      <c r="L561" s="23">
        <v>33392</v>
      </c>
      <c r="M561" s="30" t="s">
        <v>1052</v>
      </c>
      <c r="N561" s="30" t="s">
        <v>1055</v>
      </c>
    </row>
    <row r="562" spans="1:14" customFormat="1" x14ac:dyDescent="0.25">
      <c r="A562" s="7">
        <v>561</v>
      </c>
      <c r="B562" s="11" t="s">
        <v>577</v>
      </c>
      <c r="C562" s="7" t="s">
        <v>1039</v>
      </c>
      <c r="D562" s="7">
        <v>561</v>
      </c>
      <c r="E562" s="9">
        <v>561</v>
      </c>
      <c r="F562" s="7">
        <v>561</v>
      </c>
      <c r="G562" s="11" t="s">
        <v>1027</v>
      </c>
      <c r="H562" s="20">
        <v>27131</v>
      </c>
      <c r="I562" s="12">
        <v>45698</v>
      </c>
      <c r="J562" s="12">
        <v>45757</v>
      </c>
      <c r="K562" s="25">
        <v>11648</v>
      </c>
      <c r="L562" s="23">
        <v>15483</v>
      </c>
      <c r="M562" s="30" t="s">
        <v>1052</v>
      </c>
      <c r="N562" s="30" t="s">
        <v>1055</v>
      </c>
    </row>
    <row r="563" spans="1:14" customFormat="1" x14ac:dyDescent="0.25">
      <c r="A563" s="7">
        <v>562</v>
      </c>
      <c r="B563" s="11" t="s">
        <v>578</v>
      </c>
      <c r="C563" s="7" t="s">
        <v>1039</v>
      </c>
      <c r="D563" s="7">
        <v>562</v>
      </c>
      <c r="E563" s="7">
        <v>562</v>
      </c>
      <c r="F563" s="7">
        <v>562</v>
      </c>
      <c r="G563" s="11" t="s">
        <v>1020</v>
      </c>
      <c r="H563" s="20">
        <v>220432</v>
      </c>
      <c r="I563" s="12">
        <v>44604</v>
      </c>
      <c r="J563" s="12">
        <v>45058</v>
      </c>
      <c r="K563" s="25">
        <v>101815</v>
      </c>
      <c r="L563" s="23">
        <v>118617</v>
      </c>
      <c r="M563" s="30" t="s">
        <v>1052</v>
      </c>
      <c r="N563" s="30" t="s">
        <v>1055</v>
      </c>
    </row>
    <row r="564" spans="1:14" customFormat="1" x14ac:dyDescent="0.25">
      <c r="A564" s="7">
        <v>563</v>
      </c>
      <c r="B564" s="11" t="s">
        <v>579</v>
      </c>
      <c r="C564" s="7" t="s">
        <v>1039</v>
      </c>
      <c r="D564" s="7">
        <v>563</v>
      </c>
      <c r="E564" s="7">
        <v>563</v>
      </c>
      <c r="F564" s="7">
        <v>563</v>
      </c>
      <c r="G564" s="11" t="s">
        <v>1021</v>
      </c>
      <c r="H564" s="20">
        <v>45225</v>
      </c>
      <c r="I564" s="12">
        <v>45029</v>
      </c>
      <c r="J564" s="12">
        <v>45517</v>
      </c>
      <c r="K564" s="25">
        <v>22290</v>
      </c>
      <c r="L564" s="23">
        <v>22935</v>
      </c>
      <c r="M564" s="30" t="s">
        <v>1052</v>
      </c>
      <c r="N564" s="30" t="s">
        <v>1055</v>
      </c>
    </row>
    <row r="565" spans="1:14" customFormat="1" x14ac:dyDescent="0.25">
      <c r="A565" s="7">
        <v>564</v>
      </c>
      <c r="B565" s="11" t="s">
        <v>580</v>
      </c>
      <c r="C565" s="7" t="s">
        <v>1039</v>
      </c>
      <c r="D565" s="7">
        <v>564</v>
      </c>
      <c r="E565" s="9">
        <v>564</v>
      </c>
      <c r="F565" s="7">
        <v>564</v>
      </c>
      <c r="G565" s="11" t="s">
        <v>1016</v>
      </c>
      <c r="H565" s="20">
        <v>1637</v>
      </c>
      <c r="I565" s="12">
        <v>45637</v>
      </c>
      <c r="J565" s="12">
        <v>46306</v>
      </c>
      <c r="K565" s="25">
        <v>140</v>
      </c>
      <c r="L565" s="23">
        <v>1497</v>
      </c>
      <c r="M565" s="30" t="s">
        <v>1052</v>
      </c>
      <c r="N565" s="30" t="s">
        <v>1055</v>
      </c>
    </row>
    <row r="566" spans="1:14" customFormat="1" x14ac:dyDescent="0.25">
      <c r="A566" s="7">
        <v>565</v>
      </c>
      <c r="B566" s="11" t="s">
        <v>581</v>
      </c>
      <c r="C566" s="7" t="s">
        <v>1039</v>
      </c>
      <c r="D566" s="7">
        <v>565</v>
      </c>
      <c r="E566" s="7">
        <v>565</v>
      </c>
      <c r="F566" s="7">
        <v>565</v>
      </c>
      <c r="G566" s="11" t="s">
        <v>1020</v>
      </c>
      <c r="H566" s="20">
        <v>337988</v>
      </c>
      <c r="I566" s="12">
        <v>45216</v>
      </c>
      <c r="J566" s="12">
        <v>45582</v>
      </c>
      <c r="K566" s="25">
        <v>78857</v>
      </c>
      <c r="L566" s="23">
        <v>259131</v>
      </c>
      <c r="M566" s="30" t="s">
        <v>1052</v>
      </c>
      <c r="N566" s="30" t="s">
        <v>1055</v>
      </c>
    </row>
    <row r="567" spans="1:14" customFormat="1" x14ac:dyDescent="0.25">
      <c r="A567" s="7">
        <v>566</v>
      </c>
      <c r="B567" s="11" t="s">
        <v>582</v>
      </c>
      <c r="C567" s="7" t="s">
        <v>1039</v>
      </c>
      <c r="D567" s="7">
        <v>566</v>
      </c>
      <c r="E567" s="7">
        <v>566</v>
      </c>
      <c r="F567" s="7">
        <v>566</v>
      </c>
      <c r="G567" s="11" t="s">
        <v>1020</v>
      </c>
      <c r="H567" s="20">
        <v>74683</v>
      </c>
      <c r="I567" s="12">
        <v>44499</v>
      </c>
      <c r="J567" s="12">
        <v>44956</v>
      </c>
      <c r="K567" s="25">
        <v>49519</v>
      </c>
      <c r="L567" s="23">
        <v>25164</v>
      </c>
      <c r="M567" s="30" t="s">
        <v>1052</v>
      </c>
      <c r="N567" s="30" t="s">
        <v>1055</v>
      </c>
    </row>
    <row r="568" spans="1:14" customFormat="1" x14ac:dyDescent="0.25">
      <c r="A568" s="7">
        <v>567</v>
      </c>
      <c r="B568" s="11" t="s">
        <v>583</v>
      </c>
      <c r="C568" s="7" t="s">
        <v>1039</v>
      </c>
      <c r="D568" s="7">
        <v>567</v>
      </c>
      <c r="E568" s="9">
        <v>567</v>
      </c>
      <c r="F568" s="7">
        <v>567</v>
      </c>
      <c r="G568" s="11" t="s">
        <v>1024</v>
      </c>
      <c r="H568" s="20">
        <v>526532</v>
      </c>
      <c r="I568" s="12">
        <v>45615</v>
      </c>
      <c r="J568" s="12">
        <v>45857</v>
      </c>
      <c r="K568" s="25">
        <v>71799</v>
      </c>
      <c r="L568" s="23">
        <v>454733</v>
      </c>
      <c r="M568" s="30" t="s">
        <v>1052</v>
      </c>
      <c r="N568" s="30" t="s">
        <v>1055</v>
      </c>
    </row>
    <row r="569" spans="1:14" customFormat="1" x14ac:dyDescent="0.25">
      <c r="A569" s="7">
        <v>568</v>
      </c>
      <c r="B569" s="11" t="s">
        <v>584</v>
      </c>
      <c r="C569" s="7" t="s">
        <v>1039</v>
      </c>
      <c r="D569" s="7">
        <v>568</v>
      </c>
      <c r="E569" s="7">
        <v>568</v>
      </c>
      <c r="F569" s="7">
        <v>568</v>
      </c>
      <c r="G569" s="11" t="s">
        <v>1021</v>
      </c>
      <c r="H569" s="20">
        <v>65578</v>
      </c>
      <c r="I569" s="12">
        <v>45116</v>
      </c>
      <c r="J569" s="12">
        <v>45544</v>
      </c>
      <c r="K569" s="25">
        <v>12652</v>
      </c>
      <c r="L569" s="23">
        <v>52926</v>
      </c>
      <c r="M569" s="30" t="s">
        <v>1052</v>
      </c>
      <c r="N569" s="30" t="s">
        <v>1055</v>
      </c>
    </row>
    <row r="570" spans="1:14" customFormat="1" x14ac:dyDescent="0.25">
      <c r="A570" s="7">
        <v>569</v>
      </c>
      <c r="B570" s="11" t="s">
        <v>585</v>
      </c>
      <c r="C570" s="7" t="s">
        <v>1039</v>
      </c>
      <c r="D570" s="7">
        <v>569</v>
      </c>
      <c r="E570" s="7">
        <v>569</v>
      </c>
      <c r="F570" s="7">
        <v>569</v>
      </c>
      <c r="G570" s="11" t="s">
        <v>1027</v>
      </c>
      <c r="H570" s="20">
        <v>32219</v>
      </c>
      <c r="I570" s="12">
        <v>44177</v>
      </c>
      <c r="J570" s="12">
        <v>44451</v>
      </c>
      <c r="K570" s="25">
        <v>864</v>
      </c>
      <c r="L570" s="23">
        <v>31355</v>
      </c>
      <c r="M570" s="30" t="s">
        <v>1052</v>
      </c>
      <c r="N570" s="30" t="s">
        <v>1055</v>
      </c>
    </row>
    <row r="571" spans="1:14" customFormat="1" x14ac:dyDescent="0.25">
      <c r="A571" s="7">
        <v>570</v>
      </c>
      <c r="B571" s="11" t="s">
        <v>586</v>
      </c>
      <c r="C571" s="7" t="s">
        <v>1039</v>
      </c>
      <c r="D571" s="7">
        <v>570</v>
      </c>
      <c r="E571" s="9">
        <v>570</v>
      </c>
      <c r="F571" s="7">
        <v>570</v>
      </c>
      <c r="G571" s="11" t="s">
        <v>1026</v>
      </c>
      <c r="H571" s="20">
        <v>2462029</v>
      </c>
      <c r="I571" s="12">
        <v>44999</v>
      </c>
      <c r="J571" s="12">
        <v>45091</v>
      </c>
      <c r="K571" s="25">
        <v>4015</v>
      </c>
      <c r="L571" s="23">
        <v>2458014</v>
      </c>
      <c r="M571" s="30" t="s">
        <v>1052</v>
      </c>
      <c r="N571" s="30" t="s">
        <v>1055</v>
      </c>
    </row>
    <row r="572" spans="1:14" customFormat="1" x14ac:dyDescent="0.25">
      <c r="A572" s="7">
        <v>571</v>
      </c>
      <c r="B572" s="11" t="s">
        <v>587</v>
      </c>
      <c r="C572" s="7" t="s">
        <v>1039</v>
      </c>
      <c r="D572" s="7">
        <v>571</v>
      </c>
      <c r="E572" s="7">
        <v>571</v>
      </c>
      <c r="F572" s="7">
        <v>571</v>
      </c>
      <c r="G572" s="11" t="s">
        <v>1024</v>
      </c>
      <c r="H572" s="20">
        <v>195333</v>
      </c>
      <c r="I572" s="12">
        <v>44974</v>
      </c>
      <c r="J572" s="12">
        <v>45613</v>
      </c>
      <c r="K572" s="25">
        <v>185936</v>
      </c>
      <c r="L572" s="23">
        <v>9397</v>
      </c>
      <c r="M572" s="30" t="s">
        <v>1052</v>
      </c>
      <c r="N572" s="30" t="s">
        <v>1055</v>
      </c>
    </row>
    <row r="573" spans="1:14" customFormat="1" x14ac:dyDescent="0.25">
      <c r="A573" s="7">
        <v>572</v>
      </c>
      <c r="B573" s="11" t="s">
        <v>588</v>
      </c>
      <c r="C573" s="7" t="s">
        <v>1039</v>
      </c>
      <c r="D573" s="7">
        <v>572</v>
      </c>
      <c r="E573" s="7">
        <v>572</v>
      </c>
      <c r="F573" s="7">
        <v>572</v>
      </c>
      <c r="G573" s="11" t="s">
        <v>1027</v>
      </c>
      <c r="H573" s="20">
        <v>53281</v>
      </c>
      <c r="I573" s="12">
        <v>44622</v>
      </c>
      <c r="J573" s="12">
        <v>45293</v>
      </c>
      <c r="K573" s="25">
        <v>9554</v>
      </c>
      <c r="L573" s="23">
        <v>43727</v>
      </c>
      <c r="M573" s="30" t="s">
        <v>1052</v>
      </c>
      <c r="N573" s="30" t="s">
        <v>1055</v>
      </c>
    </row>
    <row r="574" spans="1:14" customFormat="1" x14ac:dyDescent="0.25">
      <c r="A574" s="7">
        <v>573</v>
      </c>
      <c r="B574" s="11" t="s">
        <v>589</v>
      </c>
      <c r="C574" s="7" t="s">
        <v>1039</v>
      </c>
      <c r="D574" s="7">
        <v>573</v>
      </c>
      <c r="E574" s="9">
        <v>573</v>
      </c>
      <c r="F574" s="7">
        <v>573</v>
      </c>
      <c r="G574" s="11" t="s">
        <v>1022</v>
      </c>
      <c r="H574" s="20">
        <v>18186</v>
      </c>
      <c r="I574" s="12">
        <v>44089</v>
      </c>
      <c r="J574" s="12">
        <v>44454</v>
      </c>
      <c r="K574" s="25">
        <v>37</v>
      </c>
      <c r="L574" s="23">
        <v>18149</v>
      </c>
      <c r="M574" s="30" t="s">
        <v>1052</v>
      </c>
      <c r="N574" s="30" t="s">
        <v>1055</v>
      </c>
    </row>
    <row r="575" spans="1:14" customFormat="1" x14ac:dyDescent="0.25">
      <c r="A575" s="7">
        <v>574</v>
      </c>
      <c r="B575" s="11" t="s">
        <v>590</v>
      </c>
      <c r="C575" s="7" t="s">
        <v>1039</v>
      </c>
      <c r="D575" s="7">
        <v>574</v>
      </c>
      <c r="E575" s="7">
        <v>574</v>
      </c>
      <c r="F575" s="7">
        <v>574</v>
      </c>
      <c r="G575" s="11" t="s">
        <v>1025</v>
      </c>
      <c r="H575" s="20">
        <v>107791</v>
      </c>
      <c r="I575" s="12">
        <v>45711</v>
      </c>
      <c r="J575" s="12">
        <v>45770</v>
      </c>
      <c r="K575" s="25">
        <v>10997</v>
      </c>
      <c r="L575" s="23">
        <v>96794</v>
      </c>
      <c r="M575" s="30" t="s">
        <v>1052</v>
      </c>
      <c r="N575" s="30" t="s">
        <v>1055</v>
      </c>
    </row>
    <row r="576" spans="1:14" customFormat="1" x14ac:dyDescent="0.25">
      <c r="A576" s="7">
        <v>575</v>
      </c>
      <c r="B576" s="11" t="s">
        <v>591</v>
      </c>
      <c r="C576" s="7" t="s">
        <v>1039</v>
      </c>
      <c r="D576" s="7">
        <v>575</v>
      </c>
      <c r="E576" s="7">
        <v>575</v>
      </c>
      <c r="F576" s="7">
        <v>575</v>
      </c>
      <c r="G576" s="11" t="s">
        <v>1021</v>
      </c>
      <c r="H576" s="20">
        <v>68124</v>
      </c>
      <c r="I576" s="12">
        <v>44903</v>
      </c>
      <c r="J576" s="12">
        <v>45573</v>
      </c>
      <c r="K576" s="25">
        <v>49150</v>
      </c>
      <c r="L576" s="23">
        <v>18974</v>
      </c>
      <c r="M576" s="30" t="s">
        <v>1052</v>
      </c>
      <c r="N576" s="30" t="s">
        <v>1055</v>
      </c>
    </row>
    <row r="577" spans="1:14" customFormat="1" x14ac:dyDescent="0.25">
      <c r="A577" s="7">
        <v>576</v>
      </c>
      <c r="B577" s="11" t="s">
        <v>592</v>
      </c>
      <c r="C577" s="7" t="s">
        <v>1039</v>
      </c>
      <c r="D577" s="7">
        <v>576</v>
      </c>
      <c r="E577" s="9">
        <v>576</v>
      </c>
      <c r="F577" s="7">
        <v>576</v>
      </c>
      <c r="G577" s="11" t="s">
        <v>1024</v>
      </c>
      <c r="H577" s="20">
        <v>699648</v>
      </c>
      <c r="I577" s="12">
        <v>45011</v>
      </c>
      <c r="J577" s="12">
        <v>45742</v>
      </c>
      <c r="K577" s="25">
        <v>383874</v>
      </c>
      <c r="L577" s="23">
        <v>315774</v>
      </c>
      <c r="M577" s="30" t="s">
        <v>1052</v>
      </c>
      <c r="N577" s="30" t="s">
        <v>1055</v>
      </c>
    </row>
    <row r="578" spans="1:14" customFormat="1" x14ac:dyDescent="0.25">
      <c r="A578" s="7">
        <v>577</v>
      </c>
      <c r="B578" s="11" t="s">
        <v>593</v>
      </c>
      <c r="C578" s="7" t="s">
        <v>1039</v>
      </c>
      <c r="D578" s="7">
        <v>577</v>
      </c>
      <c r="E578" s="7">
        <v>577</v>
      </c>
      <c r="F578" s="7">
        <v>577</v>
      </c>
      <c r="G578" s="11" t="s">
        <v>1027</v>
      </c>
      <c r="H578" s="20">
        <v>35189</v>
      </c>
      <c r="I578" s="12">
        <v>44758</v>
      </c>
      <c r="J578" s="12">
        <v>45093</v>
      </c>
      <c r="K578" s="25">
        <v>33429</v>
      </c>
      <c r="L578" s="23">
        <v>1760</v>
      </c>
      <c r="M578" s="30" t="s">
        <v>1052</v>
      </c>
      <c r="N578" s="30" t="s">
        <v>1055</v>
      </c>
    </row>
    <row r="579" spans="1:14" customFormat="1" x14ac:dyDescent="0.25">
      <c r="A579" s="7">
        <v>578</v>
      </c>
      <c r="B579" s="11" t="s">
        <v>594</v>
      </c>
      <c r="C579" s="7" t="s">
        <v>1039</v>
      </c>
      <c r="D579" s="7">
        <v>578</v>
      </c>
      <c r="E579" s="7">
        <v>578</v>
      </c>
      <c r="F579" s="7">
        <v>578</v>
      </c>
      <c r="G579" s="11" t="s">
        <v>1027</v>
      </c>
      <c r="H579" s="20">
        <v>20385</v>
      </c>
      <c r="I579" s="12">
        <v>44711</v>
      </c>
      <c r="J579" s="12">
        <v>45168</v>
      </c>
      <c r="K579" s="25">
        <v>8025</v>
      </c>
      <c r="L579" s="23">
        <v>12360</v>
      </c>
      <c r="M579" s="30" t="s">
        <v>1052</v>
      </c>
      <c r="N579" s="30" t="s">
        <v>1055</v>
      </c>
    </row>
    <row r="580" spans="1:14" customFormat="1" x14ac:dyDescent="0.25">
      <c r="A580" s="7">
        <v>579</v>
      </c>
      <c r="B580" s="11" t="s">
        <v>595</v>
      </c>
      <c r="C580" s="7" t="s">
        <v>1039</v>
      </c>
      <c r="D580" s="7">
        <v>579</v>
      </c>
      <c r="E580" s="9">
        <v>579</v>
      </c>
      <c r="F580" s="7">
        <v>579</v>
      </c>
      <c r="G580" s="11" t="s">
        <v>1025</v>
      </c>
      <c r="H580" s="20">
        <v>446572</v>
      </c>
      <c r="I580" s="12">
        <v>44910</v>
      </c>
      <c r="J580" s="12">
        <v>45580</v>
      </c>
      <c r="K580" s="25">
        <v>73301</v>
      </c>
      <c r="L580" s="23">
        <v>373271</v>
      </c>
      <c r="M580" s="30" t="s">
        <v>1052</v>
      </c>
      <c r="N580" s="30" t="s">
        <v>1055</v>
      </c>
    </row>
    <row r="581" spans="1:14" customFormat="1" x14ac:dyDescent="0.25">
      <c r="A581" s="7">
        <v>580</v>
      </c>
      <c r="B581" s="11" t="s">
        <v>596</v>
      </c>
      <c r="C581" s="7" t="s">
        <v>1039</v>
      </c>
      <c r="D581" s="7">
        <v>580</v>
      </c>
      <c r="E581" s="7">
        <v>580</v>
      </c>
      <c r="F581" s="7">
        <v>580</v>
      </c>
      <c r="G581" s="11" t="s">
        <v>1025</v>
      </c>
      <c r="H581" s="20">
        <v>281875</v>
      </c>
      <c r="I581" s="12">
        <v>44277</v>
      </c>
      <c r="J581" s="12">
        <v>44703</v>
      </c>
      <c r="K581" s="25">
        <v>58617</v>
      </c>
      <c r="L581" s="23">
        <v>223258</v>
      </c>
      <c r="M581" s="30" t="s">
        <v>1052</v>
      </c>
      <c r="N581" s="30" t="s">
        <v>1055</v>
      </c>
    </row>
    <row r="582" spans="1:14" customFormat="1" x14ac:dyDescent="0.25">
      <c r="A582" s="7">
        <v>581</v>
      </c>
      <c r="B582" s="11" t="s">
        <v>597</v>
      </c>
      <c r="C582" s="7" t="s">
        <v>1039</v>
      </c>
      <c r="D582" s="7">
        <v>581</v>
      </c>
      <c r="E582" s="7">
        <v>581</v>
      </c>
      <c r="F582" s="7">
        <v>581</v>
      </c>
      <c r="G582" s="11" t="s">
        <v>1021</v>
      </c>
      <c r="H582" s="20">
        <v>28649</v>
      </c>
      <c r="I582" s="12">
        <v>45195</v>
      </c>
      <c r="J582" s="12">
        <v>45803</v>
      </c>
      <c r="K582" s="25">
        <v>26102</v>
      </c>
      <c r="L582" s="23">
        <v>2547</v>
      </c>
      <c r="M582" s="30" t="s">
        <v>1052</v>
      </c>
      <c r="N582" s="30" t="s">
        <v>1055</v>
      </c>
    </row>
    <row r="583" spans="1:14" customFormat="1" x14ac:dyDescent="0.25">
      <c r="A583" s="7">
        <v>582</v>
      </c>
      <c r="B583" s="11" t="s">
        <v>598</v>
      </c>
      <c r="C583" s="7" t="s">
        <v>1039</v>
      </c>
      <c r="D583" s="7">
        <v>582</v>
      </c>
      <c r="E583" s="9">
        <v>582</v>
      </c>
      <c r="F583" s="7">
        <v>582</v>
      </c>
      <c r="G583" s="11" t="s">
        <v>1026</v>
      </c>
      <c r="H583" s="20">
        <v>3805086</v>
      </c>
      <c r="I583" s="12">
        <v>44656</v>
      </c>
      <c r="J583" s="12">
        <v>45387</v>
      </c>
      <c r="K583" s="25">
        <v>3576726</v>
      </c>
      <c r="L583" s="23">
        <v>228360</v>
      </c>
      <c r="M583" s="30" t="s">
        <v>1052</v>
      </c>
      <c r="N583" s="30" t="s">
        <v>1055</v>
      </c>
    </row>
    <row r="584" spans="1:14" customFormat="1" x14ac:dyDescent="0.25">
      <c r="A584" s="7">
        <v>583</v>
      </c>
      <c r="B584" s="11" t="s">
        <v>599</v>
      </c>
      <c r="C584" s="7" t="s">
        <v>1039</v>
      </c>
      <c r="D584" s="7">
        <v>583</v>
      </c>
      <c r="E584" s="7">
        <v>583</v>
      </c>
      <c r="F584" s="7">
        <v>583</v>
      </c>
      <c r="G584" s="11" t="s">
        <v>1026</v>
      </c>
      <c r="H584" s="20">
        <v>1375200</v>
      </c>
      <c r="I584" s="12">
        <v>44121</v>
      </c>
      <c r="J584" s="12">
        <v>44698</v>
      </c>
      <c r="K584" s="25">
        <v>280252</v>
      </c>
      <c r="L584" s="23">
        <v>1094948</v>
      </c>
      <c r="M584" s="30" t="s">
        <v>1052</v>
      </c>
      <c r="N584" s="30" t="s">
        <v>1055</v>
      </c>
    </row>
    <row r="585" spans="1:14" customFormat="1" x14ac:dyDescent="0.25">
      <c r="A585" s="7">
        <v>584</v>
      </c>
      <c r="B585" s="11" t="s">
        <v>600</v>
      </c>
      <c r="C585" s="7" t="s">
        <v>1039</v>
      </c>
      <c r="D585" s="7">
        <v>584</v>
      </c>
      <c r="E585" s="7">
        <v>584</v>
      </c>
      <c r="F585" s="7">
        <v>584</v>
      </c>
      <c r="G585" s="11" t="s">
        <v>1021</v>
      </c>
      <c r="H585" s="20">
        <v>67829</v>
      </c>
      <c r="I585" s="12">
        <v>43973</v>
      </c>
      <c r="J585" s="12">
        <v>44399</v>
      </c>
      <c r="K585" s="25">
        <v>38026</v>
      </c>
      <c r="L585" s="23">
        <v>29803</v>
      </c>
      <c r="M585" s="30" t="s">
        <v>1052</v>
      </c>
      <c r="N585" s="30" t="s">
        <v>1055</v>
      </c>
    </row>
    <row r="586" spans="1:14" customFormat="1" x14ac:dyDescent="0.25">
      <c r="A586" s="7">
        <v>585</v>
      </c>
      <c r="B586" s="11" t="s">
        <v>601</v>
      </c>
      <c r="C586" s="7" t="s">
        <v>1039</v>
      </c>
      <c r="D586" s="7">
        <v>585</v>
      </c>
      <c r="E586" s="9">
        <v>585</v>
      </c>
      <c r="F586" s="7">
        <v>585</v>
      </c>
      <c r="G586" s="11" t="s">
        <v>1027</v>
      </c>
      <c r="H586" s="20">
        <v>37169</v>
      </c>
      <c r="I586" s="12">
        <v>44925</v>
      </c>
      <c r="J586" s="12">
        <v>45260</v>
      </c>
      <c r="K586" s="25">
        <v>5536</v>
      </c>
      <c r="L586" s="23">
        <v>31633</v>
      </c>
      <c r="M586" s="30" t="s">
        <v>1052</v>
      </c>
      <c r="N586" s="30" t="s">
        <v>1055</v>
      </c>
    </row>
    <row r="587" spans="1:14" customFormat="1" x14ac:dyDescent="0.25">
      <c r="A587" s="7">
        <v>586</v>
      </c>
      <c r="B587" s="11" t="s">
        <v>602</v>
      </c>
      <c r="C587" s="7" t="s">
        <v>1039</v>
      </c>
      <c r="D587" s="7">
        <v>586</v>
      </c>
      <c r="E587" s="7">
        <v>586</v>
      </c>
      <c r="F587" s="7">
        <v>586</v>
      </c>
      <c r="G587" s="11" t="s">
        <v>1026</v>
      </c>
      <c r="H587" s="20">
        <v>3307896</v>
      </c>
      <c r="I587" s="12">
        <v>45484</v>
      </c>
      <c r="J587" s="12">
        <v>45819</v>
      </c>
      <c r="K587" s="25">
        <v>1026806</v>
      </c>
      <c r="L587" s="23">
        <v>2281090</v>
      </c>
      <c r="M587" s="30" t="s">
        <v>1052</v>
      </c>
      <c r="N587" s="30" t="s">
        <v>1055</v>
      </c>
    </row>
    <row r="588" spans="1:14" customFormat="1" x14ac:dyDescent="0.25">
      <c r="A588" s="7">
        <v>587</v>
      </c>
      <c r="B588" s="11" t="s">
        <v>603</v>
      </c>
      <c r="C588" s="7" t="s">
        <v>1039</v>
      </c>
      <c r="D588" s="7">
        <v>587</v>
      </c>
      <c r="E588" s="7">
        <v>587</v>
      </c>
      <c r="F588" s="7">
        <v>587</v>
      </c>
      <c r="G588" s="11" t="s">
        <v>1024</v>
      </c>
      <c r="H588" s="20">
        <v>826834</v>
      </c>
      <c r="I588" s="12">
        <v>45113</v>
      </c>
      <c r="J588" s="12">
        <v>45357</v>
      </c>
      <c r="K588" s="25">
        <v>129456</v>
      </c>
      <c r="L588" s="23">
        <v>697378</v>
      </c>
      <c r="M588" s="30" t="s">
        <v>1052</v>
      </c>
      <c r="N588" s="30" t="s">
        <v>1055</v>
      </c>
    </row>
    <row r="589" spans="1:14" customFormat="1" x14ac:dyDescent="0.25">
      <c r="A589" s="7">
        <v>588</v>
      </c>
      <c r="B589" s="11" t="s">
        <v>604</v>
      </c>
      <c r="C589" s="7" t="s">
        <v>1039</v>
      </c>
      <c r="D589" s="7">
        <v>588</v>
      </c>
      <c r="E589" s="9">
        <v>588</v>
      </c>
      <c r="F589" s="7">
        <v>588</v>
      </c>
      <c r="G589" s="11" t="s">
        <v>1023</v>
      </c>
      <c r="H589" s="20">
        <v>170</v>
      </c>
      <c r="I589" s="12">
        <v>43923</v>
      </c>
      <c r="J589" s="12">
        <v>44594</v>
      </c>
      <c r="K589" s="25">
        <v>29</v>
      </c>
      <c r="L589" s="23">
        <v>141</v>
      </c>
      <c r="M589" s="30" t="s">
        <v>1052</v>
      </c>
      <c r="N589" s="30" t="s">
        <v>1055</v>
      </c>
    </row>
    <row r="590" spans="1:14" customFormat="1" x14ac:dyDescent="0.25">
      <c r="A590" s="7">
        <v>589</v>
      </c>
      <c r="B590" s="11" t="s">
        <v>605</v>
      </c>
      <c r="C590" s="7" t="s">
        <v>1039</v>
      </c>
      <c r="D590" s="7">
        <v>589</v>
      </c>
      <c r="E590" s="7">
        <v>589</v>
      </c>
      <c r="F590" s="7">
        <v>589</v>
      </c>
      <c r="G590" s="11" t="s">
        <v>1024</v>
      </c>
      <c r="H590" s="20">
        <v>599551</v>
      </c>
      <c r="I590" s="12">
        <v>45313</v>
      </c>
      <c r="J590" s="12">
        <v>45373</v>
      </c>
      <c r="K590" s="25">
        <v>122312</v>
      </c>
      <c r="L590" s="23">
        <v>477239</v>
      </c>
      <c r="M590" s="30" t="s">
        <v>1052</v>
      </c>
      <c r="N590" s="30" t="s">
        <v>1055</v>
      </c>
    </row>
    <row r="591" spans="1:14" customFormat="1" x14ac:dyDescent="0.25">
      <c r="A591" s="7">
        <v>590</v>
      </c>
      <c r="B591" s="11" t="s">
        <v>606</v>
      </c>
      <c r="C591" s="7" t="s">
        <v>1039</v>
      </c>
      <c r="D591" s="7">
        <v>590</v>
      </c>
      <c r="E591" s="7">
        <v>590</v>
      </c>
      <c r="F591" s="7">
        <v>590</v>
      </c>
      <c r="G591" s="11" t="s">
        <v>1025</v>
      </c>
      <c r="H591" s="20">
        <v>359023</v>
      </c>
      <c r="I591" s="12">
        <v>43839</v>
      </c>
      <c r="J591" s="12">
        <v>44083</v>
      </c>
      <c r="K591" s="25">
        <v>158577</v>
      </c>
      <c r="L591" s="23">
        <v>200446</v>
      </c>
      <c r="M591" s="30" t="s">
        <v>1052</v>
      </c>
      <c r="N591" s="30" t="s">
        <v>1055</v>
      </c>
    </row>
    <row r="592" spans="1:14" customFormat="1" x14ac:dyDescent="0.25">
      <c r="A592" s="7">
        <v>591</v>
      </c>
      <c r="B592" s="11" t="s">
        <v>607</v>
      </c>
      <c r="C592" s="7" t="s">
        <v>1039</v>
      </c>
      <c r="D592" s="7">
        <v>591</v>
      </c>
      <c r="E592" s="9">
        <v>591</v>
      </c>
      <c r="F592" s="7">
        <v>591</v>
      </c>
      <c r="G592" s="11" t="s">
        <v>1024</v>
      </c>
      <c r="H592" s="20">
        <v>293660</v>
      </c>
      <c r="I592" s="12">
        <v>44334</v>
      </c>
      <c r="J592" s="12">
        <v>45064</v>
      </c>
      <c r="K592" s="25">
        <v>3564</v>
      </c>
      <c r="L592" s="23">
        <v>290096</v>
      </c>
      <c r="M592" s="30" t="s">
        <v>1052</v>
      </c>
      <c r="N592" s="30" t="s">
        <v>1055</v>
      </c>
    </row>
    <row r="593" spans="1:14" customFormat="1" x14ac:dyDescent="0.25">
      <c r="A593" s="7">
        <v>592</v>
      </c>
      <c r="B593" s="11" t="s">
        <v>608</v>
      </c>
      <c r="C593" s="7" t="s">
        <v>1039</v>
      </c>
      <c r="D593" s="7">
        <v>592</v>
      </c>
      <c r="E593" s="7">
        <v>592</v>
      </c>
      <c r="F593" s="7">
        <v>592</v>
      </c>
      <c r="G593" s="11" t="s">
        <v>1026</v>
      </c>
      <c r="H593" s="20">
        <v>4607956</v>
      </c>
      <c r="I593" s="12">
        <v>44387</v>
      </c>
      <c r="J593" s="12">
        <v>45117</v>
      </c>
      <c r="K593" s="25">
        <v>2681363</v>
      </c>
      <c r="L593" s="23">
        <v>1926593</v>
      </c>
      <c r="M593" s="30" t="s">
        <v>1052</v>
      </c>
      <c r="N593" s="30" t="s">
        <v>1055</v>
      </c>
    </row>
    <row r="594" spans="1:14" customFormat="1" x14ac:dyDescent="0.25">
      <c r="A594" s="7">
        <v>593</v>
      </c>
      <c r="B594" s="11" t="s">
        <v>609</v>
      </c>
      <c r="C594" s="7" t="s">
        <v>1039</v>
      </c>
      <c r="D594" s="7">
        <v>593</v>
      </c>
      <c r="E594" s="7">
        <v>593</v>
      </c>
      <c r="F594" s="7">
        <v>593</v>
      </c>
      <c r="G594" s="11" t="s">
        <v>1025</v>
      </c>
      <c r="H594" s="20">
        <v>393912</v>
      </c>
      <c r="I594" s="12">
        <v>44389</v>
      </c>
      <c r="J594" s="12">
        <v>44573</v>
      </c>
      <c r="K594" s="25">
        <v>221946</v>
      </c>
      <c r="L594" s="23">
        <v>171966</v>
      </c>
      <c r="M594" s="30" t="s">
        <v>1052</v>
      </c>
      <c r="N594" s="30" t="s">
        <v>1055</v>
      </c>
    </row>
    <row r="595" spans="1:14" customFormat="1" x14ac:dyDescent="0.25">
      <c r="A595" s="7">
        <v>594</v>
      </c>
      <c r="B595" s="11" t="s">
        <v>610</v>
      </c>
      <c r="C595" s="7" t="s">
        <v>1039</v>
      </c>
      <c r="D595" s="7">
        <v>594</v>
      </c>
      <c r="E595" s="9">
        <v>594</v>
      </c>
      <c r="F595" s="7">
        <v>594</v>
      </c>
      <c r="G595" s="11" t="s">
        <v>1025</v>
      </c>
      <c r="H595" s="20">
        <v>221281</v>
      </c>
      <c r="I595" s="12">
        <v>44917</v>
      </c>
      <c r="J595" s="12">
        <v>45344</v>
      </c>
      <c r="K595" s="25">
        <v>56378</v>
      </c>
      <c r="L595" s="23">
        <v>164903</v>
      </c>
      <c r="M595" s="30" t="s">
        <v>1052</v>
      </c>
      <c r="N595" s="30" t="s">
        <v>1055</v>
      </c>
    </row>
    <row r="596" spans="1:14" customFormat="1" x14ac:dyDescent="0.25">
      <c r="A596" s="7">
        <v>595</v>
      </c>
      <c r="B596" s="11" t="s">
        <v>611</v>
      </c>
      <c r="C596" s="7" t="s">
        <v>1039</v>
      </c>
      <c r="D596" s="7">
        <v>595</v>
      </c>
      <c r="E596" s="7">
        <v>595</v>
      </c>
      <c r="F596" s="7">
        <v>595</v>
      </c>
      <c r="G596" s="11" t="s">
        <v>1021</v>
      </c>
      <c r="H596" s="20">
        <v>97740</v>
      </c>
      <c r="I596" s="12">
        <v>44117</v>
      </c>
      <c r="J596" s="12">
        <v>44847</v>
      </c>
      <c r="K596" s="25">
        <v>24023</v>
      </c>
      <c r="L596" s="23">
        <v>73717</v>
      </c>
      <c r="M596" s="30" t="s">
        <v>1052</v>
      </c>
      <c r="N596" s="30" t="s">
        <v>1055</v>
      </c>
    </row>
    <row r="597" spans="1:14" customFormat="1" x14ac:dyDescent="0.25">
      <c r="A597" s="7">
        <v>596</v>
      </c>
      <c r="B597" s="11" t="s">
        <v>612</v>
      </c>
      <c r="C597" s="7" t="s">
        <v>1039</v>
      </c>
      <c r="D597" s="7">
        <v>596</v>
      </c>
      <c r="E597" s="7">
        <v>596</v>
      </c>
      <c r="F597" s="7">
        <v>596</v>
      </c>
      <c r="G597" s="11" t="s">
        <v>1016</v>
      </c>
      <c r="H597" s="20">
        <v>37264</v>
      </c>
      <c r="I597" s="12">
        <v>44878</v>
      </c>
      <c r="J597" s="12">
        <v>45090</v>
      </c>
      <c r="K597" s="25">
        <v>2977</v>
      </c>
      <c r="L597" s="23">
        <v>34287</v>
      </c>
      <c r="M597" s="30" t="s">
        <v>1052</v>
      </c>
      <c r="N597" s="30" t="s">
        <v>1055</v>
      </c>
    </row>
    <row r="598" spans="1:14" customFormat="1" x14ac:dyDescent="0.25">
      <c r="A598" s="7">
        <v>597</v>
      </c>
      <c r="B598" s="11" t="s">
        <v>613</v>
      </c>
      <c r="C598" s="7" t="s">
        <v>1039</v>
      </c>
      <c r="D598" s="7">
        <v>597</v>
      </c>
      <c r="E598" s="9">
        <v>597</v>
      </c>
      <c r="F598" s="7">
        <v>597</v>
      </c>
      <c r="G598" s="11" t="s">
        <v>1027</v>
      </c>
      <c r="H598" s="20">
        <v>45627</v>
      </c>
      <c r="I598" s="12">
        <v>44031</v>
      </c>
      <c r="J598" s="12">
        <v>44246</v>
      </c>
      <c r="K598" s="25">
        <v>42454</v>
      </c>
      <c r="L598" s="23">
        <v>3173</v>
      </c>
      <c r="M598" s="30" t="s">
        <v>1052</v>
      </c>
      <c r="N598" s="30" t="s">
        <v>1055</v>
      </c>
    </row>
    <row r="599" spans="1:14" customFormat="1" x14ac:dyDescent="0.25">
      <c r="A599" s="7">
        <v>598</v>
      </c>
      <c r="B599" s="11" t="s">
        <v>614</v>
      </c>
      <c r="C599" s="7" t="s">
        <v>1039</v>
      </c>
      <c r="D599" s="7">
        <v>598</v>
      </c>
      <c r="E599" s="7">
        <v>598</v>
      </c>
      <c r="F599" s="7">
        <v>598</v>
      </c>
      <c r="G599" s="11" t="s">
        <v>1021</v>
      </c>
      <c r="H599" s="20">
        <v>70139</v>
      </c>
      <c r="I599" s="12">
        <v>43975</v>
      </c>
      <c r="J599" s="12">
        <v>44644</v>
      </c>
      <c r="K599" s="25">
        <v>37498</v>
      </c>
      <c r="L599" s="23">
        <v>32641</v>
      </c>
      <c r="M599" s="30" t="s">
        <v>1052</v>
      </c>
      <c r="N599" s="30" t="s">
        <v>1055</v>
      </c>
    </row>
    <row r="600" spans="1:14" customFormat="1" x14ac:dyDescent="0.25">
      <c r="A600" s="7">
        <v>599</v>
      </c>
      <c r="B600" s="11" t="s">
        <v>615</v>
      </c>
      <c r="C600" s="7" t="s">
        <v>1039</v>
      </c>
      <c r="D600" s="7">
        <v>599</v>
      </c>
      <c r="E600" s="7">
        <v>599</v>
      </c>
      <c r="F600" s="7">
        <v>599</v>
      </c>
      <c r="G600" s="11" t="s">
        <v>1021</v>
      </c>
      <c r="H600" s="20">
        <v>20127</v>
      </c>
      <c r="I600" s="12">
        <v>45018</v>
      </c>
      <c r="J600" s="12">
        <v>45628</v>
      </c>
      <c r="K600" s="25">
        <v>3169</v>
      </c>
      <c r="L600" s="23">
        <v>16958</v>
      </c>
      <c r="M600" s="30" t="s">
        <v>1052</v>
      </c>
      <c r="N600" s="30" t="s">
        <v>1055</v>
      </c>
    </row>
    <row r="601" spans="1:14" customFormat="1" x14ac:dyDescent="0.25">
      <c r="A601" s="7">
        <v>600</v>
      </c>
      <c r="B601" s="11" t="s">
        <v>616</v>
      </c>
      <c r="C601" s="7" t="s">
        <v>1039</v>
      </c>
      <c r="D601" s="7">
        <v>600</v>
      </c>
      <c r="E601" s="9">
        <v>600</v>
      </c>
      <c r="F601" s="7">
        <v>600</v>
      </c>
      <c r="G601" s="11" t="s">
        <v>1026</v>
      </c>
      <c r="H601" s="20">
        <v>1970019</v>
      </c>
      <c r="I601" s="12">
        <v>43949</v>
      </c>
      <c r="J601" s="12">
        <v>44679</v>
      </c>
      <c r="K601" s="25">
        <v>98312</v>
      </c>
      <c r="L601" s="23">
        <v>1871707</v>
      </c>
      <c r="M601" s="30" t="s">
        <v>1052</v>
      </c>
      <c r="N601" s="30" t="s">
        <v>1055</v>
      </c>
    </row>
    <row r="602" spans="1:14" customFormat="1" x14ac:dyDescent="0.25">
      <c r="A602" s="7">
        <v>601</v>
      </c>
      <c r="B602" s="11" t="s">
        <v>617</v>
      </c>
      <c r="C602" s="7" t="s">
        <v>1039</v>
      </c>
      <c r="D602" s="7">
        <v>601</v>
      </c>
      <c r="E602" s="7">
        <v>601</v>
      </c>
      <c r="F602" s="7">
        <v>601</v>
      </c>
      <c r="G602" s="11" t="s">
        <v>1024</v>
      </c>
      <c r="H602" s="20">
        <v>313403</v>
      </c>
      <c r="I602" s="12">
        <v>44585</v>
      </c>
      <c r="J602" s="12">
        <v>45040</v>
      </c>
      <c r="K602" s="25">
        <v>230653</v>
      </c>
      <c r="L602" s="23">
        <v>82750</v>
      </c>
      <c r="M602" s="30" t="s">
        <v>1052</v>
      </c>
      <c r="N602" s="30" t="s">
        <v>1055</v>
      </c>
    </row>
    <row r="603" spans="1:14" customFormat="1" x14ac:dyDescent="0.25">
      <c r="A603" s="7">
        <v>602</v>
      </c>
      <c r="B603" s="11" t="s">
        <v>618</v>
      </c>
      <c r="C603" s="7" t="s">
        <v>1039</v>
      </c>
      <c r="D603" s="7">
        <v>602</v>
      </c>
      <c r="E603" s="7">
        <v>602</v>
      </c>
      <c r="F603" s="7">
        <v>602</v>
      </c>
      <c r="G603" s="11" t="s">
        <v>1022</v>
      </c>
      <c r="H603" s="20">
        <v>28833</v>
      </c>
      <c r="I603" s="12">
        <v>44778</v>
      </c>
      <c r="J603" s="12">
        <v>45478</v>
      </c>
      <c r="K603" s="25">
        <v>12833</v>
      </c>
      <c r="L603" s="23">
        <v>16000</v>
      </c>
      <c r="M603" s="30" t="s">
        <v>1052</v>
      </c>
      <c r="N603" s="30" t="s">
        <v>1055</v>
      </c>
    </row>
    <row r="604" spans="1:14" customFormat="1" x14ac:dyDescent="0.25">
      <c r="A604" s="7">
        <v>603</v>
      </c>
      <c r="B604" s="11" t="s">
        <v>619</v>
      </c>
      <c r="C604" s="7" t="s">
        <v>1039</v>
      </c>
      <c r="D604" s="7">
        <v>603</v>
      </c>
      <c r="E604" s="9">
        <v>603</v>
      </c>
      <c r="F604" s="7">
        <v>603</v>
      </c>
      <c r="G604" s="11" t="s">
        <v>1020</v>
      </c>
      <c r="H604" s="20">
        <v>437637</v>
      </c>
      <c r="I604" s="12">
        <v>45443</v>
      </c>
      <c r="J604" s="12">
        <v>46142</v>
      </c>
      <c r="K604" s="25">
        <v>174621</v>
      </c>
      <c r="L604" s="23">
        <v>263016</v>
      </c>
      <c r="M604" s="30" t="s">
        <v>1052</v>
      </c>
      <c r="N604" s="30" t="s">
        <v>1055</v>
      </c>
    </row>
    <row r="605" spans="1:14" customFormat="1" x14ac:dyDescent="0.25">
      <c r="A605" s="7">
        <v>604</v>
      </c>
      <c r="B605" s="11" t="s">
        <v>620</v>
      </c>
      <c r="C605" s="7" t="s">
        <v>1039</v>
      </c>
      <c r="D605" s="7">
        <v>604</v>
      </c>
      <c r="E605" s="7">
        <v>604</v>
      </c>
      <c r="F605" s="7">
        <v>604</v>
      </c>
      <c r="G605" s="11" t="s">
        <v>1027</v>
      </c>
      <c r="H605" s="20">
        <v>22312</v>
      </c>
      <c r="I605" s="12">
        <v>45651</v>
      </c>
      <c r="J605" s="12">
        <v>46228</v>
      </c>
      <c r="K605" s="25">
        <v>8103</v>
      </c>
      <c r="L605" s="23">
        <v>14209</v>
      </c>
      <c r="M605" s="30" t="s">
        <v>1052</v>
      </c>
      <c r="N605" s="30" t="s">
        <v>1055</v>
      </c>
    </row>
    <row r="606" spans="1:14" customFormat="1" x14ac:dyDescent="0.25">
      <c r="A606" s="7">
        <v>605</v>
      </c>
      <c r="B606" s="11" t="s">
        <v>621</v>
      </c>
      <c r="C606" s="7" t="s">
        <v>1039</v>
      </c>
      <c r="D606" s="7">
        <v>605</v>
      </c>
      <c r="E606" s="7">
        <v>605</v>
      </c>
      <c r="F606" s="7">
        <v>605</v>
      </c>
      <c r="G606" s="11" t="s">
        <v>1025</v>
      </c>
      <c r="H606" s="20">
        <v>202533</v>
      </c>
      <c r="I606" s="12">
        <v>44353</v>
      </c>
      <c r="J606" s="12">
        <v>44718</v>
      </c>
      <c r="K606" s="25">
        <v>5768</v>
      </c>
      <c r="L606" s="23">
        <v>196765</v>
      </c>
      <c r="M606" s="30" t="s">
        <v>1052</v>
      </c>
      <c r="N606" s="30" t="s">
        <v>1055</v>
      </c>
    </row>
    <row r="607" spans="1:14" customFormat="1" x14ac:dyDescent="0.25">
      <c r="A607" s="7">
        <v>606</v>
      </c>
      <c r="B607" s="11" t="s">
        <v>622</v>
      </c>
      <c r="C607" s="7" t="s">
        <v>1039</v>
      </c>
      <c r="D607" s="7">
        <v>606</v>
      </c>
      <c r="E607" s="9">
        <v>606</v>
      </c>
      <c r="F607" s="7">
        <v>606</v>
      </c>
      <c r="G607" s="11" t="s">
        <v>1022</v>
      </c>
      <c r="H607" s="20">
        <v>36377</v>
      </c>
      <c r="I607" s="12">
        <v>44024</v>
      </c>
      <c r="J607" s="12">
        <v>44604</v>
      </c>
      <c r="K607" s="25">
        <v>3382</v>
      </c>
      <c r="L607" s="23">
        <v>32995</v>
      </c>
      <c r="M607" s="30" t="s">
        <v>1052</v>
      </c>
      <c r="N607" s="30" t="s">
        <v>1055</v>
      </c>
    </row>
    <row r="608" spans="1:14" customFormat="1" x14ac:dyDescent="0.25">
      <c r="A608" s="7">
        <v>607</v>
      </c>
      <c r="B608" s="11" t="s">
        <v>623</v>
      </c>
      <c r="C608" s="7" t="s">
        <v>1039</v>
      </c>
      <c r="D608" s="7">
        <v>607</v>
      </c>
      <c r="E608" s="7">
        <v>607</v>
      </c>
      <c r="F608" s="7">
        <v>607</v>
      </c>
      <c r="G608" s="11" t="s">
        <v>1027</v>
      </c>
      <c r="H608" s="20">
        <v>32905</v>
      </c>
      <c r="I608" s="12">
        <v>44942</v>
      </c>
      <c r="J608" s="12">
        <v>45428</v>
      </c>
      <c r="K608" s="25">
        <v>7455</v>
      </c>
      <c r="L608" s="23">
        <v>25450</v>
      </c>
      <c r="M608" s="30" t="s">
        <v>1052</v>
      </c>
      <c r="N608" s="30" t="s">
        <v>1055</v>
      </c>
    </row>
    <row r="609" spans="1:14" customFormat="1" x14ac:dyDescent="0.25">
      <c r="A609" s="7">
        <v>608</v>
      </c>
      <c r="B609" s="11" t="s">
        <v>624</v>
      </c>
      <c r="C609" s="7" t="s">
        <v>1039</v>
      </c>
      <c r="D609" s="7">
        <v>608</v>
      </c>
      <c r="E609" s="7">
        <v>608</v>
      </c>
      <c r="F609" s="7">
        <v>608</v>
      </c>
      <c r="G609" s="11" t="s">
        <v>1016</v>
      </c>
      <c r="H609" s="20">
        <v>22238</v>
      </c>
      <c r="I609" s="12">
        <v>45587</v>
      </c>
      <c r="J609" s="12">
        <v>46317</v>
      </c>
      <c r="K609" s="25">
        <v>19875</v>
      </c>
      <c r="L609" s="23">
        <v>2363</v>
      </c>
      <c r="M609" s="30" t="s">
        <v>1052</v>
      </c>
      <c r="N609" s="30" t="s">
        <v>1055</v>
      </c>
    </row>
    <row r="610" spans="1:14" customFormat="1" x14ac:dyDescent="0.25">
      <c r="A610" s="7">
        <v>609</v>
      </c>
      <c r="B610" s="11" t="s">
        <v>625</v>
      </c>
      <c r="C610" s="7" t="s">
        <v>1039</v>
      </c>
      <c r="D610" s="7">
        <v>609</v>
      </c>
      <c r="E610" s="9">
        <v>609</v>
      </c>
      <c r="F610" s="7">
        <v>609</v>
      </c>
      <c r="G610" s="11" t="s">
        <v>1020</v>
      </c>
      <c r="H610" s="20">
        <v>213298</v>
      </c>
      <c r="I610" s="12">
        <v>44064</v>
      </c>
      <c r="J610" s="12">
        <v>44248</v>
      </c>
      <c r="K610" s="25">
        <v>182687</v>
      </c>
      <c r="L610" s="23">
        <v>30611</v>
      </c>
      <c r="M610" s="30" t="s">
        <v>1052</v>
      </c>
      <c r="N610" s="30" t="s">
        <v>1055</v>
      </c>
    </row>
    <row r="611" spans="1:14" customFormat="1" x14ac:dyDescent="0.25">
      <c r="A611" s="7">
        <v>610</v>
      </c>
      <c r="B611" s="11" t="s">
        <v>626</v>
      </c>
      <c r="C611" s="7" t="s">
        <v>1039</v>
      </c>
      <c r="D611" s="7">
        <v>610</v>
      </c>
      <c r="E611" s="7">
        <v>610</v>
      </c>
      <c r="F611" s="7">
        <v>610</v>
      </c>
      <c r="G611" s="11" t="s">
        <v>1021</v>
      </c>
      <c r="H611" s="20">
        <v>75918</v>
      </c>
      <c r="I611" s="12">
        <v>44441</v>
      </c>
      <c r="J611" s="12">
        <v>44867</v>
      </c>
      <c r="K611" s="25">
        <v>3269</v>
      </c>
      <c r="L611" s="23">
        <v>72649</v>
      </c>
      <c r="M611" s="30" t="s">
        <v>1052</v>
      </c>
      <c r="N611" s="30" t="s">
        <v>1055</v>
      </c>
    </row>
    <row r="612" spans="1:14" customFormat="1" x14ac:dyDescent="0.25">
      <c r="A612" s="7">
        <v>611</v>
      </c>
      <c r="B612" s="11" t="s">
        <v>627</v>
      </c>
      <c r="C612" s="7" t="s">
        <v>1039</v>
      </c>
      <c r="D612" s="7">
        <v>611</v>
      </c>
      <c r="E612" s="7">
        <v>611</v>
      </c>
      <c r="F612" s="7">
        <v>611</v>
      </c>
      <c r="G612" s="11" t="s">
        <v>1027</v>
      </c>
      <c r="H612" s="20">
        <v>53886</v>
      </c>
      <c r="I612" s="12">
        <v>44264</v>
      </c>
      <c r="J612" s="12">
        <v>44813</v>
      </c>
      <c r="K612" s="25">
        <v>27746</v>
      </c>
      <c r="L612" s="23">
        <v>26140</v>
      </c>
      <c r="M612" s="30" t="s">
        <v>1052</v>
      </c>
      <c r="N612" s="30" t="s">
        <v>1055</v>
      </c>
    </row>
    <row r="613" spans="1:14" customFormat="1" x14ac:dyDescent="0.25">
      <c r="A613" s="7">
        <v>612</v>
      </c>
      <c r="B613" s="11" t="s">
        <v>628</v>
      </c>
      <c r="C613" s="7" t="s">
        <v>1039</v>
      </c>
      <c r="D613" s="7">
        <v>612</v>
      </c>
      <c r="E613" s="9">
        <v>612</v>
      </c>
      <c r="F613" s="7">
        <v>612</v>
      </c>
      <c r="G613" s="11" t="s">
        <v>1025</v>
      </c>
      <c r="H613" s="20">
        <v>483567</v>
      </c>
      <c r="I613" s="12">
        <v>44632</v>
      </c>
      <c r="J613" s="12">
        <v>45272</v>
      </c>
      <c r="K613" s="25">
        <v>158401</v>
      </c>
      <c r="L613" s="23">
        <v>325166</v>
      </c>
      <c r="M613" s="30" t="s">
        <v>1052</v>
      </c>
      <c r="N613" s="30" t="s">
        <v>1055</v>
      </c>
    </row>
    <row r="614" spans="1:14" customFormat="1" x14ac:dyDescent="0.25">
      <c r="A614" s="7">
        <v>613</v>
      </c>
      <c r="B614" s="11" t="s">
        <v>629</v>
      </c>
      <c r="C614" s="7" t="s">
        <v>1039</v>
      </c>
      <c r="D614" s="7">
        <v>613</v>
      </c>
      <c r="E614" s="7">
        <v>613</v>
      </c>
      <c r="F614" s="7">
        <v>613</v>
      </c>
      <c r="G614" s="11" t="s">
        <v>1020</v>
      </c>
      <c r="H614" s="20">
        <v>198027</v>
      </c>
      <c r="I614" s="12">
        <v>45004</v>
      </c>
      <c r="J614" s="12">
        <v>45249</v>
      </c>
      <c r="K614" s="25">
        <v>190694</v>
      </c>
      <c r="L614" s="23">
        <v>7333</v>
      </c>
      <c r="M614" s="30" t="s">
        <v>1052</v>
      </c>
      <c r="N614" s="30" t="s">
        <v>1055</v>
      </c>
    </row>
    <row r="615" spans="1:14" customFormat="1" x14ac:dyDescent="0.25">
      <c r="A615" s="7">
        <v>614</v>
      </c>
      <c r="B615" s="11" t="s">
        <v>630</v>
      </c>
      <c r="C615" s="7" t="s">
        <v>1039</v>
      </c>
      <c r="D615" s="7">
        <v>614</v>
      </c>
      <c r="E615" s="7">
        <v>614</v>
      </c>
      <c r="F615" s="7">
        <v>614</v>
      </c>
      <c r="G615" s="11" t="s">
        <v>1023</v>
      </c>
      <c r="H615" s="20">
        <v>1247</v>
      </c>
      <c r="I615" s="12">
        <v>44695</v>
      </c>
      <c r="J615" s="12">
        <v>44787</v>
      </c>
      <c r="K615" s="25">
        <v>763</v>
      </c>
      <c r="L615" s="23">
        <v>484</v>
      </c>
      <c r="M615" s="30" t="s">
        <v>1052</v>
      </c>
      <c r="N615" s="30" t="s">
        <v>1055</v>
      </c>
    </row>
    <row r="616" spans="1:14" customFormat="1" x14ac:dyDescent="0.25">
      <c r="A616" s="7">
        <v>615</v>
      </c>
      <c r="B616" s="11" t="s">
        <v>631</v>
      </c>
      <c r="C616" s="7" t="s">
        <v>1039</v>
      </c>
      <c r="D616" s="7">
        <v>615</v>
      </c>
      <c r="E616" s="9">
        <v>615</v>
      </c>
      <c r="F616" s="7">
        <v>615</v>
      </c>
      <c r="G616" s="11" t="s">
        <v>1022</v>
      </c>
      <c r="H616" s="20">
        <v>21717</v>
      </c>
      <c r="I616" s="12">
        <v>45290</v>
      </c>
      <c r="J616" s="12">
        <v>45656</v>
      </c>
      <c r="K616" s="25">
        <v>13626</v>
      </c>
      <c r="L616" s="23">
        <v>8091</v>
      </c>
      <c r="M616" s="30" t="s">
        <v>1052</v>
      </c>
      <c r="N616" s="30" t="s">
        <v>1055</v>
      </c>
    </row>
    <row r="617" spans="1:14" customFormat="1" x14ac:dyDescent="0.25">
      <c r="A617" s="7">
        <v>616</v>
      </c>
      <c r="B617" s="11" t="s">
        <v>632</v>
      </c>
      <c r="C617" s="7" t="s">
        <v>1039</v>
      </c>
      <c r="D617" s="7">
        <v>616</v>
      </c>
      <c r="E617" s="7">
        <v>616</v>
      </c>
      <c r="F617" s="7">
        <v>616</v>
      </c>
      <c r="G617" s="11" t="s">
        <v>1025</v>
      </c>
      <c r="H617" s="20">
        <v>418669</v>
      </c>
      <c r="I617" s="12">
        <v>44426</v>
      </c>
      <c r="J617" s="12">
        <v>45003</v>
      </c>
      <c r="K617" s="25">
        <v>263301</v>
      </c>
      <c r="L617" s="23">
        <v>155368</v>
      </c>
      <c r="M617" s="30" t="s">
        <v>1052</v>
      </c>
      <c r="N617" s="30" t="s">
        <v>1055</v>
      </c>
    </row>
    <row r="618" spans="1:14" customFormat="1" x14ac:dyDescent="0.25">
      <c r="A618" s="7">
        <v>617</v>
      </c>
      <c r="B618" s="11" t="s">
        <v>633</v>
      </c>
      <c r="C618" s="7" t="s">
        <v>1039</v>
      </c>
      <c r="D618" s="7">
        <v>617</v>
      </c>
      <c r="E618" s="7">
        <v>617</v>
      </c>
      <c r="F618" s="7">
        <v>617</v>
      </c>
      <c r="G618" s="11" t="s">
        <v>1016</v>
      </c>
      <c r="H618" s="20">
        <v>44840</v>
      </c>
      <c r="I618" s="12">
        <v>43994</v>
      </c>
      <c r="J618" s="12">
        <v>44389</v>
      </c>
      <c r="K618" s="25">
        <v>29124</v>
      </c>
      <c r="L618" s="23">
        <v>15716</v>
      </c>
      <c r="M618" s="30" t="s">
        <v>1052</v>
      </c>
      <c r="N618" s="30" t="s">
        <v>1055</v>
      </c>
    </row>
    <row r="619" spans="1:14" customFormat="1" x14ac:dyDescent="0.25">
      <c r="A619" s="7">
        <v>618</v>
      </c>
      <c r="B619" s="11" t="s">
        <v>634</v>
      </c>
      <c r="C619" s="7" t="s">
        <v>1039</v>
      </c>
      <c r="D619" s="7">
        <v>618</v>
      </c>
      <c r="E619" s="9">
        <v>618</v>
      </c>
      <c r="F619" s="7">
        <v>618</v>
      </c>
      <c r="G619" s="11" t="s">
        <v>1021</v>
      </c>
      <c r="H619" s="20">
        <v>36875</v>
      </c>
      <c r="I619" s="12">
        <v>45494</v>
      </c>
      <c r="J619" s="12">
        <v>45678</v>
      </c>
      <c r="K619" s="25">
        <v>36264</v>
      </c>
      <c r="L619" s="23">
        <v>611</v>
      </c>
      <c r="M619" s="30" t="s">
        <v>1052</v>
      </c>
      <c r="N619" s="30" t="s">
        <v>1055</v>
      </c>
    </row>
    <row r="620" spans="1:14" customFormat="1" x14ac:dyDescent="0.25">
      <c r="A620" s="7">
        <v>619</v>
      </c>
      <c r="B620" s="11" t="s">
        <v>635</v>
      </c>
      <c r="C620" s="7" t="s">
        <v>1039</v>
      </c>
      <c r="D620" s="7">
        <v>619</v>
      </c>
      <c r="E620" s="7">
        <v>619</v>
      </c>
      <c r="F620" s="7">
        <v>619</v>
      </c>
      <c r="G620" s="11" t="s">
        <v>1022</v>
      </c>
      <c r="H620" s="20">
        <v>21023</v>
      </c>
      <c r="I620" s="12">
        <v>44178</v>
      </c>
      <c r="J620" s="12">
        <v>44847</v>
      </c>
      <c r="K620" s="25">
        <v>1958</v>
      </c>
      <c r="L620" s="23">
        <v>19065</v>
      </c>
      <c r="M620" s="30" t="s">
        <v>1052</v>
      </c>
      <c r="N620" s="30" t="s">
        <v>1055</v>
      </c>
    </row>
    <row r="621" spans="1:14" customFormat="1" x14ac:dyDescent="0.25">
      <c r="A621" s="7">
        <v>620</v>
      </c>
      <c r="B621" s="11" t="s">
        <v>636</v>
      </c>
      <c r="C621" s="7" t="s">
        <v>1039</v>
      </c>
      <c r="D621" s="7">
        <v>620</v>
      </c>
      <c r="E621" s="7">
        <v>620</v>
      </c>
      <c r="F621" s="7">
        <v>620</v>
      </c>
      <c r="G621" s="11" t="s">
        <v>1027</v>
      </c>
      <c r="H621" s="20">
        <v>52356</v>
      </c>
      <c r="I621" s="12">
        <v>44123</v>
      </c>
      <c r="J621" s="12">
        <v>44670</v>
      </c>
      <c r="K621" s="25">
        <v>9980</v>
      </c>
      <c r="L621" s="23">
        <v>42376</v>
      </c>
      <c r="M621" s="30" t="s">
        <v>1052</v>
      </c>
      <c r="N621" s="30" t="s">
        <v>1055</v>
      </c>
    </row>
    <row r="622" spans="1:14" customFormat="1" x14ac:dyDescent="0.25">
      <c r="A622" s="7">
        <v>621</v>
      </c>
      <c r="B622" s="11" t="s">
        <v>637</v>
      </c>
      <c r="C622" s="7" t="s">
        <v>1039</v>
      </c>
      <c r="D622" s="7">
        <v>621</v>
      </c>
      <c r="E622" s="9">
        <v>621</v>
      </c>
      <c r="F622" s="7">
        <v>621</v>
      </c>
      <c r="G622" s="11" t="s">
        <v>1021</v>
      </c>
      <c r="H622" s="20">
        <v>23169</v>
      </c>
      <c r="I622" s="12">
        <v>44860</v>
      </c>
      <c r="J622" s="12">
        <v>45438</v>
      </c>
      <c r="K622" s="25">
        <v>3260</v>
      </c>
      <c r="L622" s="23">
        <v>19909</v>
      </c>
      <c r="M622" s="30" t="s">
        <v>1052</v>
      </c>
      <c r="N622" s="30" t="s">
        <v>1055</v>
      </c>
    </row>
    <row r="623" spans="1:14" customFormat="1" x14ac:dyDescent="0.25">
      <c r="A623" s="7">
        <v>622</v>
      </c>
      <c r="B623" s="11" t="s">
        <v>638</v>
      </c>
      <c r="C623" s="7" t="s">
        <v>1039</v>
      </c>
      <c r="D623" s="7">
        <v>622</v>
      </c>
      <c r="E623" s="7">
        <v>622</v>
      </c>
      <c r="F623" s="7">
        <v>622</v>
      </c>
      <c r="G623" s="11" t="s">
        <v>1025</v>
      </c>
      <c r="H623" s="20">
        <v>452407</v>
      </c>
      <c r="I623" s="12">
        <v>44621</v>
      </c>
      <c r="J623" s="12">
        <v>45200</v>
      </c>
      <c r="K623" s="25">
        <v>210517</v>
      </c>
      <c r="L623" s="23">
        <v>241890</v>
      </c>
      <c r="M623" s="30" t="s">
        <v>1052</v>
      </c>
      <c r="N623" s="30" t="s">
        <v>1055</v>
      </c>
    </row>
    <row r="624" spans="1:14" customFormat="1" x14ac:dyDescent="0.25">
      <c r="A624" s="7">
        <v>623</v>
      </c>
      <c r="B624" s="11" t="s">
        <v>639</v>
      </c>
      <c r="C624" s="7" t="s">
        <v>1039</v>
      </c>
      <c r="D624" s="7">
        <v>623</v>
      </c>
      <c r="E624" s="7">
        <v>623</v>
      </c>
      <c r="F624" s="7">
        <v>623</v>
      </c>
      <c r="G624" s="11" t="s">
        <v>1026</v>
      </c>
      <c r="H624" s="20">
        <v>4835464</v>
      </c>
      <c r="I624" s="12">
        <v>44172</v>
      </c>
      <c r="J624" s="12">
        <v>44384</v>
      </c>
      <c r="K624" s="25">
        <v>4394958</v>
      </c>
      <c r="L624" s="23">
        <v>440506</v>
      </c>
      <c r="M624" s="30" t="s">
        <v>1052</v>
      </c>
      <c r="N624" s="30" t="s">
        <v>1055</v>
      </c>
    </row>
    <row r="625" spans="1:14" customFormat="1" x14ac:dyDescent="0.25">
      <c r="A625" s="7">
        <v>624</v>
      </c>
      <c r="B625" s="11" t="s">
        <v>640</v>
      </c>
      <c r="C625" s="7" t="s">
        <v>1039</v>
      </c>
      <c r="D625" s="7">
        <v>624</v>
      </c>
      <c r="E625" s="9">
        <v>624</v>
      </c>
      <c r="F625" s="7">
        <v>624</v>
      </c>
      <c r="G625" s="11" t="s">
        <v>1027</v>
      </c>
      <c r="H625" s="20">
        <v>41458</v>
      </c>
      <c r="I625" s="12">
        <v>44922</v>
      </c>
      <c r="J625" s="12">
        <v>45165</v>
      </c>
      <c r="K625" s="25">
        <v>14506</v>
      </c>
      <c r="L625" s="23">
        <v>26952</v>
      </c>
      <c r="M625" s="30" t="s">
        <v>1052</v>
      </c>
      <c r="N625" s="30" t="s">
        <v>1055</v>
      </c>
    </row>
    <row r="626" spans="1:14" customFormat="1" x14ac:dyDescent="0.25">
      <c r="A626" s="7">
        <v>625</v>
      </c>
      <c r="B626" s="11" t="s">
        <v>641</v>
      </c>
      <c r="C626" s="7" t="s">
        <v>1039</v>
      </c>
      <c r="D626" s="7">
        <v>625</v>
      </c>
      <c r="E626" s="7">
        <v>625</v>
      </c>
      <c r="F626" s="7">
        <v>625</v>
      </c>
      <c r="G626" s="11" t="s">
        <v>1016</v>
      </c>
      <c r="H626" s="20">
        <v>20736</v>
      </c>
      <c r="I626" s="12">
        <v>43948</v>
      </c>
      <c r="J626" s="12">
        <v>44527</v>
      </c>
      <c r="K626" s="25">
        <v>6746</v>
      </c>
      <c r="L626" s="23">
        <v>13990</v>
      </c>
      <c r="M626" s="30" t="s">
        <v>1052</v>
      </c>
      <c r="N626" s="30" t="s">
        <v>1055</v>
      </c>
    </row>
    <row r="627" spans="1:14" customFormat="1" x14ac:dyDescent="0.25">
      <c r="A627" s="7">
        <v>626</v>
      </c>
      <c r="B627" s="11" t="s">
        <v>642</v>
      </c>
      <c r="C627" s="7" t="s">
        <v>1039</v>
      </c>
      <c r="D627" s="7">
        <v>626</v>
      </c>
      <c r="E627" s="7">
        <v>626</v>
      </c>
      <c r="F627" s="7">
        <v>626</v>
      </c>
      <c r="G627" s="11" t="s">
        <v>1026</v>
      </c>
      <c r="H627" s="20">
        <v>425217</v>
      </c>
      <c r="I627" s="12">
        <v>44838</v>
      </c>
      <c r="J627" s="12">
        <v>45386</v>
      </c>
      <c r="K627" s="25">
        <v>192988</v>
      </c>
      <c r="L627" s="23">
        <v>232229</v>
      </c>
      <c r="M627" s="30" t="s">
        <v>1052</v>
      </c>
      <c r="N627" s="30" t="s">
        <v>1055</v>
      </c>
    </row>
    <row r="628" spans="1:14" customFormat="1" x14ac:dyDescent="0.25">
      <c r="A628" s="7">
        <v>627</v>
      </c>
      <c r="B628" s="11" t="s">
        <v>643</v>
      </c>
      <c r="C628" s="7" t="s">
        <v>1039</v>
      </c>
      <c r="D628" s="7">
        <v>627</v>
      </c>
      <c r="E628" s="9">
        <v>627</v>
      </c>
      <c r="F628" s="7">
        <v>627</v>
      </c>
      <c r="G628" s="11" t="s">
        <v>1026</v>
      </c>
      <c r="H628" s="20">
        <v>30678</v>
      </c>
      <c r="I628" s="12">
        <v>44663</v>
      </c>
      <c r="J628" s="12">
        <v>45058</v>
      </c>
      <c r="K628" s="25">
        <v>18694</v>
      </c>
      <c r="L628" s="23">
        <v>11984</v>
      </c>
      <c r="M628" s="30" t="s">
        <v>1052</v>
      </c>
      <c r="N628" s="30" t="s">
        <v>1055</v>
      </c>
    </row>
    <row r="629" spans="1:14" customFormat="1" x14ac:dyDescent="0.25">
      <c r="A629" s="7">
        <v>628</v>
      </c>
      <c r="B629" s="11" t="s">
        <v>644</v>
      </c>
      <c r="C629" s="7" t="s">
        <v>1039</v>
      </c>
      <c r="D629" s="7">
        <v>628</v>
      </c>
      <c r="E629" s="7">
        <v>628</v>
      </c>
      <c r="F629" s="7">
        <v>628</v>
      </c>
      <c r="G629" s="11" t="s">
        <v>1026</v>
      </c>
      <c r="H629" s="20">
        <v>2599752</v>
      </c>
      <c r="I629" s="12">
        <v>45653</v>
      </c>
      <c r="J629" s="12">
        <v>45774</v>
      </c>
      <c r="K629" s="25">
        <v>1835721</v>
      </c>
      <c r="L629" s="23">
        <v>764031</v>
      </c>
      <c r="M629" s="30" t="s">
        <v>1052</v>
      </c>
      <c r="N629" s="30" t="s">
        <v>1055</v>
      </c>
    </row>
    <row r="630" spans="1:14" customFormat="1" x14ac:dyDescent="0.25">
      <c r="A630" s="7">
        <v>629</v>
      </c>
      <c r="B630" s="11" t="s">
        <v>645</v>
      </c>
      <c r="C630" s="7" t="s">
        <v>1039</v>
      </c>
      <c r="D630" s="7">
        <v>629</v>
      </c>
      <c r="E630" s="7">
        <v>629</v>
      </c>
      <c r="F630" s="7">
        <v>629</v>
      </c>
      <c r="G630" s="11" t="s">
        <v>1026</v>
      </c>
      <c r="H630" s="20">
        <v>4464264</v>
      </c>
      <c r="I630" s="12">
        <v>45177</v>
      </c>
      <c r="J630" s="12">
        <v>45207</v>
      </c>
      <c r="K630" s="25">
        <v>617990</v>
      </c>
      <c r="L630" s="23">
        <v>3846274</v>
      </c>
      <c r="M630" s="30" t="s">
        <v>1052</v>
      </c>
      <c r="N630" s="30" t="s">
        <v>1055</v>
      </c>
    </row>
    <row r="631" spans="1:14" customFormat="1" x14ac:dyDescent="0.25">
      <c r="A631" s="7">
        <v>630</v>
      </c>
      <c r="B631" s="11" t="s">
        <v>646</v>
      </c>
      <c r="C631" s="7" t="s">
        <v>1039</v>
      </c>
      <c r="D631" s="7">
        <v>630</v>
      </c>
      <c r="E631" s="9">
        <v>630</v>
      </c>
      <c r="F631" s="7">
        <v>630</v>
      </c>
      <c r="G631" s="11" t="s">
        <v>1021</v>
      </c>
      <c r="H631" s="20">
        <v>86335</v>
      </c>
      <c r="I631" s="12">
        <v>44708</v>
      </c>
      <c r="J631" s="12">
        <v>45318</v>
      </c>
      <c r="K631" s="25">
        <v>78110</v>
      </c>
      <c r="L631" s="23">
        <v>8225</v>
      </c>
      <c r="M631" s="30" t="s">
        <v>1052</v>
      </c>
      <c r="N631" s="30" t="s">
        <v>1055</v>
      </c>
    </row>
    <row r="632" spans="1:14" customFormat="1" x14ac:dyDescent="0.25">
      <c r="A632" s="7">
        <v>631</v>
      </c>
      <c r="B632" s="11" t="s">
        <v>647</v>
      </c>
      <c r="C632" s="7" t="s">
        <v>1039</v>
      </c>
      <c r="D632" s="7">
        <v>631</v>
      </c>
      <c r="E632" s="7">
        <v>631</v>
      </c>
      <c r="F632" s="7">
        <v>631</v>
      </c>
      <c r="G632" s="11" t="s">
        <v>1016</v>
      </c>
      <c r="H632" s="20">
        <v>39799</v>
      </c>
      <c r="I632" s="12">
        <v>44158</v>
      </c>
      <c r="J632" s="12">
        <v>44674</v>
      </c>
      <c r="K632" s="25">
        <v>35938</v>
      </c>
      <c r="L632" s="23">
        <v>3861</v>
      </c>
      <c r="M632" s="30" t="s">
        <v>1052</v>
      </c>
      <c r="N632" s="30" t="s">
        <v>1055</v>
      </c>
    </row>
    <row r="633" spans="1:14" customFormat="1" x14ac:dyDescent="0.25">
      <c r="A633" s="7">
        <v>632</v>
      </c>
      <c r="B633" s="11" t="s">
        <v>648</v>
      </c>
      <c r="C633" s="7" t="s">
        <v>1039</v>
      </c>
      <c r="D633" s="7">
        <v>632</v>
      </c>
      <c r="E633" s="7">
        <v>632</v>
      </c>
      <c r="F633" s="7">
        <v>632</v>
      </c>
      <c r="G633" s="11" t="s">
        <v>1026</v>
      </c>
      <c r="H633" s="20">
        <v>142842</v>
      </c>
      <c r="I633" s="12">
        <v>45548</v>
      </c>
      <c r="J633" s="12">
        <v>45790</v>
      </c>
      <c r="K633" s="25">
        <v>26057</v>
      </c>
      <c r="L633" s="23">
        <v>116785</v>
      </c>
      <c r="M633" s="30" t="s">
        <v>1052</v>
      </c>
      <c r="N633" s="30" t="s">
        <v>1055</v>
      </c>
    </row>
    <row r="634" spans="1:14" customFormat="1" x14ac:dyDescent="0.25">
      <c r="A634" s="7">
        <v>633</v>
      </c>
      <c r="B634" s="11" t="s">
        <v>649</v>
      </c>
      <c r="C634" s="7" t="s">
        <v>1039</v>
      </c>
      <c r="D634" s="7">
        <v>633</v>
      </c>
      <c r="E634" s="9">
        <v>633</v>
      </c>
      <c r="F634" s="7">
        <v>633</v>
      </c>
      <c r="G634" s="11" t="s">
        <v>1020</v>
      </c>
      <c r="H634" s="20">
        <v>62277</v>
      </c>
      <c r="I634" s="12">
        <v>43832</v>
      </c>
      <c r="J634" s="12">
        <v>43892</v>
      </c>
      <c r="K634" s="25">
        <v>42901</v>
      </c>
      <c r="L634" s="23">
        <v>19376</v>
      </c>
      <c r="M634" s="30" t="s">
        <v>1052</v>
      </c>
      <c r="N634" s="30" t="s">
        <v>1055</v>
      </c>
    </row>
    <row r="635" spans="1:14" customFormat="1" x14ac:dyDescent="0.25">
      <c r="A635" s="7">
        <v>634</v>
      </c>
      <c r="B635" s="11" t="s">
        <v>650</v>
      </c>
      <c r="C635" s="7" t="s">
        <v>1039</v>
      </c>
      <c r="D635" s="7">
        <v>634</v>
      </c>
      <c r="E635" s="7">
        <v>634</v>
      </c>
      <c r="F635" s="7">
        <v>634</v>
      </c>
      <c r="G635" s="11" t="s">
        <v>1020</v>
      </c>
      <c r="H635" s="20">
        <v>51794</v>
      </c>
      <c r="I635" s="12">
        <v>44966</v>
      </c>
      <c r="J635" s="12">
        <v>45635</v>
      </c>
      <c r="K635" s="25">
        <v>9095</v>
      </c>
      <c r="L635" s="23">
        <v>42699</v>
      </c>
      <c r="M635" s="30" t="s">
        <v>1052</v>
      </c>
      <c r="N635" s="30" t="s">
        <v>1055</v>
      </c>
    </row>
    <row r="636" spans="1:14" customFormat="1" x14ac:dyDescent="0.25">
      <c r="A636" s="7">
        <v>635</v>
      </c>
      <c r="B636" s="11" t="s">
        <v>651</v>
      </c>
      <c r="C636" s="7" t="s">
        <v>1039</v>
      </c>
      <c r="D636" s="7">
        <v>635</v>
      </c>
      <c r="E636" s="7">
        <v>635</v>
      </c>
      <c r="F636" s="7">
        <v>635</v>
      </c>
      <c r="G636" s="11" t="s">
        <v>1026</v>
      </c>
      <c r="H636" s="20">
        <v>3316493</v>
      </c>
      <c r="I636" s="12">
        <v>45711</v>
      </c>
      <c r="J636" s="12">
        <v>46379</v>
      </c>
      <c r="K636" s="25">
        <v>459052</v>
      </c>
      <c r="L636" s="23">
        <v>2857441</v>
      </c>
      <c r="M636" s="30" t="s">
        <v>1052</v>
      </c>
      <c r="N636" s="30" t="s">
        <v>1055</v>
      </c>
    </row>
    <row r="637" spans="1:14" customFormat="1" x14ac:dyDescent="0.25">
      <c r="A637" s="7">
        <v>636</v>
      </c>
      <c r="B637" s="11" t="s">
        <v>652</v>
      </c>
      <c r="C637" s="7" t="s">
        <v>1039</v>
      </c>
      <c r="D637" s="7">
        <v>636</v>
      </c>
      <c r="E637" s="9">
        <v>636</v>
      </c>
      <c r="F637" s="7">
        <v>636</v>
      </c>
      <c r="G637" s="11" t="s">
        <v>1026</v>
      </c>
      <c r="H637" s="20">
        <v>4271655</v>
      </c>
      <c r="I637" s="12">
        <v>44646</v>
      </c>
      <c r="J637" s="12">
        <v>44921</v>
      </c>
      <c r="K637" s="25">
        <v>1913023</v>
      </c>
      <c r="L637" s="23">
        <v>2358632</v>
      </c>
      <c r="M637" s="30" t="s">
        <v>1052</v>
      </c>
      <c r="N637" s="30" t="s">
        <v>1055</v>
      </c>
    </row>
    <row r="638" spans="1:14" customFormat="1" x14ac:dyDescent="0.25">
      <c r="A638" s="7">
        <v>637</v>
      </c>
      <c r="B638" s="11" t="s">
        <v>653</v>
      </c>
      <c r="C638" s="7" t="s">
        <v>1039</v>
      </c>
      <c r="D638" s="7">
        <v>637</v>
      </c>
      <c r="E638" s="7">
        <v>637</v>
      </c>
      <c r="F638" s="7">
        <v>637</v>
      </c>
      <c r="G638" s="11" t="s">
        <v>1024</v>
      </c>
      <c r="H638" s="20">
        <v>328007</v>
      </c>
      <c r="I638" s="12">
        <v>44371</v>
      </c>
      <c r="J638" s="12">
        <v>44889</v>
      </c>
      <c r="K638" s="25">
        <v>143213</v>
      </c>
      <c r="L638" s="23">
        <v>184794</v>
      </c>
      <c r="M638" s="30" t="s">
        <v>1052</v>
      </c>
      <c r="N638" s="30" t="s">
        <v>1055</v>
      </c>
    </row>
    <row r="639" spans="1:14" customFormat="1" x14ac:dyDescent="0.25">
      <c r="A639" s="7">
        <v>638</v>
      </c>
      <c r="B639" s="11" t="s">
        <v>654</v>
      </c>
      <c r="C639" s="7" t="s">
        <v>1039</v>
      </c>
      <c r="D639" s="7">
        <v>638</v>
      </c>
      <c r="E639" s="7">
        <v>638</v>
      </c>
      <c r="F639" s="7">
        <v>638</v>
      </c>
      <c r="G639" s="11" t="s">
        <v>1023</v>
      </c>
      <c r="H639" s="20">
        <v>155</v>
      </c>
      <c r="I639" s="12">
        <v>44669</v>
      </c>
      <c r="J639" s="12">
        <v>45278</v>
      </c>
      <c r="K639" s="25">
        <v>122</v>
      </c>
      <c r="L639" s="23">
        <v>33</v>
      </c>
      <c r="M639" s="30" t="s">
        <v>1052</v>
      </c>
      <c r="N639" s="30" t="s">
        <v>1055</v>
      </c>
    </row>
    <row r="640" spans="1:14" customFormat="1" x14ac:dyDescent="0.25">
      <c r="A640" s="7">
        <v>639</v>
      </c>
      <c r="B640" s="11" t="s">
        <v>655</v>
      </c>
      <c r="C640" s="7" t="s">
        <v>1039</v>
      </c>
      <c r="D640" s="7">
        <v>639</v>
      </c>
      <c r="E640" s="9">
        <v>639</v>
      </c>
      <c r="F640" s="7">
        <v>639</v>
      </c>
      <c r="G640" s="11" t="s">
        <v>1016</v>
      </c>
      <c r="H640" s="20">
        <v>15506</v>
      </c>
      <c r="I640" s="12">
        <v>44584</v>
      </c>
      <c r="J640" s="12">
        <v>44949</v>
      </c>
      <c r="K640" s="25">
        <v>6574</v>
      </c>
      <c r="L640" s="23">
        <v>8932</v>
      </c>
      <c r="M640" s="30" t="s">
        <v>1052</v>
      </c>
      <c r="N640" s="30" t="s">
        <v>1055</v>
      </c>
    </row>
    <row r="641" spans="1:14" customFormat="1" x14ac:dyDescent="0.25">
      <c r="A641" s="7">
        <v>640</v>
      </c>
      <c r="B641" s="11" t="s">
        <v>656</v>
      </c>
      <c r="C641" s="7" t="s">
        <v>1039</v>
      </c>
      <c r="D641" s="7">
        <v>640</v>
      </c>
      <c r="E641" s="7">
        <v>640</v>
      </c>
      <c r="F641" s="7">
        <v>640</v>
      </c>
      <c r="G641" s="11" t="s">
        <v>1022</v>
      </c>
      <c r="H641" s="20">
        <v>34608</v>
      </c>
      <c r="I641" s="12">
        <v>44810</v>
      </c>
      <c r="J641" s="12">
        <v>45022</v>
      </c>
      <c r="K641" s="25">
        <v>20421</v>
      </c>
      <c r="L641" s="23">
        <v>14187</v>
      </c>
      <c r="M641" s="30" t="s">
        <v>1052</v>
      </c>
      <c r="N641" s="30" t="s">
        <v>1055</v>
      </c>
    </row>
    <row r="642" spans="1:14" customFormat="1" x14ac:dyDescent="0.25">
      <c r="A642" s="7">
        <v>641</v>
      </c>
      <c r="B642" s="11" t="s">
        <v>657</v>
      </c>
      <c r="C642" s="7" t="s">
        <v>1039</v>
      </c>
      <c r="D642" s="7">
        <v>641</v>
      </c>
      <c r="E642" s="7">
        <v>641</v>
      </c>
      <c r="F642" s="7">
        <v>641</v>
      </c>
      <c r="G642" s="11" t="s">
        <v>1021</v>
      </c>
      <c r="H642" s="20">
        <v>5048</v>
      </c>
      <c r="I642" s="12">
        <v>44515</v>
      </c>
      <c r="J642" s="12">
        <v>45153</v>
      </c>
      <c r="K642" s="25">
        <v>545</v>
      </c>
      <c r="L642" s="23">
        <v>4503</v>
      </c>
      <c r="M642" s="30" t="s">
        <v>1052</v>
      </c>
      <c r="N642" s="30" t="s">
        <v>1055</v>
      </c>
    </row>
    <row r="643" spans="1:14" customFormat="1" x14ac:dyDescent="0.25">
      <c r="A643" s="7">
        <v>642</v>
      </c>
      <c r="B643" s="11" t="s">
        <v>658</v>
      </c>
      <c r="C643" s="7" t="s">
        <v>1039</v>
      </c>
      <c r="D643" s="7">
        <v>642</v>
      </c>
      <c r="E643" s="9">
        <v>642</v>
      </c>
      <c r="F643" s="7">
        <v>642</v>
      </c>
      <c r="G643" s="11" t="s">
        <v>1016</v>
      </c>
      <c r="H643" s="20">
        <v>17759</v>
      </c>
      <c r="I643" s="12">
        <v>44249</v>
      </c>
      <c r="J643" s="12">
        <v>44338</v>
      </c>
      <c r="K643" s="25">
        <v>7757</v>
      </c>
      <c r="L643" s="23">
        <v>10002</v>
      </c>
      <c r="M643" s="30" t="s">
        <v>1052</v>
      </c>
      <c r="N643" s="30" t="s">
        <v>1055</v>
      </c>
    </row>
    <row r="644" spans="1:14" customFormat="1" x14ac:dyDescent="0.25">
      <c r="A644" s="7">
        <v>643</v>
      </c>
      <c r="B644" s="11" t="s">
        <v>659</v>
      </c>
      <c r="C644" s="7" t="s">
        <v>1039</v>
      </c>
      <c r="D644" s="7">
        <v>643</v>
      </c>
      <c r="E644" s="7">
        <v>643</v>
      </c>
      <c r="F644" s="7">
        <v>643</v>
      </c>
      <c r="G644" s="11" t="s">
        <v>1022</v>
      </c>
      <c r="H644" s="20">
        <v>25939</v>
      </c>
      <c r="I644" s="12">
        <v>44149</v>
      </c>
      <c r="J644" s="12">
        <v>44544</v>
      </c>
      <c r="K644" s="25">
        <v>3227</v>
      </c>
      <c r="L644" s="23">
        <v>22712</v>
      </c>
      <c r="M644" s="30" t="s">
        <v>1052</v>
      </c>
      <c r="N644" s="30" t="s">
        <v>1055</v>
      </c>
    </row>
    <row r="645" spans="1:14" customFormat="1" x14ac:dyDescent="0.25">
      <c r="A645" s="7">
        <v>644</v>
      </c>
      <c r="B645" s="11" t="s">
        <v>660</v>
      </c>
      <c r="C645" s="7" t="s">
        <v>1039</v>
      </c>
      <c r="D645" s="7">
        <v>644</v>
      </c>
      <c r="E645" s="7">
        <v>644</v>
      </c>
      <c r="F645" s="7">
        <v>644</v>
      </c>
      <c r="G645" s="11" t="s">
        <v>1023</v>
      </c>
      <c r="H645" s="20">
        <v>1383</v>
      </c>
      <c r="I645" s="12">
        <v>44725</v>
      </c>
      <c r="J645" s="12">
        <v>45364</v>
      </c>
      <c r="K645" s="25">
        <v>901</v>
      </c>
      <c r="L645" s="23">
        <v>482</v>
      </c>
      <c r="M645" s="30" t="s">
        <v>1052</v>
      </c>
      <c r="N645" s="30" t="s">
        <v>1055</v>
      </c>
    </row>
    <row r="646" spans="1:14" customFormat="1" x14ac:dyDescent="0.25">
      <c r="A646" s="7">
        <v>645</v>
      </c>
      <c r="B646" s="11" t="s">
        <v>661</v>
      </c>
      <c r="C646" s="7" t="s">
        <v>1039</v>
      </c>
      <c r="D646" s="7">
        <v>645</v>
      </c>
      <c r="E646" s="9">
        <v>645</v>
      </c>
      <c r="F646" s="7">
        <v>645</v>
      </c>
      <c r="G646" s="11" t="s">
        <v>1023</v>
      </c>
      <c r="H646" s="20">
        <v>381</v>
      </c>
      <c r="I646" s="12">
        <v>44467</v>
      </c>
      <c r="J646" s="12">
        <v>44801</v>
      </c>
      <c r="K646" s="25">
        <v>54</v>
      </c>
      <c r="L646" s="23">
        <v>327</v>
      </c>
      <c r="M646" s="30" t="s">
        <v>1052</v>
      </c>
      <c r="N646" s="30" t="s">
        <v>1055</v>
      </c>
    </row>
    <row r="647" spans="1:14" customFormat="1" x14ac:dyDescent="0.25">
      <c r="A647" s="7">
        <v>646</v>
      </c>
      <c r="B647" s="11" t="s">
        <v>662</v>
      </c>
      <c r="C647" s="7" t="s">
        <v>1039</v>
      </c>
      <c r="D647" s="7">
        <v>646</v>
      </c>
      <c r="E647" s="7">
        <v>646</v>
      </c>
      <c r="F647" s="7">
        <v>646</v>
      </c>
      <c r="G647" s="11" t="s">
        <v>1016</v>
      </c>
      <c r="H647" s="20">
        <v>15615</v>
      </c>
      <c r="I647" s="12">
        <v>44060</v>
      </c>
      <c r="J647" s="12">
        <v>44729</v>
      </c>
      <c r="K647" s="25">
        <v>14556</v>
      </c>
      <c r="L647" s="23">
        <v>1059</v>
      </c>
      <c r="M647" s="30" t="s">
        <v>1052</v>
      </c>
      <c r="N647" s="30" t="s">
        <v>1055</v>
      </c>
    </row>
    <row r="648" spans="1:14" customFormat="1" x14ac:dyDescent="0.25">
      <c r="A648" s="7">
        <v>647</v>
      </c>
      <c r="B648" s="11" t="s">
        <v>663</v>
      </c>
      <c r="C648" s="7" t="s">
        <v>1039</v>
      </c>
      <c r="D648" s="7">
        <v>647</v>
      </c>
      <c r="E648" s="7">
        <v>647</v>
      </c>
      <c r="F648" s="7">
        <v>647</v>
      </c>
      <c r="G648" s="11" t="s">
        <v>1022</v>
      </c>
      <c r="H648" s="20">
        <v>20716</v>
      </c>
      <c r="I648" s="12">
        <v>44387</v>
      </c>
      <c r="J648" s="12">
        <v>45026</v>
      </c>
      <c r="K648" s="25">
        <v>9841</v>
      </c>
      <c r="L648" s="23">
        <v>10875</v>
      </c>
      <c r="M648" s="30" t="s">
        <v>1052</v>
      </c>
      <c r="N648" s="30" t="s">
        <v>1055</v>
      </c>
    </row>
    <row r="649" spans="1:14" customFormat="1" x14ac:dyDescent="0.25">
      <c r="A649" s="7">
        <v>648</v>
      </c>
      <c r="B649" s="11" t="s">
        <v>664</v>
      </c>
      <c r="C649" s="7" t="s">
        <v>1039</v>
      </c>
      <c r="D649" s="7">
        <v>648</v>
      </c>
      <c r="E649" s="9">
        <v>648</v>
      </c>
      <c r="F649" s="7">
        <v>648</v>
      </c>
      <c r="G649" s="11" t="s">
        <v>1016</v>
      </c>
      <c r="H649" s="20">
        <v>29683</v>
      </c>
      <c r="I649" s="12">
        <v>45231</v>
      </c>
      <c r="J649" s="12">
        <v>45566</v>
      </c>
      <c r="K649" s="25">
        <v>3507</v>
      </c>
      <c r="L649" s="23">
        <v>26176</v>
      </c>
      <c r="M649" s="30" t="s">
        <v>1052</v>
      </c>
      <c r="N649" s="30" t="s">
        <v>1055</v>
      </c>
    </row>
    <row r="650" spans="1:14" customFormat="1" x14ac:dyDescent="0.25">
      <c r="A650" s="7">
        <v>649</v>
      </c>
      <c r="B650" s="11" t="s">
        <v>665</v>
      </c>
      <c r="C650" s="7" t="s">
        <v>1039</v>
      </c>
      <c r="D650" s="7">
        <v>649</v>
      </c>
      <c r="E650" s="7">
        <v>649</v>
      </c>
      <c r="F650" s="7">
        <v>649</v>
      </c>
      <c r="G650" s="11" t="s">
        <v>1026</v>
      </c>
      <c r="H650" s="20">
        <v>3100702</v>
      </c>
      <c r="I650" s="12">
        <v>44185</v>
      </c>
      <c r="J650" s="12">
        <v>44762</v>
      </c>
      <c r="K650" s="25">
        <v>259551</v>
      </c>
      <c r="L650" s="23">
        <v>2841151</v>
      </c>
      <c r="M650" s="30" t="s">
        <v>1052</v>
      </c>
      <c r="N650" s="30" t="s">
        <v>1055</v>
      </c>
    </row>
    <row r="651" spans="1:14" customFormat="1" x14ac:dyDescent="0.25">
      <c r="A651" s="7">
        <v>650</v>
      </c>
      <c r="B651" s="11" t="s">
        <v>666</v>
      </c>
      <c r="C651" s="7" t="s">
        <v>1039</v>
      </c>
      <c r="D651" s="7">
        <v>650</v>
      </c>
      <c r="E651" s="7">
        <v>650</v>
      </c>
      <c r="F651" s="7">
        <v>650</v>
      </c>
      <c r="G651" s="11" t="s">
        <v>1020</v>
      </c>
      <c r="H651" s="20">
        <v>208876</v>
      </c>
      <c r="I651" s="12">
        <v>43848</v>
      </c>
      <c r="J651" s="12">
        <v>43908</v>
      </c>
      <c r="K651" s="25">
        <v>29311</v>
      </c>
      <c r="L651" s="23">
        <v>179565</v>
      </c>
      <c r="M651" s="30" t="s">
        <v>1052</v>
      </c>
      <c r="N651" s="30" t="s">
        <v>1055</v>
      </c>
    </row>
    <row r="652" spans="1:14" customFormat="1" x14ac:dyDescent="0.25">
      <c r="A652" s="7">
        <v>651</v>
      </c>
      <c r="B652" s="11" t="s">
        <v>667</v>
      </c>
      <c r="C652" s="7" t="s">
        <v>1039</v>
      </c>
      <c r="D652" s="7">
        <v>651</v>
      </c>
      <c r="E652" s="9">
        <v>651</v>
      </c>
      <c r="F652" s="7">
        <v>651</v>
      </c>
      <c r="G652" s="11" t="s">
        <v>1020</v>
      </c>
      <c r="H652" s="20">
        <v>155708</v>
      </c>
      <c r="I652" s="12">
        <v>44719</v>
      </c>
      <c r="J652" s="12">
        <v>45419</v>
      </c>
      <c r="K652" s="25">
        <v>11819</v>
      </c>
      <c r="L652" s="23">
        <v>143889</v>
      </c>
      <c r="M652" s="30" t="s">
        <v>1052</v>
      </c>
      <c r="N652" s="30" t="s">
        <v>1055</v>
      </c>
    </row>
    <row r="653" spans="1:14" customFormat="1" x14ac:dyDescent="0.25">
      <c r="A653" s="7">
        <v>652</v>
      </c>
      <c r="B653" s="11" t="s">
        <v>668</v>
      </c>
      <c r="C653" s="7" t="s">
        <v>1039</v>
      </c>
      <c r="D653" s="7">
        <v>652</v>
      </c>
      <c r="E653" s="7">
        <v>652</v>
      </c>
      <c r="F653" s="7">
        <v>652</v>
      </c>
      <c r="G653" s="11" t="s">
        <v>1025</v>
      </c>
      <c r="H653" s="20">
        <v>386000</v>
      </c>
      <c r="I653" s="12">
        <v>44571</v>
      </c>
      <c r="J653" s="12">
        <v>45087</v>
      </c>
      <c r="K653" s="25">
        <v>204437</v>
      </c>
      <c r="L653" s="23">
        <v>181563</v>
      </c>
      <c r="M653" s="30" t="s">
        <v>1052</v>
      </c>
      <c r="N653" s="30" t="s">
        <v>1055</v>
      </c>
    </row>
    <row r="654" spans="1:14" customFormat="1" x14ac:dyDescent="0.25">
      <c r="A654" s="7">
        <v>653</v>
      </c>
      <c r="B654" s="11" t="s">
        <v>669</v>
      </c>
      <c r="C654" s="7" t="s">
        <v>1039</v>
      </c>
      <c r="D654" s="7">
        <v>653</v>
      </c>
      <c r="E654" s="7">
        <v>653</v>
      </c>
      <c r="F654" s="7">
        <v>653</v>
      </c>
      <c r="G654" s="11" t="s">
        <v>1020</v>
      </c>
      <c r="H654" s="20">
        <v>460094</v>
      </c>
      <c r="I654" s="12">
        <v>45677</v>
      </c>
      <c r="J654" s="12">
        <v>45981</v>
      </c>
      <c r="K654" s="25">
        <v>328031</v>
      </c>
      <c r="L654" s="23">
        <v>132063</v>
      </c>
      <c r="M654" s="30" t="s">
        <v>1052</v>
      </c>
      <c r="N654" s="30" t="s">
        <v>1055</v>
      </c>
    </row>
    <row r="655" spans="1:14" customFormat="1" x14ac:dyDescent="0.25">
      <c r="A655" s="7">
        <v>654</v>
      </c>
      <c r="B655" s="11" t="s">
        <v>670</v>
      </c>
      <c r="C655" s="7" t="s">
        <v>1039</v>
      </c>
      <c r="D655" s="7">
        <v>654</v>
      </c>
      <c r="E655" s="9">
        <v>654</v>
      </c>
      <c r="F655" s="7">
        <v>654</v>
      </c>
      <c r="G655" s="11" t="s">
        <v>1020</v>
      </c>
      <c r="H655" s="20">
        <v>307053</v>
      </c>
      <c r="I655" s="12">
        <v>43989</v>
      </c>
      <c r="J655" s="12">
        <v>44537</v>
      </c>
      <c r="K655" s="25">
        <v>57110</v>
      </c>
      <c r="L655" s="23">
        <v>249943</v>
      </c>
      <c r="M655" s="30" t="s">
        <v>1052</v>
      </c>
      <c r="N655" s="30" t="s">
        <v>1055</v>
      </c>
    </row>
    <row r="656" spans="1:14" customFormat="1" x14ac:dyDescent="0.25">
      <c r="A656" s="7">
        <v>655</v>
      </c>
      <c r="B656" s="11" t="s">
        <v>671</v>
      </c>
      <c r="C656" s="7" t="s">
        <v>1039</v>
      </c>
      <c r="D656" s="7">
        <v>655</v>
      </c>
      <c r="E656" s="7">
        <v>655</v>
      </c>
      <c r="F656" s="7">
        <v>655</v>
      </c>
      <c r="G656" s="11" t="s">
        <v>1016</v>
      </c>
      <c r="H656" s="20">
        <v>12424</v>
      </c>
      <c r="I656" s="12">
        <v>45280</v>
      </c>
      <c r="J656" s="12">
        <v>45616</v>
      </c>
      <c r="K656" s="25">
        <v>3508</v>
      </c>
      <c r="L656" s="23">
        <v>8916</v>
      </c>
      <c r="M656" s="30" t="s">
        <v>1052</v>
      </c>
      <c r="N656" s="30" t="s">
        <v>1055</v>
      </c>
    </row>
    <row r="657" spans="1:14" customFormat="1" x14ac:dyDescent="0.25">
      <c r="A657" s="7">
        <v>656</v>
      </c>
      <c r="B657" s="11" t="s">
        <v>672</v>
      </c>
      <c r="C657" s="7" t="s">
        <v>1039</v>
      </c>
      <c r="D657" s="7">
        <v>656</v>
      </c>
      <c r="E657" s="7">
        <v>656</v>
      </c>
      <c r="F657" s="7">
        <v>656</v>
      </c>
      <c r="G657" s="11" t="s">
        <v>1021</v>
      </c>
      <c r="H657" s="20">
        <v>52822</v>
      </c>
      <c r="I657" s="12">
        <v>45420</v>
      </c>
      <c r="J657" s="12">
        <v>45908</v>
      </c>
      <c r="K657" s="25">
        <v>30414</v>
      </c>
      <c r="L657" s="23">
        <v>22408</v>
      </c>
      <c r="M657" s="30" t="s">
        <v>1052</v>
      </c>
      <c r="N657" s="30" t="s">
        <v>1055</v>
      </c>
    </row>
    <row r="658" spans="1:14" customFormat="1" x14ac:dyDescent="0.25">
      <c r="A658" s="7">
        <v>657</v>
      </c>
      <c r="B658" s="11" t="s">
        <v>673</v>
      </c>
      <c r="C658" s="7" t="s">
        <v>1039</v>
      </c>
      <c r="D658" s="7">
        <v>657</v>
      </c>
      <c r="E658" s="9">
        <v>657</v>
      </c>
      <c r="F658" s="7">
        <v>657</v>
      </c>
      <c r="G658" s="11" t="s">
        <v>1026</v>
      </c>
      <c r="H658" s="20">
        <v>2402785</v>
      </c>
      <c r="I658" s="12">
        <v>44370</v>
      </c>
      <c r="J658" s="12">
        <v>44980</v>
      </c>
      <c r="K658" s="25">
        <v>296871</v>
      </c>
      <c r="L658" s="23">
        <v>2105914</v>
      </c>
      <c r="M658" s="30" t="s">
        <v>1052</v>
      </c>
      <c r="N658" s="30" t="s">
        <v>1055</v>
      </c>
    </row>
    <row r="659" spans="1:14" customFormat="1" x14ac:dyDescent="0.25">
      <c r="A659" s="7">
        <v>658</v>
      </c>
      <c r="B659" s="11" t="s">
        <v>674</v>
      </c>
      <c r="C659" s="7" t="s">
        <v>1039</v>
      </c>
      <c r="D659" s="7">
        <v>658</v>
      </c>
      <c r="E659" s="7">
        <v>658</v>
      </c>
      <c r="F659" s="7">
        <v>658</v>
      </c>
      <c r="G659" s="11" t="s">
        <v>1025</v>
      </c>
      <c r="H659" s="20">
        <v>98267</v>
      </c>
      <c r="I659" s="12">
        <v>44022</v>
      </c>
      <c r="J659" s="12">
        <v>44540</v>
      </c>
      <c r="K659" s="25">
        <v>30045</v>
      </c>
      <c r="L659" s="23">
        <v>68222</v>
      </c>
      <c r="M659" s="30" t="s">
        <v>1052</v>
      </c>
      <c r="N659" s="30" t="s">
        <v>1055</v>
      </c>
    </row>
    <row r="660" spans="1:14" customFormat="1" x14ac:dyDescent="0.25">
      <c r="A660" s="7">
        <v>659</v>
      </c>
      <c r="B660" s="11" t="s">
        <v>675</v>
      </c>
      <c r="C660" s="7" t="s">
        <v>1039</v>
      </c>
      <c r="D660" s="7">
        <v>659</v>
      </c>
      <c r="E660" s="7">
        <v>659</v>
      </c>
      <c r="F660" s="7">
        <v>659</v>
      </c>
      <c r="G660" s="11" t="s">
        <v>1020</v>
      </c>
      <c r="H660" s="20">
        <v>294774</v>
      </c>
      <c r="I660" s="12">
        <v>45054</v>
      </c>
      <c r="J660" s="12">
        <v>45207</v>
      </c>
      <c r="K660" s="25">
        <v>283533</v>
      </c>
      <c r="L660" s="23">
        <v>11241</v>
      </c>
      <c r="M660" s="30" t="s">
        <v>1052</v>
      </c>
      <c r="N660" s="30" t="s">
        <v>1055</v>
      </c>
    </row>
    <row r="661" spans="1:14" customFormat="1" x14ac:dyDescent="0.25">
      <c r="A661" s="7">
        <v>660</v>
      </c>
      <c r="B661" s="11" t="s">
        <v>676</v>
      </c>
      <c r="C661" s="7" t="s">
        <v>1039</v>
      </c>
      <c r="D661" s="7">
        <v>660</v>
      </c>
      <c r="E661" s="9">
        <v>660</v>
      </c>
      <c r="F661" s="7">
        <v>660</v>
      </c>
      <c r="G661" s="11" t="s">
        <v>1024</v>
      </c>
      <c r="H661" s="20">
        <v>579468</v>
      </c>
      <c r="I661" s="12">
        <v>45016</v>
      </c>
      <c r="J661" s="12">
        <v>45747</v>
      </c>
      <c r="K661" s="25">
        <v>221309</v>
      </c>
      <c r="L661" s="23">
        <v>358159</v>
      </c>
      <c r="M661" s="30" t="s">
        <v>1052</v>
      </c>
      <c r="N661" s="30" t="s">
        <v>1055</v>
      </c>
    </row>
    <row r="662" spans="1:14" customFormat="1" x14ac:dyDescent="0.25">
      <c r="A662" s="7">
        <v>661</v>
      </c>
      <c r="B662" s="11" t="s">
        <v>677</v>
      </c>
      <c r="C662" s="7" t="s">
        <v>1039</v>
      </c>
      <c r="D662" s="7">
        <v>661</v>
      </c>
      <c r="E662" s="7">
        <v>661</v>
      </c>
      <c r="F662" s="7">
        <v>661</v>
      </c>
      <c r="G662" s="11" t="s">
        <v>1027</v>
      </c>
      <c r="H662" s="20">
        <v>39087</v>
      </c>
      <c r="I662" s="12">
        <v>43875</v>
      </c>
      <c r="J662" s="12">
        <v>44057</v>
      </c>
      <c r="K662" s="25">
        <v>13594</v>
      </c>
      <c r="L662" s="23">
        <v>25493</v>
      </c>
      <c r="M662" s="30" t="s">
        <v>1052</v>
      </c>
      <c r="N662" s="30" t="s">
        <v>1055</v>
      </c>
    </row>
    <row r="663" spans="1:14" customFormat="1" x14ac:dyDescent="0.25">
      <c r="A663" s="7">
        <v>662</v>
      </c>
      <c r="B663" s="11" t="s">
        <v>678</v>
      </c>
      <c r="C663" s="7" t="s">
        <v>1039</v>
      </c>
      <c r="D663" s="7">
        <v>662</v>
      </c>
      <c r="E663" s="7">
        <v>662</v>
      </c>
      <c r="F663" s="7">
        <v>662</v>
      </c>
      <c r="G663" s="11" t="s">
        <v>1016</v>
      </c>
      <c r="H663" s="20">
        <v>38433</v>
      </c>
      <c r="I663" s="12">
        <v>44389</v>
      </c>
      <c r="J663" s="12">
        <v>44997</v>
      </c>
      <c r="K663" s="25">
        <v>16211</v>
      </c>
      <c r="L663" s="23">
        <v>22222</v>
      </c>
      <c r="M663" s="30" t="s">
        <v>1052</v>
      </c>
      <c r="N663" s="30" t="s">
        <v>1055</v>
      </c>
    </row>
    <row r="664" spans="1:14" customFormat="1" x14ac:dyDescent="0.25">
      <c r="A664" s="7">
        <v>663</v>
      </c>
      <c r="B664" s="11" t="s">
        <v>679</v>
      </c>
      <c r="C664" s="7" t="s">
        <v>1039</v>
      </c>
      <c r="D664" s="7">
        <v>663</v>
      </c>
      <c r="E664" s="9">
        <v>663</v>
      </c>
      <c r="F664" s="7">
        <v>663</v>
      </c>
      <c r="G664" s="11" t="s">
        <v>1022</v>
      </c>
      <c r="H664" s="20">
        <v>29286</v>
      </c>
      <c r="I664" s="12">
        <v>44159</v>
      </c>
      <c r="J664" s="12">
        <v>44220</v>
      </c>
      <c r="K664" s="25">
        <v>4344</v>
      </c>
      <c r="L664" s="23">
        <v>24942</v>
      </c>
      <c r="M664" s="30" t="s">
        <v>1052</v>
      </c>
      <c r="N664" s="30" t="s">
        <v>1055</v>
      </c>
    </row>
    <row r="665" spans="1:14" customFormat="1" x14ac:dyDescent="0.25">
      <c r="A665" s="7">
        <v>664</v>
      </c>
      <c r="B665" s="11" t="s">
        <v>680</v>
      </c>
      <c r="C665" s="7" t="s">
        <v>1039</v>
      </c>
      <c r="D665" s="7">
        <v>664</v>
      </c>
      <c r="E665" s="7">
        <v>664</v>
      </c>
      <c r="F665" s="7">
        <v>664</v>
      </c>
      <c r="G665" s="11" t="s">
        <v>1023</v>
      </c>
      <c r="H665" s="20">
        <v>1307</v>
      </c>
      <c r="I665" s="12">
        <v>44881</v>
      </c>
      <c r="J665" s="12">
        <v>45032</v>
      </c>
      <c r="K665" s="25">
        <v>1303</v>
      </c>
      <c r="L665" s="23">
        <v>4</v>
      </c>
      <c r="M665" s="30" t="s">
        <v>1052</v>
      </c>
      <c r="N665" s="30" t="s">
        <v>1055</v>
      </c>
    </row>
    <row r="666" spans="1:14" customFormat="1" x14ac:dyDescent="0.25">
      <c r="A666" s="7">
        <v>665</v>
      </c>
      <c r="B666" s="11" t="s">
        <v>681</v>
      </c>
      <c r="C666" s="7" t="s">
        <v>1039</v>
      </c>
      <c r="D666" s="7">
        <v>665</v>
      </c>
      <c r="E666" s="7">
        <v>665</v>
      </c>
      <c r="F666" s="7">
        <v>665</v>
      </c>
      <c r="G666" s="11" t="s">
        <v>1021</v>
      </c>
      <c r="H666" s="20">
        <v>58539</v>
      </c>
      <c r="I666" s="12">
        <v>44276</v>
      </c>
      <c r="J666" s="12">
        <v>44368</v>
      </c>
      <c r="K666" s="25">
        <v>32769</v>
      </c>
      <c r="L666" s="23">
        <v>25770</v>
      </c>
      <c r="M666" s="30" t="s">
        <v>1052</v>
      </c>
      <c r="N666" s="30" t="s">
        <v>1055</v>
      </c>
    </row>
    <row r="667" spans="1:14" customFormat="1" x14ac:dyDescent="0.25">
      <c r="A667" s="7">
        <v>666</v>
      </c>
      <c r="B667" s="11" t="s">
        <v>682</v>
      </c>
      <c r="C667" s="7" t="s">
        <v>1039</v>
      </c>
      <c r="D667" s="7">
        <v>666</v>
      </c>
      <c r="E667" s="9">
        <v>666</v>
      </c>
      <c r="F667" s="7">
        <v>666</v>
      </c>
      <c r="G667" s="11" t="s">
        <v>1025</v>
      </c>
      <c r="H667" s="20">
        <v>168632</v>
      </c>
      <c r="I667" s="12">
        <v>45387</v>
      </c>
      <c r="J667" s="12">
        <v>45752</v>
      </c>
      <c r="K667" s="25">
        <v>151225</v>
      </c>
      <c r="L667" s="23">
        <v>17407</v>
      </c>
      <c r="M667" s="30" t="s">
        <v>1052</v>
      </c>
      <c r="N667" s="30" t="s">
        <v>1055</v>
      </c>
    </row>
    <row r="668" spans="1:14" customFormat="1" x14ac:dyDescent="0.25">
      <c r="A668" s="7">
        <v>667</v>
      </c>
      <c r="B668" s="11" t="s">
        <v>683</v>
      </c>
      <c r="C668" s="7" t="s">
        <v>1039</v>
      </c>
      <c r="D668" s="7">
        <v>667</v>
      </c>
      <c r="E668" s="7">
        <v>667</v>
      </c>
      <c r="F668" s="7">
        <v>667</v>
      </c>
      <c r="G668" s="11" t="s">
        <v>1021</v>
      </c>
      <c r="H668" s="20">
        <v>58338</v>
      </c>
      <c r="I668" s="12">
        <v>44663</v>
      </c>
      <c r="J668" s="12">
        <v>45028</v>
      </c>
      <c r="K668" s="25">
        <v>45199</v>
      </c>
      <c r="L668" s="23">
        <v>13139</v>
      </c>
      <c r="M668" s="30" t="s">
        <v>1052</v>
      </c>
      <c r="N668" s="30" t="s">
        <v>1055</v>
      </c>
    </row>
    <row r="669" spans="1:14" customFormat="1" x14ac:dyDescent="0.25">
      <c r="A669" s="7">
        <v>668</v>
      </c>
      <c r="B669" s="11" t="s">
        <v>684</v>
      </c>
      <c r="C669" s="7" t="s">
        <v>1039</v>
      </c>
      <c r="D669" s="7">
        <v>668</v>
      </c>
      <c r="E669" s="7">
        <v>668</v>
      </c>
      <c r="F669" s="7">
        <v>668</v>
      </c>
      <c r="G669" s="11" t="s">
        <v>1022</v>
      </c>
      <c r="H669" s="20">
        <v>28558</v>
      </c>
      <c r="I669" s="12">
        <v>44069</v>
      </c>
      <c r="J669" s="12">
        <v>44768</v>
      </c>
      <c r="K669" s="25">
        <v>7382</v>
      </c>
      <c r="L669" s="23">
        <v>21176</v>
      </c>
      <c r="M669" s="30" t="s">
        <v>1052</v>
      </c>
      <c r="N669" s="30" t="s">
        <v>1055</v>
      </c>
    </row>
    <row r="670" spans="1:14" customFormat="1" x14ac:dyDescent="0.25">
      <c r="A670" s="7">
        <v>669</v>
      </c>
      <c r="B670" s="11" t="s">
        <v>685</v>
      </c>
      <c r="C670" s="7" t="s">
        <v>1039</v>
      </c>
      <c r="D670" s="7">
        <v>669</v>
      </c>
      <c r="E670" s="9">
        <v>669</v>
      </c>
      <c r="F670" s="7">
        <v>669</v>
      </c>
      <c r="G670" s="11" t="s">
        <v>1023</v>
      </c>
      <c r="H670" s="20">
        <v>1194</v>
      </c>
      <c r="I670" s="12">
        <v>44303</v>
      </c>
      <c r="J670" s="12">
        <v>44456</v>
      </c>
      <c r="K670" s="25">
        <v>764</v>
      </c>
      <c r="L670" s="23">
        <v>430</v>
      </c>
      <c r="M670" s="30" t="s">
        <v>1052</v>
      </c>
      <c r="N670" s="30" t="s">
        <v>1055</v>
      </c>
    </row>
    <row r="671" spans="1:14" customFormat="1" x14ac:dyDescent="0.25">
      <c r="A671" s="7">
        <v>670</v>
      </c>
      <c r="B671" s="11" t="s">
        <v>686</v>
      </c>
      <c r="C671" s="7" t="s">
        <v>1039</v>
      </c>
      <c r="D671" s="7">
        <v>670</v>
      </c>
      <c r="E671" s="7">
        <v>670</v>
      </c>
      <c r="F671" s="7">
        <v>670</v>
      </c>
      <c r="G671" s="11" t="s">
        <v>1026</v>
      </c>
      <c r="H671" s="20">
        <v>2128928</v>
      </c>
      <c r="I671" s="12">
        <v>45165</v>
      </c>
      <c r="J671" s="12">
        <v>45409</v>
      </c>
      <c r="K671" s="25">
        <v>1145150</v>
      </c>
      <c r="L671" s="23">
        <v>983778</v>
      </c>
      <c r="M671" s="30" t="s">
        <v>1052</v>
      </c>
      <c r="N671" s="30" t="s">
        <v>1055</v>
      </c>
    </row>
    <row r="672" spans="1:14" customFormat="1" x14ac:dyDescent="0.25">
      <c r="A672" s="7">
        <v>671</v>
      </c>
      <c r="B672" s="11" t="s">
        <v>687</v>
      </c>
      <c r="C672" s="7" t="s">
        <v>1039</v>
      </c>
      <c r="D672" s="7">
        <v>671</v>
      </c>
      <c r="E672" s="7">
        <v>671</v>
      </c>
      <c r="F672" s="7">
        <v>671</v>
      </c>
      <c r="G672" s="11" t="s">
        <v>1020</v>
      </c>
      <c r="H672" s="20">
        <v>313648</v>
      </c>
      <c r="I672" s="12">
        <v>45154</v>
      </c>
      <c r="J672" s="12">
        <v>45246</v>
      </c>
      <c r="K672" s="25">
        <v>311125</v>
      </c>
      <c r="L672" s="23">
        <v>2523</v>
      </c>
      <c r="M672" s="30" t="s">
        <v>1052</v>
      </c>
      <c r="N672" s="30" t="s">
        <v>1055</v>
      </c>
    </row>
    <row r="673" spans="1:14" customFormat="1" x14ac:dyDescent="0.25">
      <c r="A673" s="7">
        <v>672</v>
      </c>
      <c r="B673" s="11" t="s">
        <v>688</v>
      </c>
      <c r="C673" s="7" t="s">
        <v>1039</v>
      </c>
      <c r="D673" s="7">
        <v>672</v>
      </c>
      <c r="E673" s="9">
        <v>672</v>
      </c>
      <c r="F673" s="7">
        <v>672</v>
      </c>
      <c r="G673" s="11" t="s">
        <v>1020</v>
      </c>
      <c r="H673" s="20">
        <v>55794</v>
      </c>
      <c r="I673" s="12">
        <v>45713</v>
      </c>
      <c r="J673" s="12">
        <v>46198</v>
      </c>
      <c r="K673" s="25">
        <v>48483</v>
      </c>
      <c r="L673" s="23">
        <v>7311</v>
      </c>
      <c r="M673" s="30" t="s">
        <v>1052</v>
      </c>
      <c r="N673" s="30" t="s">
        <v>1055</v>
      </c>
    </row>
    <row r="674" spans="1:14" customFormat="1" x14ac:dyDescent="0.25">
      <c r="A674" s="7">
        <v>673</v>
      </c>
      <c r="B674" s="11" t="s">
        <v>689</v>
      </c>
      <c r="C674" s="7" t="s">
        <v>1039</v>
      </c>
      <c r="D674" s="7">
        <v>673</v>
      </c>
      <c r="E674" s="7">
        <v>673</v>
      </c>
      <c r="F674" s="7">
        <v>673</v>
      </c>
      <c r="G674" s="11" t="s">
        <v>1020</v>
      </c>
      <c r="H674" s="20">
        <v>386480</v>
      </c>
      <c r="I674" s="12">
        <v>43983</v>
      </c>
      <c r="J674" s="12">
        <v>44013</v>
      </c>
      <c r="K674" s="25">
        <v>257372</v>
      </c>
      <c r="L674" s="23">
        <v>129108</v>
      </c>
      <c r="M674" s="30" t="s">
        <v>1052</v>
      </c>
      <c r="N674" s="30" t="s">
        <v>1055</v>
      </c>
    </row>
    <row r="675" spans="1:14" customFormat="1" x14ac:dyDescent="0.25">
      <c r="A675" s="7">
        <v>674</v>
      </c>
      <c r="B675" s="11" t="s">
        <v>690</v>
      </c>
      <c r="C675" s="7" t="s">
        <v>1039</v>
      </c>
      <c r="D675" s="7">
        <v>674</v>
      </c>
      <c r="E675" s="7">
        <v>674</v>
      </c>
      <c r="F675" s="7">
        <v>674</v>
      </c>
      <c r="G675" s="11" t="s">
        <v>1026</v>
      </c>
      <c r="H675" s="20">
        <v>583290</v>
      </c>
      <c r="I675" s="12">
        <v>44466</v>
      </c>
      <c r="J675" s="12">
        <v>44588</v>
      </c>
      <c r="K675" s="25">
        <v>283662</v>
      </c>
      <c r="L675" s="23">
        <v>299628</v>
      </c>
      <c r="M675" s="30" t="s">
        <v>1052</v>
      </c>
      <c r="N675" s="30" t="s">
        <v>1055</v>
      </c>
    </row>
    <row r="676" spans="1:14" customFormat="1" x14ac:dyDescent="0.25">
      <c r="A676" s="7">
        <v>675</v>
      </c>
      <c r="B676" s="11" t="s">
        <v>691</v>
      </c>
      <c r="C676" s="7" t="s">
        <v>1039</v>
      </c>
      <c r="D676" s="7">
        <v>675</v>
      </c>
      <c r="E676" s="9">
        <v>675</v>
      </c>
      <c r="F676" s="7">
        <v>675</v>
      </c>
      <c r="G676" s="11" t="s">
        <v>1020</v>
      </c>
      <c r="H676" s="20">
        <v>230810</v>
      </c>
      <c r="I676" s="12">
        <v>45048</v>
      </c>
      <c r="J676" s="12">
        <v>45506</v>
      </c>
      <c r="K676" s="25">
        <v>117154</v>
      </c>
      <c r="L676" s="23">
        <v>113656</v>
      </c>
      <c r="M676" s="30" t="s">
        <v>1052</v>
      </c>
      <c r="N676" s="30" t="s">
        <v>1055</v>
      </c>
    </row>
    <row r="677" spans="1:14" customFormat="1" x14ac:dyDescent="0.25">
      <c r="A677" s="7">
        <v>676</v>
      </c>
      <c r="B677" s="11" t="s">
        <v>692</v>
      </c>
      <c r="C677" s="7" t="s">
        <v>1039</v>
      </c>
      <c r="D677" s="7">
        <v>676</v>
      </c>
      <c r="E677" s="7">
        <v>676</v>
      </c>
      <c r="F677" s="7">
        <v>676</v>
      </c>
      <c r="G677" s="11" t="s">
        <v>1026</v>
      </c>
      <c r="H677" s="20">
        <v>1382977</v>
      </c>
      <c r="I677" s="12">
        <v>45322</v>
      </c>
      <c r="J677" s="12">
        <v>45504</v>
      </c>
      <c r="K677" s="25">
        <v>389527</v>
      </c>
      <c r="L677" s="23">
        <v>993450</v>
      </c>
      <c r="M677" s="30" t="s">
        <v>1052</v>
      </c>
      <c r="N677" s="30" t="s">
        <v>1055</v>
      </c>
    </row>
    <row r="678" spans="1:14" customFormat="1" x14ac:dyDescent="0.25">
      <c r="A678" s="7">
        <v>677</v>
      </c>
      <c r="B678" s="11" t="s">
        <v>693</v>
      </c>
      <c r="C678" s="7" t="s">
        <v>1039</v>
      </c>
      <c r="D678" s="7">
        <v>677</v>
      </c>
      <c r="E678" s="7">
        <v>677</v>
      </c>
      <c r="F678" s="7">
        <v>677</v>
      </c>
      <c r="G678" s="11" t="s">
        <v>1027</v>
      </c>
      <c r="H678" s="20">
        <v>30539</v>
      </c>
      <c r="I678" s="12">
        <v>44239</v>
      </c>
      <c r="J678" s="12">
        <v>44632</v>
      </c>
      <c r="K678" s="25">
        <v>11903</v>
      </c>
      <c r="L678" s="23">
        <v>18636</v>
      </c>
      <c r="M678" s="30" t="s">
        <v>1052</v>
      </c>
      <c r="N678" s="30" t="s">
        <v>1055</v>
      </c>
    </row>
    <row r="679" spans="1:14" customFormat="1" x14ac:dyDescent="0.25">
      <c r="A679" s="7">
        <v>678</v>
      </c>
      <c r="B679" s="11" t="s">
        <v>694</v>
      </c>
      <c r="C679" s="7" t="s">
        <v>1039</v>
      </c>
      <c r="D679" s="7">
        <v>678</v>
      </c>
      <c r="E679" s="9">
        <v>678</v>
      </c>
      <c r="F679" s="7">
        <v>678</v>
      </c>
      <c r="G679" s="11" t="s">
        <v>1027</v>
      </c>
      <c r="H679" s="20">
        <v>45989</v>
      </c>
      <c r="I679" s="12">
        <v>44290</v>
      </c>
      <c r="J679" s="12">
        <v>44534</v>
      </c>
      <c r="K679" s="25">
        <v>24741</v>
      </c>
      <c r="L679" s="23">
        <v>21248</v>
      </c>
      <c r="M679" s="30" t="s">
        <v>1052</v>
      </c>
      <c r="N679" s="30" t="s">
        <v>1055</v>
      </c>
    </row>
    <row r="680" spans="1:14" customFormat="1" x14ac:dyDescent="0.25">
      <c r="A680" s="7">
        <v>679</v>
      </c>
      <c r="B680" s="11" t="s">
        <v>695</v>
      </c>
      <c r="C680" s="7" t="s">
        <v>1039</v>
      </c>
      <c r="D680" s="7">
        <v>679</v>
      </c>
      <c r="E680" s="7">
        <v>679</v>
      </c>
      <c r="F680" s="7">
        <v>679</v>
      </c>
      <c r="G680" s="11" t="s">
        <v>1024</v>
      </c>
      <c r="H680" s="20">
        <v>507708</v>
      </c>
      <c r="I680" s="12">
        <v>43880</v>
      </c>
      <c r="J680" s="12">
        <v>44427</v>
      </c>
      <c r="K680" s="25">
        <v>407664</v>
      </c>
      <c r="L680" s="23">
        <v>100044</v>
      </c>
      <c r="M680" s="30" t="s">
        <v>1052</v>
      </c>
      <c r="N680" s="30" t="s">
        <v>1055</v>
      </c>
    </row>
    <row r="681" spans="1:14" customFormat="1" x14ac:dyDescent="0.25">
      <c r="A681" s="7">
        <v>680</v>
      </c>
      <c r="B681" s="11" t="s">
        <v>696</v>
      </c>
      <c r="C681" s="7" t="s">
        <v>1039</v>
      </c>
      <c r="D681" s="7">
        <v>680</v>
      </c>
      <c r="E681" s="7">
        <v>680</v>
      </c>
      <c r="F681" s="7">
        <v>680</v>
      </c>
      <c r="G681" s="11" t="s">
        <v>1023</v>
      </c>
      <c r="H681" s="20">
        <v>217</v>
      </c>
      <c r="I681" s="12">
        <v>44825</v>
      </c>
      <c r="J681" s="12">
        <v>44916</v>
      </c>
      <c r="K681" s="25">
        <v>8</v>
      </c>
      <c r="L681" s="23">
        <v>209</v>
      </c>
      <c r="M681" s="30" t="s">
        <v>1052</v>
      </c>
      <c r="N681" s="30" t="s">
        <v>1055</v>
      </c>
    </row>
    <row r="682" spans="1:14" customFormat="1" x14ac:dyDescent="0.25">
      <c r="A682" s="7">
        <v>681</v>
      </c>
      <c r="B682" s="11" t="s">
        <v>697</v>
      </c>
      <c r="C682" s="7" t="s">
        <v>1039</v>
      </c>
      <c r="D682" s="7">
        <v>681</v>
      </c>
      <c r="E682" s="9">
        <v>681</v>
      </c>
      <c r="F682" s="7">
        <v>681</v>
      </c>
      <c r="G682" s="11" t="s">
        <v>1020</v>
      </c>
      <c r="H682" s="20">
        <v>468551</v>
      </c>
      <c r="I682" s="12">
        <v>43859</v>
      </c>
      <c r="J682" s="12">
        <v>44164</v>
      </c>
      <c r="K682" s="25">
        <v>309287</v>
      </c>
      <c r="L682" s="23">
        <v>159264</v>
      </c>
      <c r="M682" s="30" t="s">
        <v>1052</v>
      </c>
      <c r="N682" s="30" t="s">
        <v>1055</v>
      </c>
    </row>
    <row r="683" spans="1:14" customFormat="1" x14ac:dyDescent="0.25">
      <c r="A683" s="7">
        <v>682</v>
      </c>
      <c r="B683" s="11" t="s">
        <v>698</v>
      </c>
      <c r="C683" s="7" t="s">
        <v>1039</v>
      </c>
      <c r="D683" s="7">
        <v>682</v>
      </c>
      <c r="E683" s="7">
        <v>682</v>
      </c>
      <c r="F683" s="7">
        <v>682</v>
      </c>
      <c r="G683" s="11" t="s">
        <v>1025</v>
      </c>
      <c r="H683" s="20">
        <v>167038</v>
      </c>
      <c r="I683" s="12">
        <v>44395</v>
      </c>
      <c r="J683" s="12">
        <v>44457</v>
      </c>
      <c r="K683" s="25">
        <v>68818</v>
      </c>
      <c r="L683" s="23">
        <v>98220</v>
      </c>
      <c r="M683" s="30" t="s">
        <v>1052</v>
      </c>
      <c r="N683" s="30" t="s">
        <v>1055</v>
      </c>
    </row>
    <row r="684" spans="1:14" customFormat="1" x14ac:dyDescent="0.25">
      <c r="A684" s="7">
        <v>683</v>
      </c>
      <c r="B684" s="11" t="s">
        <v>699</v>
      </c>
      <c r="C684" s="7" t="s">
        <v>1039</v>
      </c>
      <c r="D684" s="7">
        <v>683</v>
      </c>
      <c r="E684" s="7">
        <v>683</v>
      </c>
      <c r="F684" s="7">
        <v>683</v>
      </c>
      <c r="G684" s="11" t="s">
        <v>1024</v>
      </c>
      <c r="H684" s="20">
        <v>743329</v>
      </c>
      <c r="I684" s="12">
        <v>44402</v>
      </c>
      <c r="J684" s="12">
        <v>45102</v>
      </c>
      <c r="K684" s="25">
        <v>2436</v>
      </c>
      <c r="L684" s="23">
        <v>740893</v>
      </c>
      <c r="M684" s="30" t="s">
        <v>1052</v>
      </c>
      <c r="N684" s="30" t="s">
        <v>1055</v>
      </c>
    </row>
    <row r="685" spans="1:14" customFormat="1" x14ac:dyDescent="0.25">
      <c r="A685" s="7">
        <v>684</v>
      </c>
      <c r="B685" s="11" t="s">
        <v>700</v>
      </c>
      <c r="C685" s="7" t="s">
        <v>1039</v>
      </c>
      <c r="D685" s="7">
        <v>684</v>
      </c>
      <c r="E685" s="9">
        <v>684</v>
      </c>
      <c r="F685" s="7">
        <v>684</v>
      </c>
      <c r="G685" s="11" t="s">
        <v>1025</v>
      </c>
      <c r="H685" s="20">
        <v>435189</v>
      </c>
      <c r="I685" s="12">
        <v>44669</v>
      </c>
      <c r="J685" s="12">
        <v>44760</v>
      </c>
      <c r="K685" s="25">
        <v>86875</v>
      </c>
      <c r="L685" s="23">
        <v>348314</v>
      </c>
      <c r="M685" s="30" t="s">
        <v>1052</v>
      </c>
      <c r="N685" s="30" t="s">
        <v>1055</v>
      </c>
    </row>
    <row r="686" spans="1:14" customFormat="1" x14ac:dyDescent="0.25">
      <c r="A686" s="7">
        <v>685</v>
      </c>
      <c r="B686" s="11" t="s">
        <v>701</v>
      </c>
      <c r="C686" s="7" t="s">
        <v>1039</v>
      </c>
      <c r="D686" s="7">
        <v>685</v>
      </c>
      <c r="E686" s="7">
        <v>685</v>
      </c>
      <c r="F686" s="7">
        <v>685</v>
      </c>
      <c r="G686" s="11" t="s">
        <v>1022</v>
      </c>
      <c r="H686" s="20">
        <v>11120</v>
      </c>
      <c r="I686" s="12">
        <v>45182</v>
      </c>
      <c r="J686" s="12">
        <v>45517</v>
      </c>
      <c r="K686" s="25">
        <v>7842</v>
      </c>
      <c r="L686" s="23">
        <v>3278</v>
      </c>
      <c r="M686" s="30" t="s">
        <v>1052</v>
      </c>
      <c r="N686" s="30" t="s">
        <v>1055</v>
      </c>
    </row>
    <row r="687" spans="1:14" customFormat="1" x14ac:dyDescent="0.25">
      <c r="A687" s="7">
        <v>686</v>
      </c>
      <c r="B687" s="11" t="s">
        <v>702</v>
      </c>
      <c r="C687" s="7" t="s">
        <v>1039</v>
      </c>
      <c r="D687" s="7">
        <v>686</v>
      </c>
      <c r="E687" s="7">
        <v>686</v>
      </c>
      <c r="F687" s="7">
        <v>686</v>
      </c>
      <c r="G687" s="11" t="s">
        <v>1022</v>
      </c>
      <c r="H687" s="20">
        <v>14654</v>
      </c>
      <c r="I687" s="12">
        <v>45226</v>
      </c>
      <c r="J687" s="12">
        <v>45378</v>
      </c>
      <c r="K687" s="25">
        <v>10302</v>
      </c>
      <c r="L687" s="23">
        <v>4352</v>
      </c>
      <c r="M687" s="30" t="s">
        <v>1052</v>
      </c>
      <c r="N687" s="30" t="s">
        <v>1055</v>
      </c>
    </row>
    <row r="688" spans="1:14" customFormat="1" x14ac:dyDescent="0.25">
      <c r="A688" s="7">
        <v>687</v>
      </c>
      <c r="B688" s="11" t="s">
        <v>703</v>
      </c>
      <c r="C688" s="7" t="s">
        <v>1039</v>
      </c>
      <c r="D688" s="7">
        <v>687</v>
      </c>
      <c r="E688" s="9">
        <v>687</v>
      </c>
      <c r="F688" s="7">
        <v>687</v>
      </c>
      <c r="G688" s="11" t="s">
        <v>1016</v>
      </c>
      <c r="H688" s="20">
        <v>25989</v>
      </c>
      <c r="I688" s="12">
        <v>45542</v>
      </c>
      <c r="J688" s="12">
        <v>46060</v>
      </c>
      <c r="K688" s="25">
        <v>10048</v>
      </c>
      <c r="L688" s="23">
        <v>15941</v>
      </c>
      <c r="M688" s="30" t="s">
        <v>1052</v>
      </c>
      <c r="N688" s="30" t="s">
        <v>1055</v>
      </c>
    </row>
    <row r="689" spans="1:14" customFormat="1" x14ac:dyDescent="0.25">
      <c r="A689" s="7">
        <v>688</v>
      </c>
      <c r="B689" s="11" t="s">
        <v>704</v>
      </c>
      <c r="C689" s="7" t="s">
        <v>1039</v>
      </c>
      <c r="D689" s="7">
        <v>688</v>
      </c>
      <c r="E689" s="7">
        <v>688</v>
      </c>
      <c r="F689" s="7">
        <v>688</v>
      </c>
      <c r="G689" s="11" t="s">
        <v>1021</v>
      </c>
      <c r="H689" s="20">
        <v>91855</v>
      </c>
      <c r="I689" s="12">
        <v>44271</v>
      </c>
      <c r="J689" s="12">
        <v>44850</v>
      </c>
      <c r="K689" s="25">
        <v>7410</v>
      </c>
      <c r="L689" s="23">
        <v>84445</v>
      </c>
      <c r="M689" s="30" t="s">
        <v>1052</v>
      </c>
      <c r="N689" s="30" t="s">
        <v>1055</v>
      </c>
    </row>
    <row r="690" spans="1:14" customFormat="1" x14ac:dyDescent="0.25">
      <c r="A690" s="7">
        <v>689</v>
      </c>
      <c r="B690" s="11" t="s">
        <v>705</v>
      </c>
      <c r="C690" s="7" t="s">
        <v>1039</v>
      </c>
      <c r="D690" s="7">
        <v>689</v>
      </c>
      <c r="E690" s="7">
        <v>689</v>
      </c>
      <c r="F690" s="7">
        <v>689</v>
      </c>
      <c r="G690" s="11" t="s">
        <v>1025</v>
      </c>
      <c r="H690" s="20">
        <v>238644</v>
      </c>
      <c r="I690" s="12">
        <v>44696</v>
      </c>
      <c r="J690" s="12">
        <v>45031</v>
      </c>
      <c r="K690" s="25">
        <v>148368</v>
      </c>
      <c r="L690" s="23">
        <v>90276</v>
      </c>
      <c r="M690" s="30" t="s">
        <v>1052</v>
      </c>
      <c r="N690" s="30" t="s">
        <v>1055</v>
      </c>
    </row>
    <row r="691" spans="1:14" customFormat="1" x14ac:dyDescent="0.25">
      <c r="A691" s="7">
        <v>690</v>
      </c>
      <c r="B691" s="11" t="s">
        <v>706</v>
      </c>
      <c r="C691" s="7" t="s">
        <v>1039</v>
      </c>
      <c r="D691" s="7">
        <v>690</v>
      </c>
      <c r="E691" s="9">
        <v>690</v>
      </c>
      <c r="F691" s="7">
        <v>690</v>
      </c>
      <c r="G691" s="11" t="s">
        <v>1027</v>
      </c>
      <c r="H691" s="20">
        <v>19901</v>
      </c>
      <c r="I691" s="12">
        <v>45285</v>
      </c>
      <c r="J691" s="12">
        <v>45560</v>
      </c>
      <c r="K691" s="25">
        <v>13807</v>
      </c>
      <c r="L691" s="23">
        <v>6094</v>
      </c>
      <c r="M691" s="30" t="s">
        <v>1052</v>
      </c>
      <c r="N691" s="30" t="s">
        <v>1055</v>
      </c>
    </row>
    <row r="692" spans="1:14" customFormat="1" x14ac:dyDescent="0.25">
      <c r="A692" s="7">
        <v>691</v>
      </c>
      <c r="B692" s="11" t="s">
        <v>707</v>
      </c>
      <c r="C692" s="7" t="s">
        <v>1039</v>
      </c>
      <c r="D692" s="7">
        <v>691</v>
      </c>
      <c r="E692" s="7">
        <v>691</v>
      </c>
      <c r="F692" s="7">
        <v>691</v>
      </c>
      <c r="G692" s="11" t="s">
        <v>1016</v>
      </c>
      <c r="H692" s="20">
        <v>19096</v>
      </c>
      <c r="I692" s="12">
        <v>44959</v>
      </c>
      <c r="J692" s="12">
        <v>45445</v>
      </c>
      <c r="K692" s="25">
        <v>9668</v>
      </c>
      <c r="L692" s="23">
        <v>9428</v>
      </c>
      <c r="M692" s="30" t="s">
        <v>1052</v>
      </c>
      <c r="N692" s="30" t="s">
        <v>1055</v>
      </c>
    </row>
    <row r="693" spans="1:14" customFormat="1" x14ac:dyDescent="0.25">
      <c r="A693" s="7">
        <v>692</v>
      </c>
      <c r="B693" s="11" t="s">
        <v>708</v>
      </c>
      <c r="C693" s="7" t="s">
        <v>1039</v>
      </c>
      <c r="D693" s="7">
        <v>692</v>
      </c>
      <c r="E693" s="7">
        <v>692</v>
      </c>
      <c r="F693" s="7">
        <v>692</v>
      </c>
      <c r="G693" s="11" t="s">
        <v>1022</v>
      </c>
      <c r="H693" s="20">
        <v>11504</v>
      </c>
      <c r="I693" s="12">
        <v>45011</v>
      </c>
      <c r="J693" s="12">
        <v>45256</v>
      </c>
      <c r="K693" s="25">
        <v>11002</v>
      </c>
      <c r="L693" s="23">
        <v>502</v>
      </c>
      <c r="M693" s="30" t="s">
        <v>1052</v>
      </c>
      <c r="N693" s="30" t="s">
        <v>1055</v>
      </c>
    </row>
    <row r="694" spans="1:14" customFormat="1" x14ac:dyDescent="0.25">
      <c r="A694" s="7">
        <v>693</v>
      </c>
      <c r="B694" s="11" t="s">
        <v>709</v>
      </c>
      <c r="C694" s="7" t="s">
        <v>1039</v>
      </c>
      <c r="D694" s="7">
        <v>693</v>
      </c>
      <c r="E694" s="9">
        <v>693</v>
      </c>
      <c r="F694" s="7">
        <v>693</v>
      </c>
      <c r="G694" s="11" t="s">
        <v>1020</v>
      </c>
      <c r="H694" s="20">
        <v>358285</v>
      </c>
      <c r="I694" s="12">
        <v>44195</v>
      </c>
      <c r="J694" s="12">
        <v>44772</v>
      </c>
      <c r="K694" s="25">
        <v>126706</v>
      </c>
      <c r="L694" s="23">
        <v>231579</v>
      </c>
      <c r="M694" s="30" t="s">
        <v>1052</v>
      </c>
      <c r="N694" s="30" t="s">
        <v>1055</v>
      </c>
    </row>
    <row r="695" spans="1:14" customFormat="1" x14ac:dyDescent="0.25">
      <c r="A695" s="7">
        <v>694</v>
      </c>
      <c r="B695" s="11" t="s">
        <v>710</v>
      </c>
      <c r="C695" s="7" t="s">
        <v>1039</v>
      </c>
      <c r="D695" s="7">
        <v>694</v>
      </c>
      <c r="E695" s="7">
        <v>694</v>
      </c>
      <c r="F695" s="7">
        <v>694</v>
      </c>
      <c r="G695" s="11" t="s">
        <v>1016</v>
      </c>
      <c r="H695" s="20">
        <v>15779</v>
      </c>
      <c r="I695" s="12">
        <v>44197</v>
      </c>
      <c r="J695" s="12">
        <v>44835</v>
      </c>
      <c r="K695" s="25">
        <v>5481</v>
      </c>
      <c r="L695" s="23">
        <v>10298</v>
      </c>
      <c r="M695" s="30" t="s">
        <v>1052</v>
      </c>
      <c r="N695" s="30" t="s">
        <v>1055</v>
      </c>
    </row>
    <row r="696" spans="1:14" customFormat="1" x14ac:dyDescent="0.25">
      <c r="A696" s="7">
        <v>695</v>
      </c>
      <c r="B696" s="11" t="s">
        <v>711</v>
      </c>
      <c r="C696" s="7" t="s">
        <v>1039</v>
      </c>
      <c r="D696" s="7">
        <v>695</v>
      </c>
      <c r="E696" s="7">
        <v>695</v>
      </c>
      <c r="F696" s="7">
        <v>695</v>
      </c>
      <c r="G696" s="11" t="s">
        <v>1026</v>
      </c>
      <c r="H696" s="20">
        <v>3562193</v>
      </c>
      <c r="I696" s="12">
        <v>43984</v>
      </c>
      <c r="J696" s="12">
        <v>44229</v>
      </c>
      <c r="K696" s="25">
        <v>2867805</v>
      </c>
      <c r="L696" s="23">
        <v>694388</v>
      </c>
      <c r="M696" s="30" t="s">
        <v>1052</v>
      </c>
      <c r="N696" s="30" t="s">
        <v>1055</v>
      </c>
    </row>
    <row r="697" spans="1:14" customFormat="1" x14ac:dyDescent="0.25">
      <c r="A697" s="7">
        <v>696</v>
      </c>
      <c r="B697" s="11" t="s">
        <v>712</v>
      </c>
      <c r="C697" s="7" t="s">
        <v>1039</v>
      </c>
      <c r="D697" s="7">
        <v>696</v>
      </c>
      <c r="E697" s="9">
        <v>696</v>
      </c>
      <c r="F697" s="7">
        <v>696</v>
      </c>
      <c r="G697" s="11" t="s">
        <v>1025</v>
      </c>
      <c r="H697" s="20">
        <v>268973</v>
      </c>
      <c r="I697" s="12">
        <v>43880</v>
      </c>
      <c r="J697" s="12">
        <v>44184</v>
      </c>
      <c r="K697" s="25">
        <v>50222</v>
      </c>
      <c r="L697" s="23">
        <v>218751</v>
      </c>
      <c r="M697" s="30" t="s">
        <v>1052</v>
      </c>
      <c r="N697" s="30" t="s">
        <v>1055</v>
      </c>
    </row>
    <row r="698" spans="1:14" customFormat="1" x14ac:dyDescent="0.25">
      <c r="A698" s="7">
        <v>697</v>
      </c>
      <c r="B698" s="11" t="s">
        <v>713</v>
      </c>
      <c r="C698" s="7" t="s">
        <v>1039</v>
      </c>
      <c r="D698" s="7">
        <v>697</v>
      </c>
      <c r="E698" s="7">
        <v>697</v>
      </c>
      <c r="F698" s="7">
        <v>697</v>
      </c>
      <c r="G698" s="11" t="s">
        <v>1027</v>
      </c>
      <c r="H698" s="20">
        <v>53039</v>
      </c>
      <c r="I698" s="12">
        <v>45091</v>
      </c>
      <c r="J698" s="12">
        <v>45396</v>
      </c>
      <c r="K698" s="25">
        <v>30165</v>
      </c>
      <c r="L698" s="23">
        <v>22874</v>
      </c>
      <c r="M698" s="30" t="s">
        <v>1052</v>
      </c>
      <c r="N698" s="30" t="s">
        <v>1055</v>
      </c>
    </row>
    <row r="699" spans="1:14" customFormat="1" x14ac:dyDescent="0.25">
      <c r="A699" s="7">
        <v>698</v>
      </c>
      <c r="B699" s="11" t="s">
        <v>714</v>
      </c>
      <c r="C699" s="7" t="s">
        <v>1039</v>
      </c>
      <c r="D699" s="7">
        <v>698</v>
      </c>
      <c r="E699" s="7">
        <v>698</v>
      </c>
      <c r="F699" s="7">
        <v>698</v>
      </c>
      <c r="G699" s="11" t="s">
        <v>1025</v>
      </c>
      <c r="H699" s="20">
        <v>173998</v>
      </c>
      <c r="I699" s="12">
        <v>44304</v>
      </c>
      <c r="J699" s="12">
        <v>44944</v>
      </c>
      <c r="K699" s="25">
        <v>97042</v>
      </c>
      <c r="L699" s="23">
        <v>76956</v>
      </c>
      <c r="M699" s="30" t="s">
        <v>1052</v>
      </c>
      <c r="N699" s="30" t="s">
        <v>1055</v>
      </c>
    </row>
    <row r="700" spans="1:14" customFormat="1" x14ac:dyDescent="0.25">
      <c r="A700" s="7">
        <v>699</v>
      </c>
      <c r="B700" s="11" t="s">
        <v>715</v>
      </c>
      <c r="C700" s="7" t="s">
        <v>1039</v>
      </c>
      <c r="D700" s="7">
        <v>699</v>
      </c>
      <c r="E700" s="9">
        <v>699</v>
      </c>
      <c r="F700" s="7">
        <v>699</v>
      </c>
      <c r="G700" s="11" t="s">
        <v>1021</v>
      </c>
      <c r="H700" s="20">
        <v>84693</v>
      </c>
      <c r="I700" s="12">
        <v>44234</v>
      </c>
      <c r="J700" s="12">
        <v>44476</v>
      </c>
      <c r="K700" s="25">
        <v>23875</v>
      </c>
      <c r="L700" s="23">
        <v>60818</v>
      </c>
      <c r="M700" s="30" t="s">
        <v>1052</v>
      </c>
      <c r="N700" s="30" t="s">
        <v>1055</v>
      </c>
    </row>
    <row r="701" spans="1:14" customFormat="1" x14ac:dyDescent="0.25">
      <c r="A701" s="7">
        <v>700</v>
      </c>
      <c r="B701" s="11" t="s">
        <v>716</v>
      </c>
      <c r="C701" s="7" t="s">
        <v>1039</v>
      </c>
      <c r="D701" s="7">
        <v>700</v>
      </c>
      <c r="E701" s="7">
        <v>700</v>
      </c>
      <c r="F701" s="7">
        <v>700</v>
      </c>
      <c r="G701" s="11" t="s">
        <v>1023</v>
      </c>
      <c r="H701" s="20">
        <v>684</v>
      </c>
      <c r="I701" s="12">
        <v>44773</v>
      </c>
      <c r="J701" s="12">
        <v>45199</v>
      </c>
      <c r="K701" s="25">
        <v>609</v>
      </c>
      <c r="L701" s="23">
        <v>75</v>
      </c>
      <c r="M701" s="30" t="s">
        <v>1052</v>
      </c>
      <c r="N701" s="30" t="s">
        <v>1055</v>
      </c>
    </row>
    <row r="702" spans="1:14" customFormat="1" x14ac:dyDescent="0.25">
      <c r="A702" s="7">
        <v>701</v>
      </c>
      <c r="B702" s="11" t="s">
        <v>717</v>
      </c>
      <c r="C702" s="7" t="s">
        <v>1039</v>
      </c>
      <c r="D702" s="7">
        <v>701</v>
      </c>
      <c r="E702" s="7">
        <v>701</v>
      </c>
      <c r="F702" s="7">
        <v>701</v>
      </c>
      <c r="G702" s="11" t="s">
        <v>1023</v>
      </c>
      <c r="H702" s="20">
        <v>762</v>
      </c>
      <c r="I702" s="12">
        <v>44772</v>
      </c>
      <c r="J702" s="12">
        <v>45290</v>
      </c>
      <c r="K702" s="25">
        <v>709</v>
      </c>
      <c r="L702" s="23">
        <v>53</v>
      </c>
      <c r="M702" s="30" t="s">
        <v>1052</v>
      </c>
      <c r="N702" s="30" t="s">
        <v>1055</v>
      </c>
    </row>
    <row r="703" spans="1:14" customFormat="1" x14ac:dyDescent="0.25">
      <c r="A703" s="7">
        <v>702</v>
      </c>
      <c r="B703" s="11" t="s">
        <v>718</v>
      </c>
      <c r="C703" s="7" t="s">
        <v>1039</v>
      </c>
      <c r="D703" s="7">
        <v>702</v>
      </c>
      <c r="E703" s="9">
        <v>702</v>
      </c>
      <c r="F703" s="7">
        <v>702</v>
      </c>
      <c r="G703" s="11" t="s">
        <v>1025</v>
      </c>
      <c r="H703" s="20">
        <v>418748</v>
      </c>
      <c r="I703" s="12">
        <v>45055</v>
      </c>
      <c r="J703" s="12">
        <v>45756</v>
      </c>
      <c r="K703" s="25">
        <v>314908</v>
      </c>
      <c r="L703" s="23">
        <v>103840</v>
      </c>
      <c r="M703" s="30" t="s">
        <v>1052</v>
      </c>
      <c r="N703" s="30" t="s">
        <v>1055</v>
      </c>
    </row>
    <row r="704" spans="1:14" customFormat="1" x14ac:dyDescent="0.25">
      <c r="A704" s="7">
        <v>703</v>
      </c>
      <c r="B704" s="11" t="s">
        <v>719</v>
      </c>
      <c r="C704" s="7" t="s">
        <v>1039</v>
      </c>
      <c r="D704" s="7">
        <v>703</v>
      </c>
      <c r="E704" s="7">
        <v>703</v>
      </c>
      <c r="F704" s="7">
        <v>703</v>
      </c>
      <c r="G704" s="11" t="s">
        <v>1022</v>
      </c>
      <c r="H704" s="20">
        <v>16325</v>
      </c>
      <c r="I704" s="12">
        <v>44713</v>
      </c>
      <c r="J704" s="12">
        <v>44805</v>
      </c>
      <c r="K704" s="25">
        <v>14010</v>
      </c>
      <c r="L704" s="23">
        <v>2315</v>
      </c>
      <c r="M704" s="30" t="s">
        <v>1052</v>
      </c>
      <c r="N704" s="30" t="s">
        <v>1055</v>
      </c>
    </row>
    <row r="705" spans="1:14" customFormat="1" x14ac:dyDescent="0.25">
      <c r="A705" s="7">
        <v>704</v>
      </c>
      <c r="B705" s="11" t="s">
        <v>720</v>
      </c>
      <c r="C705" s="7" t="s">
        <v>1039</v>
      </c>
      <c r="D705" s="7">
        <v>704</v>
      </c>
      <c r="E705" s="7">
        <v>704</v>
      </c>
      <c r="F705" s="7">
        <v>704</v>
      </c>
      <c r="G705" s="11" t="s">
        <v>1025</v>
      </c>
      <c r="H705" s="20">
        <v>474674</v>
      </c>
      <c r="I705" s="12">
        <v>45216</v>
      </c>
      <c r="J705" s="12">
        <v>45368</v>
      </c>
      <c r="K705" s="25">
        <v>164506</v>
      </c>
      <c r="L705" s="23">
        <v>310168</v>
      </c>
      <c r="M705" s="30" t="s">
        <v>1052</v>
      </c>
      <c r="N705" s="30" t="s">
        <v>1055</v>
      </c>
    </row>
    <row r="706" spans="1:14" customFormat="1" x14ac:dyDescent="0.25">
      <c r="A706" s="7">
        <v>705</v>
      </c>
      <c r="B706" s="11" t="s">
        <v>721</v>
      </c>
      <c r="C706" s="7" t="s">
        <v>1039</v>
      </c>
      <c r="D706" s="7">
        <v>705</v>
      </c>
      <c r="E706" s="9">
        <v>705</v>
      </c>
      <c r="F706" s="7">
        <v>705</v>
      </c>
      <c r="G706" s="11" t="s">
        <v>1022</v>
      </c>
      <c r="H706" s="20">
        <v>33036</v>
      </c>
      <c r="I706" s="12">
        <v>45210</v>
      </c>
      <c r="J706" s="12">
        <v>45302</v>
      </c>
      <c r="K706" s="25">
        <v>10153</v>
      </c>
      <c r="L706" s="23">
        <v>22883</v>
      </c>
      <c r="M706" s="30" t="s">
        <v>1052</v>
      </c>
      <c r="N706" s="30" t="s">
        <v>1055</v>
      </c>
    </row>
    <row r="707" spans="1:14" customFormat="1" x14ac:dyDescent="0.25">
      <c r="A707" s="7">
        <v>706</v>
      </c>
      <c r="B707" s="11" t="s">
        <v>722</v>
      </c>
      <c r="C707" s="7" t="s">
        <v>1039</v>
      </c>
      <c r="D707" s="7">
        <v>706</v>
      </c>
      <c r="E707" s="7">
        <v>706</v>
      </c>
      <c r="F707" s="7">
        <v>706</v>
      </c>
      <c r="G707" s="11" t="s">
        <v>1026</v>
      </c>
      <c r="H707" s="20">
        <v>1961749</v>
      </c>
      <c r="I707" s="12">
        <v>43869</v>
      </c>
      <c r="J707" s="12">
        <v>44143</v>
      </c>
      <c r="K707" s="25">
        <v>554262</v>
      </c>
      <c r="L707" s="23">
        <v>1407487</v>
      </c>
      <c r="M707" s="30" t="s">
        <v>1052</v>
      </c>
      <c r="N707" s="30" t="s">
        <v>1055</v>
      </c>
    </row>
    <row r="708" spans="1:14" customFormat="1" x14ac:dyDescent="0.25">
      <c r="A708" s="7">
        <v>707</v>
      </c>
      <c r="B708" s="11" t="s">
        <v>723</v>
      </c>
      <c r="C708" s="7" t="s">
        <v>1039</v>
      </c>
      <c r="D708" s="7">
        <v>707</v>
      </c>
      <c r="E708" s="7">
        <v>707</v>
      </c>
      <c r="F708" s="7">
        <v>707</v>
      </c>
      <c r="G708" s="11" t="s">
        <v>1027</v>
      </c>
      <c r="H708" s="20">
        <v>34265</v>
      </c>
      <c r="I708" s="12">
        <v>44130</v>
      </c>
      <c r="J708" s="12">
        <v>44707</v>
      </c>
      <c r="K708" s="25">
        <v>21481</v>
      </c>
      <c r="L708" s="23">
        <v>12784</v>
      </c>
      <c r="M708" s="30" t="s">
        <v>1052</v>
      </c>
      <c r="N708" s="30" t="s">
        <v>1055</v>
      </c>
    </row>
    <row r="709" spans="1:14" customFormat="1" x14ac:dyDescent="0.25">
      <c r="A709" s="7">
        <v>708</v>
      </c>
      <c r="B709" s="11" t="s">
        <v>724</v>
      </c>
      <c r="C709" s="7" t="s">
        <v>1039</v>
      </c>
      <c r="D709" s="7">
        <v>708</v>
      </c>
      <c r="E709" s="9">
        <v>708</v>
      </c>
      <c r="F709" s="7">
        <v>708</v>
      </c>
      <c r="G709" s="11" t="s">
        <v>1016</v>
      </c>
      <c r="H709" s="20">
        <v>23409</v>
      </c>
      <c r="I709" s="12">
        <v>45684</v>
      </c>
      <c r="J709" s="12">
        <v>46230</v>
      </c>
      <c r="K709" s="25">
        <v>1384</v>
      </c>
      <c r="L709" s="23">
        <v>22025</v>
      </c>
      <c r="M709" s="30" t="s">
        <v>1052</v>
      </c>
      <c r="N709" s="30" t="s">
        <v>1055</v>
      </c>
    </row>
    <row r="710" spans="1:14" customFormat="1" x14ac:dyDescent="0.25">
      <c r="A710" s="7">
        <v>709</v>
      </c>
      <c r="B710" s="11" t="s">
        <v>725</v>
      </c>
      <c r="C710" s="7" t="s">
        <v>1039</v>
      </c>
      <c r="D710" s="7">
        <v>709</v>
      </c>
      <c r="E710" s="7">
        <v>709</v>
      </c>
      <c r="F710" s="7">
        <v>709</v>
      </c>
      <c r="G710" s="11" t="s">
        <v>1016</v>
      </c>
      <c r="H710" s="20">
        <v>30910</v>
      </c>
      <c r="I710" s="12">
        <v>45216</v>
      </c>
      <c r="J710" s="12">
        <v>45794</v>
      </c>
      <c r="K710" s="25">
        <v>25300</v>
      </c>
      <c r="L710" s="23">
        <v>5610</v>
      </c>
      <c r="M710" s="30" t="s">
        <v>1052</v>
      </c>
      <c r="N710" s="30" t="s">
        <v>1055</v>
      </c>
    </row>
    <row r="711" spans="1:14" customFormat="1" x14ac:dyDescent="0.25">
      <c r="A711" s="7">
        <v>710</v>
      </c>
      <c r="B711" s="11" t="s">
        <v>726</v>
      </c>
      <c r="C711" s="7" t="s">
        <v>1039</v>
      </c>
      <c r="D711" s="7">
        <v>710</v>
      </c>
      <c r="E711" s="7">
        <v>710</v>
      </c>
      <c r="F711" s="7">
        <v>710</v>
      </c>
      <c r="G711" s="11" t="s">
        <v>1023</v>
      </c>
      <c r="H711" s="20">
        <v>799</v>
      </c>
      <c r="I711" s="12">
        <v>45597</v>
      </c>
      <c r="J711" s="12">
        <v>46023</v>
      </c>
      <c r="K711" s="25">
        <v>517</v>
      </c>
      <c r="L711" s="23">
        <v>282</v>
      </c>
      <c r="M711" s="30" t="s">
        <v>1052</v>
      </c>
      <c r="N711" s="30" t="s">
        <v>1055</v>
      </c>
    </row>
    <row r="712" spans="1:14" customFormat="1" x14ac:dyDescent="0.25">
      <c r="A712" s="7">
        <v>711</v>
      </c>
      <c r="B712" s="11" t="s">
        <v>727</v>
      </c>
      <c r="C712" s="7" t="s">
        <v>1039</v>
      </c>
      <c r="D712" s="7">
        <v>711</v>
      </c>
      <c r="E712" s="9">
        <v>711</v>
      </c>
      <c r="F712" s="7">
        <v>711</v>
      </c>
      <c r="G712" s="11" t="s">
        <v>1023</v>
      </c>
      <c r="H712" s="20">
        <v>1212</v>
      </c>
      <c r="I712" s="12">
        <v>43866</v>
      </c>
      <c r="J712" s="12">
        <v>44260</v>
      </c>
      <c r="K712" s="25">
        <v>1186</v>
      </c>
      <c r="L712" s="23">
        <v>26</v>
      </c>
      <c r="M712" s="30" t="s">
        <v>1052</v>
      </c>
      <c r="N712" s="30" t="s">
        <v>1055</v>
      </c>
    </row>
    <row r="713" spans="1:14" customFormat="1" x14ac:dyDescent="0.25">
      <c r="A713" s="7">
        <v>712</v>
      </c>
      <c r="B713" s="11" t="s">
        <v>728</v>
      </c>
      <c r="C713" s="7" t="s">
        <v>1039</v>
      </c>
      <c r="D713" s="7">
        <v>712</v>
      </c>
      <c r="E713" s="7">
        <v>712</v>
      </c>
      <c r="F713" s="7">
        <v>712</v>
      </c>
      <c r="G713" s="11" t="s">
        <v>1020</v>
      </c>
      <c r="H713" s="20">
        <v>217341</v>
      </c>
      <c r="I713" s="12">
        <v>45421</v>
      </c>
      <c r="J713" s="12">
        <v>45452</v>
      </c>
      <c r="K713" s="25">
        <v>173165</v>
      </c>
      <c r="L713" s="23">
        <v>44176</v>
      </c>
      <c r="M713" s="30" t="s">
        <v>1052</v>
      </c>
      <c r="N713" s="30" t="s">
        <v>1055</v>
      </c>
    </row>
    <row r="714" spans="1:14" customFormat="1" x14ac:dyDescent="0.25">
      <c r="A714" s="7">
        <v>713</v>
      </c>
      <c r="B714" s="11" t="s">
        <v>729</v>
      </c>
      <c r="C714" s="7" t="s">
        <v>1039</v>
      </c>
      <c r="D714" s="7">
        <v>713</v>
      </c>
      <c r="E714" s="7">
        <v>713</v>
      </c>
      <c r="F714" s="7">
        <v>713</v>
      </c>
      <c r="G714" s="11" t="s">
        <v>1022</v>
      </c>
      <c r="H714" s="20">
        <v>30313</v>
      </c>
      <c r="I714" s="12">
        <v>45379</v>
      </c>
      <c r="J714" s="12">
        <v>45928</v>
      </c>
      <c r="K714" s="25">
        <v>29850</v>
      </c>
      <c r="L714" s="23">
        <v>463</v>
      </c>
      <c r="M714" s="30" t="s">
        <v>1052</v>
      </c>
      <c r="N714" s="30" t="s">
        <v>1055</v>
      </c>
    </row>
    <row r="715" spans="1:14" customFormat="1" x14ac:dyDescent="0.25">
      <c r="A715" s="7">
        <v>714</v>
      </c>
      <c r="B715" s="11" t="s">
        <v>730</v>
      </c>
      <c r="C715" s="7" t="s">
        <v>1039</v>
      </c>
      <c r="D715" s="7">
        <v>714</v>
      </c>
      <c r="E715" s="9">
        <v>714</v>
      </c>
      <c r="F715" s="7">
        <v>714</v>
      </c>
      <c r="G715" s="11" t="s">
        <v>1020</v>
      </c>
      <c r="H715" s="20">
        <v>375606</v>
      </c>
      <c r="I715" s="12">
        <v>45049</v>
      </c>
      <c r="J715" s="12">
        <v>45294</v>
      </c>
      <c r="K715" s="25">
        <v>211215</v>
      </c>
      <c r="L715" s="23">
        <v>164391</v>
      </c>
      <c r="M715" s="30" t="s">
        <v>1052</v>
      </c>
      <c r="N715" s="30" t="s">
        <v>1055</v>
      </c>
    </row>
    <row r="716" spans="1:14" customFormat="1" x14ac:dyDescent="0.25">
      <c r="A716" s="7">
        <v>715</v>
      </c>
      <c r="B716" s="11" t="s">
        <v>731</v>
      </c>
      <c r="C716" s="7" t="s">
        <v>1039</v>
      </c>
      <c r="D716" s="7">
        <v>715</v>
      </c>
      <c r="E716" s="7">
        <v>715</v>
      </c>
      <c r="F716" s="7">
        <v>715</v>
      </c>
      <c r="G716" s="11" t="s">
        <v>1026</v>
      </c>
      <c r="H716" s="20">
        <v>4551078</v>
      </c>
      <c r="I716" s="12">
        <v>45636</v>
      </c>
      <c r="J716" s="12">
        <v>46091</v>
      </c>
      <c r="K716" s="25">
        <v>1563922</v>
      </c>
      <c r="L716" s="23">
        <v>2987156</v>
      </c>
      <c r="M716" s="30" t="s">
        <v>1052</v>
      </c>
      <c r="N716" s="30" t="s">
        <v>1055</v>
      </c>
    </row>
    <row r="717" spans="1:14" customFormat="1" x14ac:dyDescent="0.25">
      <c r="A717" s="7">
        <v>716</v>
      </c>
      <c r="B717" s="11" t="s">
        <v>732</v>
      </c>
      <c r="C717" s="7" t="s">
        <v>1039</v>
      </c>
      <c r="D717" s="7">
        <v>716</v>
      </c>
      <c r="E717" s="7">
        <v>716</v>
      </c>
      <c r="F717" s="7">
        <v>716</v>
      </c>
      <c r="G717" s="11" t="s">
        <v>1021</v>
      </c>
      <c r="H717" s="20">
        <v>82449</v>
      </c>
      <c r="I717" s="12">
        <v>44501</v>
      </c>
      <c r="J717" s="12">
        <v>45231</v>
      </c>
      <c r="K717" s="25">
        <v>51951</v>
      </c>
      <c r="L717" s="23">
        <v>30498</v>
      </c>
      <c r="M717" s="30" t="s">
        <v>1052</v>
      </c>
      <c r="N717" s="30" t="s">
        <v>1055</v>
      </c>
    </row>
    <row r="718" spans="1:14" customFormat="1" x14ac:dyDescent="0.25">
      <c r="A718" s="7">
        <v>717</v>
      </c>
      <c r="B718" s="11" t="s">
        <v>733</v>
      </c>
      <c r="C718" s="7" t="s">
        <v>1039</v>
      </c>
      <c r="D718" s="7">
        <v>717</v>
      </c>
      <c r="E718" s="9">
        <v>717</v>
      </c>
      <c r="F718" s="7">
        <v>717</v>
      </c>
      <c r="G718" s="11" t="s">
        <v>1023</v>
      </c>
      <c r="H718" s="20">
        <v>963</v>
      </c>
      <c r="I718" s="12">
        <v>45532</v>
      </c>
      <c r="J718" s="12">
        <v>46109</v>
      </c>
      <c r="K718" s="25">
        <v>737</v>
      </c>
      <c r="L718" s="23">
        <v>226</v>
      </c>
      <c r="M718" s="30" t="s">
        <v>1052</v>
      </c>
      <c r="N718" s="30" t="s">
        <v>1055</v>
      </c>
    </row>
    <row r="719" spans="1:14" customFormat="1" x14ac:dyDescent="0.25">
      <c r="A719" s="7">
        <v>718</v>
      </c>
      <c r="B719" s="11" t="s">
        <v>734</v>
      </c>
      <c r="C719" s="7" t="s">
        <v>1039</v>
      </c>
      <c r="D719" s="7">
        <v>718</v>
      </c>
      <c r="E719" s="7">
        <v>718</v>
      </c>
      <c r="F719" s="7">
        <v>718</v>
      </c>
      <c r="G719" s="11" t="s">
        <v>1025</v>
      </c>
      <c r="H719" s="20">
        <v>378314</v>
      </c>
      <c r="I719" s="12">
        <v>44539</v>
      </c>
      <c r="J719" s="12">
        <v>45269</v>
      </c>
      <c r="K719" s="25">
        <v>113398</v>
      </c>
      <c r="L719" s="23">
        <v>264916</v>
      </c>
      <c r="M719" s="30" t="s">
        <v>1052</v>
      </c>
      <c r="N719" s="30" t="s">
        <v>1055</v>
      </c>
    </row>
    <row r="720" spans="1:14" customFormat="1" x14ac:dyDescent="0.25">
      <c r="A720" s="7">
        <v>719</v>
      </c>
      <c r="B720" s="11" t="s">
        <v>735</v>
      </c>
      <c r="C720" s="7" t="s">
        <v>1039</v>
      </c>
      <c r="D720" s="7">
        <v>719</v>
      </c>
      <c r="E720" s="7">
        <v>719</v>
      </c>
      <c r="F720" s="7">
        <v>719</v>
      </c>
      <c r="G720" s="11" t="s">
        <v>1027</v>
      </c>
      <c r="H720" s="20">
        <v>29982</v>
      </c>
      <c r="I720" s="12">
        <v>45360</v>
      </c>
      <c r="J720" s="12">
        <v>45452</v>
      </c>
      <c r="K720" s="25">
        <v>5625</v>
      </c>
      <c r="L720" s="23">
        <v>24357</v>
      </c>
      <c r="M720" s="30" t="s">
        <v>1052</v>
      </c>
      <c r="N720" s="30" t="s">
        <v>1055</v>
      </c>
    </row>
    <row r="721" spans="1:14" customFormat="1" x14ac:dyDescent="0.25">
      <c r="A721" s="7">
        <v>720</v>
      </c>
      <c r="B721" s="11" t="s">
        <v>736</v>
      </c>
      <c r="C721" s="7" t="s">
        <v>1039</v>
      </c>
      <c r="D721" s="7">
        <v>720</v>
      </c>
      <c r="E721" s="9">
        <v>720</v>
      </c>
      <c r="F721" s="7">
        <v>720</v>
      </c>
      <c r="G721" s="11" t="s">
        <v>1016</v>
      </c>
      <c r="H721" s="20">
        <v>20365</v>
      </c>
      <c r="I721" s="12">
        <v>44082</v>
      </c>
      <c r="J721" s="12">
        <v>44812</v>
      </c>
      <c r="K721" s="25">
        <v>9242</v>
      </c>
      <c r="L721" s="23">
        <v>11123</v>
      </c>
      <c r="M721" s="30" t="s">
        <v>1052</v>
      </c>
      <c r="N721" s="30" t="s">
        <v>1055</v>
      </c>
    </row>
    <row r="722" spans="1:14" customFormat="1" x14ac:dyDescent="0.25">
      <c r="A722" s="7">
        <v>721</v>
      </c>
      <c r="B722" s="11" t="s">
        <v>737</v>
      </c>
      <c r="C722" s="7" t="s">
        <v>1039</v>
      </c>
      <c r="D722" s="7">
        <v>721</v>
      </c>
      <c r="E722" s="7">
        <v>721</v>
      </c>
      <c r="F722" s="7">
        <v>721</v>
      </c>
      <c r="G722" s="11" t="s">
        <v>1023</v>
      </c>
      <c r="H722" s="20">
        <v>1370</v>
      </c>
      <c r="I722" s="12">
        <v>44252</v>
      </c>
      <c r="J722" s="12">
        <v>44798</v>
      </c>
      <c r="K722" s="25">
        <v>291</v>
      </c>
      <c r="L722" s="23">
        <v>1079</v>
      </c>
      <c r="M722" s="30" t="s">
        <v>1052</v>
      </c>
      <c r="N722" s="30" t="s">
        <v>1055</v>
      </c>
    </row>
    <row r="723" spans="1:14" customFormat="1" x14ac:dyDescent="0.25">
      <c r="A723" s="7">
        <v>722</v>
      </c>
      <c r="B723" s="11" t="s">
        <v>738</v>
      </c>
      <c r="C723" s="7" t="s">
        <v>1039</v>
      </c>
      <c r="D723" s="7">
        <v>722</v>
      </c>
      <c r="E723" s="7">
        <v>722</v>
      </c>
      <c r="F723" s="7">
        <v>722</v>
      </c>
      <c r="G723" s="11" t="s">
        <v>1026</v>
      </c>
      <c r="H723" s="20">
        <v>773585</v>
      </c>
      <c r="I723" s="12">
        <v>44620</v>
      </c>
      <c r="J723" s="12">
        <v>45288</v>
      </c>
      <c r="K723" s="25">
        <v>216555</v>
      </c>
      <c r="L723" s="23">
        <v>557030</v>
      </c>
      <c r="M723" s="30" t="s">
        <v>1052</v>
      </c>
      <c r="N723" s="30" t="s">
        <v>1055</v>
      </c>
    </row>
    <row r="724" spans="1:14" customFormat="1" x14ac:dyDescent="0.25">
      <c r="A724" s="7">
        <v>723</v>
      </c>
      <c r="B724" s="11" t="s">
        <v>739</v>
      </c>
      <c r="C724" s="7" t="s">
        <v>1039</v>
      </c>
      <c r="D724" s="7">
        <v>723</v>
      </c>
      <c r="E724" s="9">
        <v>723</v>
      </c>
      <c r="F724" s="7">
        <v>723</v>
      </c>
      <c r="G724" s="11" t="s">
        <v>1016</v>
      </c>
      <c r="H724" s="20">
        <v>15671</v>
      </c>
      <c r="I724" s="12">
        <v>44157</v>
      </c>
      <c r="J724" s="12">
        <v>44338</v>
      </c>
      <c r="K724" s="25">
        <v>542</v>
      </c>
      <c r="L724" s="23">
        <v>15129</v>
      </c>
      <c r="M724" s="30" t="s">
        <v>1052</v>
      </c>
      <c r="N724" s="30" t="s">
        <v>1055</v>
      </c>
    </row>
    <row r="725" spans="1:14" customFormat="1" x14ac:dyDescent="0.25">
      <c r="A725" s="7">
        <v>724</v>
      </c>
      <c r="B725" s="11" t="s">
        <v>740</v>
      </c>
      <c r="C725" s="7" t="s">
        <v>1039</v>
      </c>
      <c r="D725" s="7">
        <v>724</v>
      </c>
      <c r="E725" s="7">
        <v>724</v>
      </c>
      <c r="F725" s="7">
        <v>724</v>
      </c>
      <c r="G725" s="11" t="s">
        <v>1020</v>
      </c>
      <c r="H725" s="20">
        <v>139981</v>
      </c>
      <c r="I725" s="12">
        <v>44854</v>
      </c>
      <c r="J725" s="12">
        <v>45066</v>
      </c>
      <c r="K725" s="25">
        <v>47883</v>
      </c>
      <c r="L725" s="23">
        <v>92098</v>
      </c>
      <c r="M725" s="30" t="s">
        <v>1052</v>
      </c>
      <c r="N725" s="30" t="s">
        <v>1055</v>
      </c>
    </row>
    <row r="726" spans="1:14" customFormat="1" x14ac:dyDescent="0.25">
      <c r="A726" s="7">
        <v>725</v>
      </c>
      <c r="B726" s="11" t="s">
        <v>741</v>
      </c>
      <c r="C726" s="7" t="s">
        <v>1039</v>
      </c>
      <c r="D726" s="7">
        <v>725</v>
      </c>
      <c r="E726" s="7">
        <v>725</v>
      </c>
      <c r="F726" s="7">
        <v>725</v>
      </c>
      <c r="G726" s="11" t="s">
        <v>1021</v>
      </c>
      <c r="H726" s="20">
        <v>5001</v>
      </c>
      <c r="I726" s="12">
        <v>45333</v>
      </c>
      <c r="J726" s="12">
        <v>46064</v>
      </c>
      <c r="K726" s="25">
        <v>26</v>
      </c>
      <c r="L726" s="23">
        <v>4975</v>
      </c>
      <c r="M726" s="30" t="s">
        <v>1052</v>
      </c>
      <c r="N726" s="30" t="s">
        <v>1055</v>
      </c>
    </row>
    <row r="727" spans="1:14" customFormat="1" x14ac:dyDescent="0.25">
      <c r="A727" s="7">
        <v>726</v>
      </c>
      <c r="B727" s="11" t="s">
        <v>742</v>
      </c>
      <c r="C727" s="7" t="s">
        <v>1039</v>
      </c>
      <c r="D727" s="7">
        <v>726</v>
      </c>
      <c r="E727" s="9">
        <v>726</v>
      </c>
      <c r="F727" s="7">
        <v>726</v>
      </c>
      <c r="G727" s="11" t="s">
        <v>1026</v>
      </c>
      <c r="H727" s="20">
        <v>3179064</v>
      </c>
      <c r="I727" s="12">
        <v>43996</v>
      </c>
      <c r="J727" s="12">
        <v>44514</v>
      </c>
      <c r="K727" s="25">
        <v>3149290</v>
      </c>
      <c r="L727" s="23">
        <v>29774</v>
      </c>
      <c r="M727" s="30" t="s">
        <v>1052</v>
      </c>
      <c r="N727" s="30" t="s">
        <v>1055</v>
      </c>
    </row>
    <row r="728" spans="1:14" customFormat="1" x14ac:dyDescent="0.25">
      <c r="A728" s="7">
        <v>727</v>
      </c>
      <c r="B728" s="11" t="s">
        <v>743</v>
      </c>
      <c r="C728" s="7" t="s">
        <v>1039</v>
      </c>
      <c r="D728" s="7">
        <v>727</v>
      </c>
      <c r="E728" s="7">
        <v>727</v>
      </c>
      <c r="F728" s="7">
        <v>727</v>
      </c>
      <c r="G728" s="11" t="s">
        <v>1016</v>
      </c>
      <c r="H728" s="20">
        <v>49896</v>
      </c>
      <c r="I728" s="12">
        <v>45350</v>
      </c>
      <c r="J728" s="12">
        <v>45440</v>
      </c>
      <c r="K728" s="25">
        <v>45603</v>
      </c>
      <c r="L728" s="23">
        <v>4293</v>
      </c>
      <c r="M728" s="30" t="s">
        <v>1052</v>
      </c>
      <c r="N728" s="30" t="s">
        <v>1055</v>
      </c>
    </row>
    <row r="729" spans="1:14" customFormat="1" x14ac:dyDescent="0.25">
      <c r="A729" s="7">
        <v>728</v>
      </c>
      <c r="B729" s="11" t="s">
        <v>744</v>
      </c>
      <c r="C729" s="7" t="s">
        <v>1039</v>
      </c>
      <c r="D729" s="7">
        <v>728</v>
      </c>
      <c r="E729" s="7">
        <v>728</v>
      </c>
      <c r="F729" s="7">
        <v>728</v>
      </c>
      <c r="G729" s="11" t="s">
        <v>1024</v>
      </c>
      <c r="H729" s="20">
        <v>512353</v>
      </c>
      <c r="I729" s="12">
        <v>44715</v>
      </c>
      <c r="J729" s="12">
        <v>45080</v>
      </c>
      <c r="K729" s="25">
        <v>151851</v>
      </c>
      <c r="L729" s="23">
        <v>360502</v>
      </c>
      <c r="M729" s="30" t="s">
        <v>1052</v>
      </c>
      <c r="N729" s="30" t="s">
        <v>1055</v>
      </c>
    </row>
    <row r="730" spans="1:14" customFormat="1" x14ac:dyDescent="0.25">
      <c r="A730" s="7">
        <v>729</v>
      </c>
      <c r="B730" s="11" t="s">
        <v>745</v>
      </c>
      <c r="C730" s="7" t="s">
        <v>1039</v>
      </c>
      <c r="D730" s="7">
        <v>729</v>
      </c>
      <c r="E730" s="9">
        <v>729</v>
      </c>
      <c r="F730" s="7">
        <v>729</v>
      </c>
      <c r="G730" s="11" t="s">
        <v>1022</v>
      </c>
      <c r="H730" s="20">
        <v>8484</v>
      </c>
      <c r="I730" s="12">
        <v>45403</v>
      </c>
      <c r="J730" s="12">
        <v>46074</v>
      </c>
      <c r="K730" s="25">
        <v>1231</v>
      </c>
      <c r="L730" s="23">
        <v>7253</v>
      </c>
      <c r="M730" s="30" t="s">
        <v>1052</v>
      </c>
      <c r="N730" s="30" t="s">
        <v>1055</v>
      </c>
    </row>
    <row r="731" spans="1:14" customFormat="1" x14ac:dyDescent="0.25">
      <c r="A731" s="7">
        <v>730</v>
      </c>
      <c r="B731" s="11" t="s">
        <v>746</v>
      </c>
      <c r="C731" s="7" t="s">
        <v>1039</v>
      </c>
      <c r="D731" s="7">
        <v>730</v>
      </c>
      <c r="E731" s="7">
        <v>730</v>
      </c>
      <c r="F731" s="7">
        <v>730</v>
      </c>
      <c r="G731" s="11" t="s">
        <v>1024</v>
      </c>
      <c r="H731" s="20">
        <v>330999</v>
      </c>
      <c r="I731" s="12">
        <v>44461</v>
      </c>
      <c r="J731" s="12">
        <v>44522</v>
      </c>
      <c r="K731" s="25">
        <v>34572</v>
      </c>
      <c r="L731" s="23">
        <v>296427</v>
      </c>
      <c r="M731" s="30" t="s">
        <v>1052</v>
      </c>
      <c r="N731" s="30" t="s">
        <v>1055</v>
      </c>
    </row>
    <row r="732" spans="1:14" customFormat="1" x14ac:dyDescent="0.25">
      <c r="A732" s="7">
        <v>731</v>
      </c>
      <c r="B732" s="11" t="s">
        <v>747</v>
      </c>
      <c r="C732" s="7" t="s">
        <v>1039</v>
      </c>
      <c r="D732" s="7">
        <v>731</v>
      </c>
      <c r="E732" s="7">
        <v>731</v>
      </c>
      <c r="F732" s="7">
        <v>731</v>
      </c>
      <c r="G732" s="11" t="s">
        <v>1016</v>
      </c>
      <c r="H732" s="20">
        <v>4458</v>
      </c>
      <c r="I732" s="12">
        <v>44536</v>
      </c>
      <c r="J732" s="12">
        <v>45236</v>
      </c>
      <c r="K732" s="25">
        <v>2789</v>
      </c>
      <c r="L732" s="23">
        <v>1669</v>
      </c>
      <c r="M732" s="30" t="s">
        <v>1052</v>
      </c>
      <c r="N732" s="30" t="s">
        <v>1055</v>
      </c>
    </row>
    <row r="733" spans="1:14" customFormat="1" x14ac:dyDescent="0.25">
      <c r="A733" s="7">
        <v>732</v>
      </c>
      <c r="B733" s="11" t="s">
        <v>748</v>
      </c>
      <c r="C733" s="7" t="s">
        <v>1039</v>
      </c>
      <c r="D733" s="7">
        <v>732</v>
      </c>
      <c r="E733" s="9">
        <v>732</v>
      </c>
      <c r="F733" s="7">
        <v>732</v>
      </c>
      <c r="G733" s="11" t="s">
        <v>1016</v>
      </c>
      <c r="H733" s="20">
        <v>11893</v>
      </c>
      <c r="I733" s="12">
        <v>44501</v>
      </c>
      <c r="J733" s="12">
        <v>44621</v>
      </c>
      <c r="K733" s="25">
        <v>7172</v>
      </c>
      <c r="L733" s="23">
        <v>4721</v>
      </c>
      <c r="M733" s="30" t="s">
        <v>1052</v>
      </c>
      <c r="N733" s="30" t="s">
        <v>1055</v>
      </c>
    </row>
    <row r="734" spans="1:14" customFormat="1" x14ac:dyDescent="0.25">
      <c r="A734" s="7">
        <v>733</v>
      </c>
      <c r="B734" s="11" t="s">
        <v>749</v>
      </c>
      <c r="C734" s="7" t="s">
        <v>1039</v>
      </c>
      <c r="D734" s="7">
        <v>733</v>
      </c>
      <c r="E734" s="7">
        <v>733</v>
      </c>
      <c r="F734" s="7">
        <v>733</v>
      </c>
      <c r="G734" s="11" t="s">
        <v>1021</v>
      </c>
      <c r="H734" s="20">
        <v>92516</v>
      </c>
      <c r="I734" s="12">
        <v>45635</v>
      </c>
      <c r="J734" s="12">
        <v>46031</v>
      </c>
      <c r="K734" s="25">
        <v>18342</v>
      </c>
      <c r="L734" s="23">
        <v>74174</v>
      </c>
      <c r="M734" s="30" t="s">
        <v>1052</v>
      </c>
      <c r="N734" s="30" t="s">
        <v>1055</v>
      </c>
    </row>
    <row r="735" spans="1:14" customFormat="1" x14ac:dyDescent="0.25">
      <c r="A735" s="7">
        <v>734</v>
      </c>
      <c r="B735" s="11" t="s">
        <v>750</v>
      </c>
      <c r="C735" s="7" t="s">
        <v>1039</v>
      </c>
      <c r="D735" s="7">
        <v>734</v>
      </c>
      <c r="E735" s="7">
        <v>734</v>
      </c>
      <c r="F735" s="7">
        <v>734</v>
      </c>
      <c r="G735" s="11" t="s">
        <v>1016</v>
      </c>
      <c r="H735" s="20">
        <v>6601</v>
      </c>
      <c r="I735" s="12">
        <v>45611</v>
      </c>
      <c r="J735" s="12">
        <v>46096</v>
      </c>
      <c r="K735" s="25">
        <v>34</v>
      </c>
      <c r="L735" s="23">
        <v>6567</v>
      </c>
      <c r="M735" s="30" t="s">
        <v>1052</v>
      </c>
      <c r="N735" s="30" t="s">
        <v>1055</v>
      </c>
    </row>
    <row r="736" spans="1:14" customFormat="1" x14ac:dyDescent="0.25">
      <c r="A736" s="7">
        <v>735</v>
      </c>
      <c r="B736" s="11" t="s">
        <v>751</v>
      </c>
      <c r="C736" s="7" t="s">
        <v>1039</v>
      </c>
      <c r="D736" s="7">
        <v>735</v>
      </c>
      <c r="E736" s="9">
        <v>735</v>
      </c>
      <c r="F736" s="7">
        <v>735</v>
      </c>
      <c r="G736" s="11" t="s">
        <v>1020</v>
      </c>
      <c r="H736" s="20">
        <v>462813</v>
      </c>
      <c r="I736" s="12">
        <v>44461</v>
      </c>
      <c r="J736" s="12">
        <v>45007</v>
      </c>
      <c r="K736" s="25">
        <v>178394</v>
      </c>
      <c r="L736" s="23">
        <v>284419</v>
      </c>
      <c r="M736" s="30" t="s">
        <v>1052</v>
      </c>
      <c r="N736" s="30" t="s">
        <v>1055</v>
      </c>
    </row>
    <row r="737" spans="1:14" customFormat="1" x14ac:dyDescent="0.25">
      <c r="A737" s="7">
        <v>736</v>
      </c>
      <c r="B737" s="11" t="s">
        <v>752</v>
      </c>
      <c r="C737" s="7" t="s">
        <v>1039</v>
      </c>
      <c r="D737" s="7">
        <v>736</v>
      </c>
      <c r="E737" s="7">
        <v>736</v>
      </c>
      <c r="F737" s="7">
        <v>736</v>
      </c>
      <c r="G737" s="11" t="s">
        <v>1024</v>
      </c>
      <c r="H737" s="20">
        <v>675983</v>
      </c>
      <c r="I737" s="12">
        <v>44054</v>
      </c>
      <c r="J737" s="12">
        <v>44511</v>
      </c>
      <c r="K737" s="25">
        <v>413396</v>
      </c>
      <c r="L737" s="23">
        <v>262587</v>
      </c>
      <c r="M737" s="30" t="s">
        <v>1052</v>
      </c>
      <c r="N737" s="30" t="s">
        <v>1055</v>
      </c>
    </row>
    <row r="738" spans="1:14" customFormat="1" x14ac:dyDescent="0.25">
      <c r="A738" s="7">
        <v>737</v>
      </c>
      <c r="B738" s="11" t="s">
        <v>753</v>
      </c>
      <c r="C738" s="7" t="s">
        <v>1039</v>
      </c>
      <c r="D738" s="7">
        <v>737</v>
      </c>
      <c r="E738" s="7">
        <v>737</v>
      </c>
      <c r="F738" s="7">
        <v>737</v>
      </c>
      <c r="G738" s="11" t="s">
        <v>1026</v>
      </c>
      <c r="H738" s="20">
        <v>3614953</v>
      </c>
      <c r="I738" s="12">
        <v>45199</v>
      </c>
      <c r="J738" s="12">
        <v>45290</v>
      </c>
      <c r="K738" s="25">
        <v>2122525</v>
      </c>
      <c r="L738" s="23">
        <v>1492428</v>
      </c>
      <c r="M738" s="30" t="s">
        <v>1052</v>
      </c>
      <c r="N738" s="30" t="s">
        <v>1055</v>
      </c>
    </row>
    <row r="739" spans="1:14" customFormat="1" x14ac:dyDescent="0.25">
      <c r="A739" s="7">
        <v>738</v>
      </c>
      <c r="B739" s="11" t="s">
        <v>754</v>
      </c>
      <c r="C739" s="7" t="s">
        <v>1039</v>
      </c>
      <c r="D739" s="7">
        <v>738</v>
      </c>
      <c r="E739" s="9">
        <v>738</v>
      </c>
      <c r="F739" s="7">
        <v>738</v>
      </c>
      <c r="G739" s="11" t="s">
        <v>1016</v>
      </c>
      <c r="H739" s="20">
        <v>39221</v>
      </c>
      <c r="I739" s="12">
        <v>45206</v>
      </c>
      <c r="J739" s="12">
        <v>45937</v>
      </c>
      <c r="K739" s="25">
        <v>28420</v>
      </c>
      <c r="L739" s="23">
        <v>10801</v>
      </c>
      <c r="M739" s="30" t="s">
        <v>1052</v>
      </c>
      <c r="N739" s="30" t="s">
        <v>1055</v>
      </c>
    </row>
    <row r="740" spans="1:14" customFormat="1" x14ac:dyDescent="0.25">
      <c r="A740" s="7">
        <v>739</v>
      </c>
      <c r="B740" s="11" t="s">
        <v>755</v>
      </c>
      <c r="C740" s="7" t="s">
        <v>1039</v>
      </c>
      <c r="D740" s="7">
        <v>739</v>
      </c>
      <c r="E740" s="7">
        <v>739</v>
      </c>
      <c r="F740" s="7">
        <v>739</v>
      </c>
      <c r="G740" s="11" t="s">
        <v>1024</v>
      </c>
      <c r="H740" s="20">
        <v>923910</v>
      </c>
      <c r="I740" s="12">
        <v>44851</v>
      </c>
      <c r="J740" s="12">
        <v>44882</v>
      </c>
      <c r="K740" s="25">
        <v>263823</v>
      </c>
      <c r="L740" s="23">
        <v>660087</v>
      </c>
      <c r="M740" s="30" t="s">
        <v>1052</v>
      </c>
      <c r="N740" s="30" t="s">
        <v>1055</v>
      </c>
    </row>
    <row r="741" spans="1:14" customFormat="1" x14ac:dyDescent="0.25">
      <c r="A741" s="7">
        <v>740</v>
      </c>
      <c r="B741" s="11" t="s">
        <v>756</v>
      </c>
      <c r="C741" s="7" t="s">
        <v>1039</v>
      </c>
      <c r="D741" s="7">
        <v>740</v>
      </c>
      <c r="E741" s="7">
        <v>740</v>
      </c>
      <c r="F741" s="7">
        <v>740</v>
      </c>
      <c r="G741" s="11" t="s">
        <v>1024</v>
      </c>
      <c r="H741" s="20">
        <v>760427</v>
      </c>
      <c r="I741" s="12">
        <v>43919</v>
      </c>
      <c r="J741" s="12">
        <v>44284</v>
      </c>
      <c r="K741" s="25">
        <v>13056</v>
      </c>
      <c r="L741" s="23">
        <v>747371</v>
      </c>
      <c r="M741" s="30" t="s">
        <v>1052</v>
      </c>
      <c r="N741" s="30" t="s">
        <v>1055</v>
      </c>
    </row>
    <row r="742" spans="1:14" customFormat="1" x14ac:dyDescent="0.25">
      <c r="A742" s="7">
        <v>741</v>
      </c>
      <c r="B742" s="11" t="s">
        <v>757</v>
      </c>
      <c r="C742" s="7" t="s">
        <v>1039</v>
      </c>
      <c r="D742" s="7">
        <v>741</v>
      </c>
      <c r="E742" s="9">
        <v>741</v>
      </c>
      <c r="F742" s="7">
        <v>741</v>
      </c>
      <c r="G742" s="11" t="s">
        <v>1025</v>
      </c>
      <c r="H742" s="20">
        <v>283370</v>
      </c>
      <c r="I742" s="12">
        <v>44022</v>
      </c>
      <c r="J742" s="12">
        <v>44053</v>
      </c>
      <c r="K742" s="25">
        <v>189182</v>
      </c>
      <c r="L742" s="23">
        <v>94188</v>
      </c>
      <c r="M742" s="30" t="s">
        <v>1052</v>
      </c>
      <c r="N742" s="30" t="s">
        <v>1055</v>
      </c>
    </row>
    <row r="743" spans="1:14" customFormat="1" x14ac:dyDescent="0.25">
      <c r="A743" s="7">
        <v>742</v>
      </c>
      <c r="B743" s="11" t="s">
        <v>758</v>
      </c>
      <c r="C743" s="7" t="s">
        <v>1039</v>
      </c>
      <c r="D743" s="7">
        <v>742</v>
      </c>
      <c r="E743" s="7">
        <v>742</v>
      </c>
      <c r="F743" s="7">
        <v>742</v>
      </c>
      <c r="G743" s="11" t="s">
        <v>1016</v>
      </c>
      <c r="H743" s="20">
        <v>35634</v>
      </c>
      <c r="I743" s="12">
        <v>44670</v>
      </c>
      <c r="J743" s="12">
        <v>44761</v>
      </c>
      <c r="K743" s="25">
        <v>12139</v>
      </c>
      <c r="L743" s="23">
        <v>23495</v>
      </c>
      <c r="M743" s="30" t="s">
        <v>1052</v>
      </c>
      <c r="N743" s="30" t="s">
        <v>1055</v>
      </c>
    </row>
    <row r="744" spans="1:14" customFormat="1" x14ac:dyDescent="0.25">
      <c r="A744" s="7">
        <v>743</v>
      </c>
      <c r="B744" s="11" t="s">
        <v>759</v>
      </c>
      <c r="C744" s="7" t="s">
        <v>1039</v>
      </c>
      <c r="D744" s="7">
        <v>743</v>
      </c>
      <c r="E744" s="7">
        <v>743</v>
      </c>
      <c r="F744" s="7">
        <v>743</v>
      </c>
      <c r="G744" s="11" t="s">
        <v>1023</v>
      </c>
      <c r="H744" s="20">
        <v>1229</v>
      </c>
      <c r="I744" s="12">
        <v>44867</v>
      </c>
      <c r="J744" s="12">
        <v>44959</v>
      </c>
      <c r="K744" s="25">
        <v>160</v>
      </c>
      <c r="L744" s="23">
        <v>1069</v>
      </c>
      <c r="M744" s="30" t="s">
        <v>1052</v>
      </c>
      <c r="N744" s="30" t="s">
        <v>1055</v>
      </c>
    </row>
    <row r="745" spans="1:14" customFormat="1" x14ac:dyDescent="0.25">
      <c r="A745" s="7">
        <v>744</v>
      </c>
      <c r="B745" s="11" t="s">
        <v>760</v>
      </c>
      <c r="C745" s="7" t="s">
        <v>1039</v>
      </c>
      <c r="D745" s="7">
        <v>744</v>
      </c>
      <c r="E745" s="9">
        <v>744</v>
      </c>
      <c r="F745" s="7">
        <v>744</v>
      </c>
      <c r="G745" s="11" t="s">
        <v>1024</v>
      </c>
      <c r="H745" s="20">
        <v>412605</v>
      </c>
      <c r="I745" s="12">
        <v>45650</v>
      </c>
      <c r="J745" s="12">
        <v>46077</v>
      </c>
      <c r="K745" s="25">
        <v>25211</v>
      </c>
      <c r="L745" s="23">
        <v>387394</v>
      </c>
      <c r="M745" s="30" t="s">
        <v>1052</v>
      </c>
      <c r="N745" s="30" t="s">
        <v>1055</v>
      </c>
    </row>
    <row r="746" spans="1:14" customFormat="1" x14ac:dyDescent="0.25">
      <c r="A746" s="7">
        <v>745</v>
      </c>
      <c r="B746" s="11" t="s">
        <v>761</v>
      </c>
      <c r="C746" s="7" t="s">
        <v>1039</v>
      </c>
      <c r="D746" s="7">
        <v>745</v>
      </c>
      <c r="E746" s="7">
        <v>745</v>
      </c>
      <c r="F746" s="7">
        <v>745</v>
      </c>
      <c r="G746" s="11" t="s">
        <v>1026</v>
      </c>
      <c r="H746" s="20">
        <v>1048987</v>
      </c>
      <c r="I746" s="12">
        <v>45588</v>
      </c>
      <c r="J746" s="12">
        <v>45861</v>
      </c>
      <c r="K746" s="25">
        <v>431746</v>
      </c>
      <c r="L746" s="23">
        <v>617241</v>
      </c>
      <c r="M746" s="30" t="s">
        <v>1052</v>
      </c>
      <c r="N746" s="30" t="s">
        <v>1055</v>
      </c>
    </row>
    <row r="747" spans="1:14" customFormat="1" x14ac:dyDescent="0.25">
      <c r="A747" s="7">
        <v>746</v>
      </c>
      <c r="B747" s="11" t="s">
        <v>762</v>
      </c>
      <c r="C747" s="7" t="s">
        <v>1039</v>
      </c>
      <c r="D747" s="7">
        <v>746</v>
      </c>
      <c r="E747" s="7">
        <v>746</v>
      </c>
      <c r="F747" s="7">
        <v>746</v>
      </c>
      <c r="G747" s="11" t="s">
        <v>1026</v>
      </c>
      <c r="H747" s="20">
        <v>1468854</v>
      </c>
      <c r="I747" s="12">
        <v>45354</v>
      </c>
      <c r="J747" s="12">
        <v>45660</v>
      </c>
      <c r="K747" s="25">
        <v>684802</v>
      </c>
      <c r="L747" s="23">
        <v>784052</v>
      </c>
      <c r="M747" s="30" t="s">
        <v>1052</v>
      </c>
      <c r="N747" s="30" t="s">
        <v>1055</v>
      </c>
    </row>
    <row r="748" spans="1:14" customFormat="1" x14ac:dyDescent="0.25">
      <c r="A748" s="7">
        <v>747</v>
      </c>
      <c r="B748" s="11" t="s">
        <v>763</v>
      </c>
      <c r="C748" s="7" t="s">
        <v>1039</v>
      </c>
      <c r="D748" s="7">
        <v>747</v>
      </c>
      <c r="E748" s="9">
        <v>747</v>
      </c>
      <c r="F748" s="7">
        <v>747</v>
      </c>
      <c r="G748" s="11" t="s">
        <v>1020</v>
      </c>
      <c r="H748" s="20">
        <v>9223</v>
      </c>
      <c r="I748" s="12">
        <v>45076</v>
      </c>
      <c r="J748" s="12">
        <v>45381</v>
      </c>
      <c r="K748" s="25">
        <v>7156</v>
      </c>
      <c r="L748" s="23">
        <v>2067</v>
      </c>
      <c r="M748" s="30" t="s">
        <v>1052</v>
      </c>
      <c r="N748" s="30" t="s">
        <v>1055</v>
      </c>
    </row>
    <row r="749" spans="1:14" customFormat="1" x14ac:dyDescent="0.25">
      <c r="A749" s="7">
        <v>748</v>
      </c>
      <c r="B749" s="11" t="s">
        <v>764</v>
      </c>
      <c r="C749" s="7" t="s">
        <v>1039</v>
      </c>
      <c r="D749" s="7">
        <v>748</v>
      </c>
      <c r="E749" s="7">
        <v>748</v>
      </c>
      <c r="F749" s="7">
        <v>748</v>
      </c>
      <c r="G749" s="11" t="s">
        <v>1022</v>
      </c>
      <c r="H749" s="20">
        <v>5314</v>
      </c>
      <c r="I749" s="12">
        <v>45612</v>
      </c>
      <c r="J749" s="12">
        <v>46219</v>
      </c>
      <c r="K749" s="25">
        <v>4047</v>
      </c>
      <c r="L749" s="23">
        <v>1267</v>
      </c>
      <c r="M749" s="30" t="s">
        <v>1052</v>
      </c>
      <c r="N749" s="30" t="s">
        <v>1055</v>
      </c>
    </row>
    <row r="750" spans="1:14" customFormat="1" x14ac:dyDescent="0.25">
      <c r="A750" s="7">
        <v>749</v>
      </c>
      <c r="B750" s="11" t="s">
        <v>765</v>
      </c>
      <c r="C750" s="7" t="s">
        <v>1039</v>
      </c>
      <c r="D750" s="7">
        <v>749</v>
      </c>
      <c r="E750" s="7">
        <v>749</v>
      </c>
      <c r="F750" s="7">
        <v>749</v>
      </c>
      <c r="G750" s="11" t="s">
        <v>1016</v>
      </c>
      <c r="H750" s="20">
        <v>14613</v>
      </c>
      <c r="I750" s="12">
        <v>44663</v>
      </c>
      <c r="J750" s="12">
        <v>44724</v>
      </c>
      <c r="K750" s="25">
        <v>10723</v>
      </c>
      <c r="L750" s="23">
        <v>3890</v>
      </c>
      <c r="M750" s="30" t="s">
        <v>1052</v>
      </c>
      <c r="N750" s="30" t="s">
        <v>1055</v>
      </c>
    </row>
    <row r="751" spans="1:14" customFormat="1" x14ac:dyDescent="0.25">
      <c r="A751" s="7">
        <v>750</v>
      </c>
      <c r="B751" s="11" t="s">
        <v>766</v>
      </c>
      <c r="C751" s="7" t="s">
        <v>1039</v>
      </c>
      <c r="D751" s="7">
        <v>750</v>
      </c>
      <c r="E751" s="9">
        <v>750</v>
      </c>
      <c r="F751" s="7">
        <v>750</v>
      </c>
      <c r="G751" s="11" t="s">
        <v>1026</v>
      </c>
      <c r="H751" s="20">
        <v>573339</v>
      </c>
      <c r="I751" s="12">
        <v>44557</v>
      </c>
      <c r="J751" s="12">
        <v>44708</v>
      </c>
      <c r="K751" s="25">
        <v>129318</v>
      </c>
      <c r="L751" s="23">
        <v>444021</v>
      </c>
      <c r="M751" s="30" t="s">
        <v>1052</v>
      </c>
      <c r="N751" s="30" t="s">
        <v>1055</v>
      </c>
    </row>
    <row r="752" spans="1:14" customFormat="1" x14ac:dyDescent="0.25">
      <c r="A752" s="7">
        <v>751</v>
      </c>
      <c r="B752" s="11" t="s">
        <v>767</v>
      </c>
      <c r="C752" s="7" t="s">
        <v>1039</v>
      </c>
      <c r="D752" s="7">
        <v>751</v>
      </c>
      <c r="E752" s="7">
        <v>751</v>
      </c>
      <c r="F752" s="7">
        <v>751</v>
      </c>
      <c r="G752" s="11" t="s">
        <v>1025</v>
      </c>
      <c r="H752" s="20">
        <v>223611</v>
      </c>
      <c r="I752" s="12">
        <v>45299</v>
      </c>
      <c r="J752" s="12">
        <v>45846</v>
      </c>
      <c r="K752" s="25">
        <v>122837</v>
      </c>
      <c r="L752" s="23">
        <v>100774</v>
      </c>
      <c r="M752" s="30" t="s">
        <v>1052</v>
      </c>
      <c r="N752" s="30" t="s">
        <v>1055</v>
      </c>
    </row>
    <row r="753" spans="1:14" customFormat="1" x14ac:dyDescent="0.25">
      <c r="A753" s="7">
        <v>752</v>
      </c>
      <c r="B753" s="11" t="s">
        <v>768</v>
      </c>
      <c r="C753" s="7" t="s">
        <v>1039</v>
      </c>
      <c r="D753" s="7">
        <v>752</v>
      </c>
      <c r="E753" s="7">
        <v>752</v>
      </c>
      <c r="F753" s="7">
        <v>752</v>
      </c>
      <c r="G753" s="11" t="s">
        <v>1026</v>
      </c>
      <c r="H753" s="20">
        <v>126577</v>
      </c>
      <c r="I753" s="12">
        <v>43854</v>
      </c>
      <c r="J753" s="12">
        <v>44098</v>
      </c>
      <c r="K753" s="25">
        <v>123489</v>
      </c>
      <c r="L753" s="23">
        <v>3088</v>
      </c>
      <c r="M753" s="30" t="s">
        <v>1052</v>
      </c>
      <c r="N753" s="30" t="s">
        <v>1055</v>
      </c>
    </row>
    <row r="754" spans="1:14" customFormat="1" x14ac:dyDescent="0.25">
      <c r="A754" s="7">
        <v>753</v>
      </c>
      <c r="B754" s="11" t="s">
        <v>769</v>
      </c>
      <c r="C754" s="7" t="s">
        <v>1039</v>
      </c>
      <c r="D754" s="7">
        <v>753</v>
      </c>
      <c r="E754" s="9">
        <v>753</v>
      </c>
      <c r="F754" s="7">
        <v>753</v>
      </c>
      <c r="G754" s="11" t="s">
        <v>1023</v>
      </c>
      <c r="H754" s="20">
        <v>917</v>
      </c>
      <c r="I754" s="12">
        <v>45123</v>
      </c>
      <c r="J754" s="12">
        <v>45551</v>
      </c>
      <c r="K754" s="25">
        <v>512</v>
      </c>
      <c r="L754" s="23">
        <v>405</v>
      </c>
      <c r="M754" s="30" t="s">
        <v>1052</v>
      </c>
      <c r="N754" s="30" t="s">
        <v>1055</v>
      </c>
    </row>
    <row r="755" spans="1:14" customFormat="1" x14ac:dyDescent="0.25">
      <c r="A755" s="7">
        <v>754</v>
      </c>
      <c r="B755" s="11" t="s">
        <v>770</v>
      </c>
      <c r="C755" s="7" t="s">
        <v>1039</v>
      </c>
      <c r="D755" s="7">
        <v>754</v>
      </c>
      <c r="E755" s="7">
        <v>754</v>
      </c>
      <c r="F755" s="7">
        <v>754</v>
      </c>
      <c r="G755" s="11" t="s">
        <v>1025</v>
      </c>
      <c r="H755" s="20">
        <v>102830</v>
      </c>
      <c r="I755" s="12">
        <v>44579</v>
      </c>
      <c r="J755" s="12">
        <v>45248</v>
      </c>
      <c r="K755" s="25">
        <v>73921</v>
      </c>
      <c r="L755" s="23">
        <v>28909</v>
      </c>
      <c r="M755" s="30" t="s">
        <v>1052</v>
      </c>
      <c r="N755" s="30" t="s">
        <v>1055</v>
      </c>
    </row>
    <row r="756" spans="1:14" customFormat="1" x14ac:dyDescent="0.25">
      <c r="A756" s="7">
        <v>755</v>
      </c>
      <c r="B756" s="11" t="s">
        <v>771</v>
      </c>
      <c r="C756" s="7" t="s">
        <v>1039</v>
      </c>
      <c r="D756" s="7">
        <v>755</v>
      </c>
      <c r="E756" s="7">
        <v>755</v>
      </c>
      <c r="F756" s="7">
        <v>755</v>
      </c>
      <c r="G756" s="11" t="s">
        <v>1020</v>
      </c>
      <c r="H756" s="20">
        <v>250587</v>
      </c>
      <c r="I756" s="12">
        <v>45266</v>
      </c>
      <c r="J756" s="12">
        <v>45844</v>
      </c>
      <c r="K756" s="25">
        <v>58248</v>
      </c>
      <c r="L756" s="23">
        <v>192339</v>
      </c>
      <c r="M756" s="30" t="s">
        <v>1052</v>
      </c>
      <c r="N756" s="30" t="s">
        <v>1055</v>
      </c>
    </row>
    <row r="757" spans="1:14" customFormat="1" x14ac:dyDescent="0.25">
      <c r="A757" s="7">
        <v>756</v>
      </c>
      <c r="B757" s="11" t="s">
        <v>772</v>
      </c>
      <c r="C757" s="7" t="s">
        <v>1039</v>
      </c>
      <c r="D757" s="7">
        <v>756</v>
      </c>
      <c r="E757" s="9">
        <v>756</v>
      </c>
      <c r="F757" s="7">
        <v>756</v>
      </c>
      <c r="G757" s="11" t="s">
        <v>1025</v>
      </c>
      <c r="H757" s="20">
        <v>210519</v>
      </c>
      <c r="I757" s="12">
        <v>43889</v>
      </c>
      <c r="J757" s="12">
        <v>44314</v>
      </c>
      <c r="K757" s="25">
        <v>133207</v>
      </c>
      <c r="L757" s="23">
        <v>77312</v>
      </c>
      <c r="M757" s="30" t="s">
        <v>1052</v>
      </c>
      <c r="N757" s="30" t="s">
        <v>1055</v>
      </c>
    </row>
    <row r="758" spans="1:14" customFormat="1" x14ac:dyDescent="0.25">
      <c r="A758" s="7">
        <v>757</v>
      </c>
      <c r="B758" s="11" t="s">
        <v>773</v>
      </c>
      <c r="C758" s="7" t="s">
        <v>1039</v>
      </c>
      <c r="D758" s="7">
        <v>757</v>
      </c>
      <c r="E758" s="7">
        <v>757</v>
      </c>
      <c r="F758" s="7">
        <v>757</v>
      </c>
      <c r="G758" s="11" t="s">
        <v>1027</v>
      </c>
      <c r="H758" s="20">
        <v>52050</v>
      </c>
      <c r="I758" s="12">
        <v>45043</v>
      </c>
      <c r="J758" s="12">
        <v>45287</v>
      </c>
      <c r="K758" s="25">
        <v>47855</v>
      </c>
      <c r="L758" s="23">
        <v>4195</v>
      </c>
      <c r="M758" s="30" t="s">
        <v>1052</v>
      </c>
      <c r="N758" s="30" t="s">
        <v>1055</v>
      </c>
    </row>
    <row r="759" spans="1:14" customFormat="1" x14ac:dyDescent="0.25">
      <c r="A759" s="7">
        <v>758</v>
      </c>
      <c r="B759" s="11" t="s">
        <v>774</v>
      </c>
      <c r="C759" s="7" t="s">
        <v>1039</v>
      </c>
      <c r="D759" s="7">
        <v>758</v>
      </c>
      <c r="E759" s="7">
        <v>758</v>
      </c>
      <c r="F759" s="7">
        <v>758</v>
      </c>
      <c r="G759" s="11" t="s">
        <v>1025</v>
      </c>
      <c r="H759" s="20">
        <v>492269</v>
      </c>
      <c r="I759" s="12">
        <v>45318</v>
      </c>
      <c r="J759" s="12">
        <v>45896</v>
      </c>
      <c r="K759" s="25">
        <v>124626</v>
      </c>
      <c r="L759" s="23">
        <v>367643</v>
      </c>
      <c r="M759" s="30" t="s">
        <v>1052</v>
      </c>
      <c r="N759" s="30" t="s">
        <v>1055</v>
      </c>
    </row>
    <row r="760" spans="1:14" customFormat="1" x14ac:dyDescent="0.25">
      <c r="A760" s="7">
        <v>759</v>
      </c>
      <c r="B760" s="11" t="s">
        <v>775</v>
      </c>
      <c r="C760" s="7" t="s">
        <v>1039</v>
      </c>
      <c r="D760" s="7">
        <v>759</v>
      </c>
      <c r="E760" s="9">
        <v>759</v>
      </c>
      <c r="F760" s="7">
        <v>759</v>
      </c>
      <c r="G760" s="11" t="s">
        <v>1022</v>
      </c>
      <c r="H760" s="20">
        <v>22907</v>
      </c>
      <c r="I760" s="12">
        <v>44640</v>
      </c>
      <c r="J760" s="12">
        <v>44977</v>
      </c>
      <c r="K760" s="25">
        <v>22433</v>
      </c>
      <c r="L760" s="23">
        <v>474</v>
      </c>
      <c r="M760" s="30" t="s">
        <v>1052</v>
      </c>
      <c r="N760" s="30" t="s">
        <v>1055</v>
      </c>
    </row>
    <row r="761" spans="1:14" customFormat="1" x14ac:dyDescent="0.25">
      <c r="A761" s="7">
        <v>760</v>
      </c>
      <c r="B761" s="11" t="s">
        <v>776</v>
      </c>
      <c r="C761" s="7" t="s">
        <v>1039</v>
      </c>
      <c r="D761" s="7">
        <v>760</v>
      </c>
      <c r="E761" s="7">
        <v>760</v>
      </c>
      <c r="F761" s="7">
        <v>760</v>
      </c>
      <c r="G761" s="11" t="s">
        <v>1022</v>
      </c>
      <c r="H761" s="20">
        <v>32640</v>
      </c>
      <c r="I761" s="12">
        <v>44785</v>
      </c>
      <c r="J761" s="12">
        <v>44969</v>
      </c>
      <c r="K761" s="25">
        <v>19440</v>
      </c>
      <c r="L761" s="23">
        <v>13200</v>
      </c>
      <c r="M761" s="30" t="s">
        <v>1052</v>
      </c>
      <c r="N761" s="30" t="s">
        <v>1055</v>
      </c>
    </row>
    <row r="762" spans="1:14" customFormat="1" x14ac:dyDescent="0.25">
      <c r="A762" s="7">
        <v>761</v>
      </c>
      <c r="B762" s="11" t="s">
        <v>777</v>
      </c>
      <c r="C762" s="7" t="s">
        <v>1039</v>
      </c>
      <c r="D762" s="7">
        <v>761</v>
      </c>
      <c r="E762" s="7">
        <v>761</v>
      </c>
      <c r="F762" s="7">
        <v>761</v>
      </c>
      <c r="G762" s="11" t="s">
        <v>1016</v>
      </c>
      <c r="H762" s="20">
        <v>32013</v>
      </c>
      <c r="I762" s="12">
        <v>45209</v>
      </c>
      <c r="J762" s="12">
        <v>45545</v>
      </c>
      <c r="K762" s="25">
        <v>26941</v>
      </c>
      <c r="L762" s="23">
        <v>5072</v>
      </c>
      <c r="M762" s="30" t="s">
        <v>1052</v>
      </c>
      <c r="N762" s="30" t="s">
        <v>1055</v>
      </c>
    </row>
    <row r="763" spans="1:14" customFormat="1" x14ac:dyDescent="0.25">
      <c r="A763" s="7">
        <v>762</v>
      </c>
      <c r="B763" s="11" t="s">
        <v>778</v>
      </c>
      <c r="C763" s="7" t="s">
        <v>1039</v>
      </c>
      <c r="D763" s="7">
        <v>762</v>
      </c>
      <c r="E763" s="9">
        <v>762</v>
      </c>
      <c r="F763" s="7">
        <v>762</v>
      </c>
      <c r="G763" s="11" t="s">
        <v>1021</v>
      </c>
      <c r="H763" s="20">
        <v>91176</v>
      </c>
      <c r="I763" s="12">
        <v>44256</v>
      </c>
      <c r="J763" s="12">
        <v>44440</v>
      </c>
      <c r="K763" s="25">
        <v>90634</v>
      </c>
      <c r="L763" s="23">
        <v>542</v>
      </c>
      <c r="M763" s="30" t="s">
        <v>1052</v>
      </c>
      <c r="N763" s="30" t="s">
        <v>1055</v>
      </c>
    </row>
    <row r="764" spans="1:14" customFormat="1" x14ac:dyDescent="0.25">
      <c r="A764" s="7">
        <v>763</v>
      </c>
      <c r="B764" s="11" t="s">
        <v>779</v>
      </c>
      <c r="C764" s="7" t="s">
        <v>1039</v>
      </c>
      <c r="D764" s="7">
        <v>763</v>
      </c>
      <c r="E764" s="7">
        <v>763</v>
      </c>
      <c r="F764" s="7">
        <v>763</v>
      </c>
      <c r="G764" s="11" t="s">
        <v>1026</v>
      </c>
      <c r="H764" s="20">
        <v>2482924</v>
      </c>
      <c r="I764" s="12">
        <v>45299</v>
      </c>
      <c r="J764" s="12">
        <v>45665</v>
      </c>
      <c r="K764" s="25">
        <v>1233415</v>
      </c>
      <c r="L764" s="23">
        <v>1249509</v>
      </c>
      <c r="M764" s="30" t="s">
        <v>1052</v>
      </c>
      <c r="N764" s="30" t="s">
        <v>1055</v>
      </c>
    </row>
    <row r="765" spans="1:14" customFormat="1" x14ac:dyDescent="0.25">
      <c r="A765" s="7">
        <v>764</v>
      </c>
      <c r="B765" s="11" t="s">
        <v>780</v>
      </c>
      <c r="C765" s="7" t="s">
        <v>1039</v>
      </c>
      <c r="D765" s="7">
        <v>764</v>
      </c>
      <c r="E765" s="7">
        <v>764</v>
      </c>
      <c r="F765" s="7">
        <v>764</v>
      </c>
      <c r="G765" s="11" t="s">
        <v>1020</v>
      </c>
      <c r="H765" s="20">
        <v>117633</v>
      </c>
      <c r="I765" s="12">
        <v>44581</v>
      </c>
      <c r="J765" s="12">
        <v>45005</v>
      </c>
      <c r="K765" s="25">
        <v>106942</v>
      </c>
      <c r="L765" s="23">
        <v>10691</v>
      </c>
      <c r="M765" s="30" t="s">
        <v>1052</v>
      </c>
      <c r="N765" s="30" t="s">
        <v>1055</v>
      </c>
    </row>
    <row r="766" spans="1:14" customFormat="1" x14ac:dyDescent="0.25">
      <c r="A766" s="7">
        <v>765</v>
      </c>
      <c r="B766" s="11" t="s">
        <v>781</v>
      </c>
      <c r="C766" s="7" t="s">
        <v>1039</v>
      </c>
      <c r="D766" s="7">
        <v>765</v>
      </c>
      <c r="E766" s="9">
        <v>765</v>
      </c>
      <c r="F766" s="7">
        <v>765</v>
      </c>
      <c r="G766" s="11" t="s">
        <v>1027</v>
      </c>
      <c r="H766" s="20">
        <v>39737</v>
      </c>
      <c r="I766" s="12">
        <v>44948</v>
      </c>
      <c r="J766" s="12">
        <v>45221</v>
      </c>
      <c r="K766" s="25">
        <v>30613</v>
      </c>
      <c r="L766" s="23">
        <v>9124</v>
      </c>
      <c r="M766" s="30" t="s">
        <v>1052</v>
      </c>
      <c r="N766" s="30" t="s">
        <v>1055</v>
      </c>
    </row>
    <row r="767" spans="1:14" customFormat="1" x14ac:dyDescent="0.25">
      <c r="A767" s="7">
        <v>766</v>
      </c>
      <c r="B767" s="11" t="s">
        <v>782</v>
      </c>
      <c r="C767" s="7" t="s">
        <v>1039</v>
      </c>
      <c r="D767" s="7">
        <v>766</v>
      </c>
      <c r="E767" s="7">
        <v>766</v>
      </c>
      <c r="F767" s="7">
        <v>766</v>
      </c>
      <c r="G767" s="11" t="s">
        <v>1016</v>
      </c>
      <c r="H767" s="20">
        <v>18546</v>
      </c>
      <c r="I767" s="12">
        <v>44949</v>
      </c>
      <c r="J767" s="12">
        <v>45253</v>
      </c>
      <c r="K767" s="25">
        <v>6488</v>
      </c>
      <c r="L767" s="23">
        <v>12058</v>
      </c>
      <c r="M767" s="30" t="s">
        <v>1052</v>
      </c>
      <c r="N767" s="30" t="s">
        <v>1055</v>
      </c>
    </row>
    <row r="768" spans="1:14" customFormat="1" x14ac:dyDescent="0.25">
      <c r="A768" s="7">
        <v>767</v>
      </c>
      <c r="B768" s="11" t="s">
        <v>783</v>
      </c>
      <c r="C768" s="7" t="s">
        <v>1039</v>
      </c>
      <c r="D768" s="7">
        <v>767</v>
      </c>
      <c r="E768" s="7">
        <v>767</v>
      </c>
      <c r="F768" s="7">
        <v>767</v>
      </c>
      <c r="G768" s="11" t="s">
        <v>1021</v>
      </c>
      <c r="H768" s="20">
        <v>11857</v>
      </c>
      <c r="I768" s="12">
        <v>44709</v>
      </c>
      <c r="J768" s="12">
        <v>45013</v>
      </c>
      <c r="K768" s="25">
        <v>3966</v>
      </c>
      <c r="L768" s="23">
        <v>7891</v>
      </c>
      <c r="M768" s="30" t="s">
        <v>1052</v>
      </c>
      <c r="N768" s="30" t="s">
        <v>1055</v>
      </c>
    </row>
    <row r="769" spans="1:14" customFormat="1" x14ac:dyDescent="0.25">
      <c r="A769" s="7">
        <v>768</v>
      </c>
      <c r="B769" s="11" t="s">
        <v>784</v>
      </c>
      <c r="C769" s="7" t="s">
        <v>1039</v>
      </c>
      <c r="D769" s="7">
        <v>768</v>
      </c>
      <c r="E769" s="9">
        <v>768</v>
      </c>
      <c r="F769" s="7">
        <v>768</v>
      </c>
      <c r="G769" s="11" t="s">
        <v>1026</v>
      </c>
      <c r="H769" s="20">
        <v>373796</v>
      </c>
      <c r="I769" s="12">
        <v>44521</v>
      </c>
      <c r="J769" s="12">
        <v>45037</v>
      </c>
      <c r="K769" s="25">
        <v>305107</v>
      </c>
      <c r="L769" s="23">
        <v>68689</v>
      </c>
      <c r="M769" s="30" t="s">
        <v>1052</v>
      </c>
      <c r="N769" s="30" t="s">
        <v>1055</v>
      </c>
    </row>
    <row r="770" spans="1:14" customFormat="1" x14ac:dyDescent="0.25">
      <c r="A770" s="7">
        <v>769</v>
      </c>
      <c r="B770" s="11" t="s">
        <v>785</v>
      </c>
      <c r="C770" s="7" t="s">
        <v>1039</v>
      </c>
      <c r="D770" s="7">
        <v>769</v>
      </c>
      <c r="E770" s="7">
        <v>769</v>
      </c>
      <c r="F770" s="7">
        <v>769</v>
      </c>
      <c r="G770" s="11" t="s">
        <v>1021</v>
      </c>
      <c r="H770" s="20">
        <v>61140</v>
      </c>
      <c r="I770" s="12">
        <v>44495</v>
      </c>
      <c r="J770" s="12">
        <v>44587</v>
      </c>
      <c r="K770" s="25">
        <v>35553</v>
      </c>
      <c r="L770" s="23">
        <v>25587</v>
      </c>
      <c r="M770" s="30" t="s">
        <v>1052</v>
      </c>
      <c r="N770" s="30" t="s">
        <v>1055</v>
      </c>
    </row>
    <row r="771" spans="1:14" customFormat="1" x14ac:dyDescent="0.25">
      <c r="A771" s="7">
        <v>770</v>
      </c>
      <c r="B771" s="11" t="s">
        <v>786</v>
      </c>
      <c r="C771" s="7" t="s">
        <v>1039</v>
      </c>
      <c r="D771" s="7">
        <v>770</v>
      </c>
      <c r="E771" s="7">
        <v>770</v>
      </c>
      <c r="F771" s="7">
        <v>770</v>
      </c>
      <c r="G771" s="11" t="s">
        <v>1026</v>
      </c>
      <c r="H771" s="20">
        <v>1458953</v>
      </c>
      <c r="I771" s="12">
        <v>44649</v>
      </c>
      <c r="J771" s="12">
        <v>45289</v>
      </c>
      <c r="K771" s="25">
        <v>1144392</v>
      </c>
      <c r="L771" s="23">
        <v>314561</v>
      </c>
      <c r="M771" s="30" t="s">
        <v>1052</v>
      </c>
      <c r="N771" s="30" t="s">
        <v>1055</v>
      </c>
    </row>
    <row r="772" spans="1:14" customFormat="1" x14ac:dyDescent="0.25">
      <c r="A772" s="7">
        <v>771</v>
      </c>
      <c r="B772" s="11" t="s">
        <v>787</v>
      </c>
      <c r="C772" s="7" t="s">
        <v>1039</v>
      </c>
      <c r="D772" s="7">
        <v>771</v>
      </c>
      <c r="E772" s="9">
        <v>771</v>
      </c>
      <c r="F772" s="7">
        <v>771</v>
      </c>
      <c r="G772" s="11" t="s">
        <v>1020</v>
      </c>
      <c r="H772" s="20">
        <v>181080</v>
      </c>
      <c r="I772" s="12">
        <v>44016</v>
      </c>
      <c r="J772" s="12">
        <v>44381</v>
      </c>
      <c r="K772" s="25">
        <v>95125</v>
      </c>
      <c r="L772" s="23">
        <v>85955</v>
      </c>
      <c r="M772" s="30" t="s">
        <v>1052</v>
      </c>
      <c r="N772" s="30" t="s">
        <v>1055</v>
      </c>
    </row>
    <row r="773" spans="1:14" customFormat="1" x14ac:dyDescent="0.25">
      <c r="A773" s="7">
        <v>772</v>
      </c>
      <c r="B773" s="11" t="s">
        <v>788</v>
      </c>
      <c r="C773" s="7" t="s">
        <v>1039</v>
      </c>
      <c r="D773" s="7">
        <v>772</v>
      </c>
      <c r="E773" s="7">
        <v>772</v>
      </c>
      <c r="F773" s="7">
        <v>772</v>
      </c>
      <c r="G773" s="11" t="s">
        <v>1022</v>
      </c>
      <c r="H773" s="20">
        <v>21424</v>
      </c>
      <c r="I773" s="12">
        <v>44817</v>
      </c>
      <c r="J773" s="12">
        <v>45029</v>
      </c>
      <c r="K773" s="25">
        <v>10188</v>
      </c>
      <c r="L773" s="23">
        <v>11236</v>
      </c>
      <c r="M773" s="30" t="s">
        <v>1052</v>
      </c>
      <c r="N773" s="30" t="s">
        <v>1055</v>
      </c>
    </row>
    <row r="774" spans="1:14" customFormat="1" x14ac:dyDescent="0.25">
      <c r="A774" s="7">
        <v>773</v>
      </c>
      <c r="B774" s="11" t="s">
        <v>789</v>
      </c>
      <c r="C774" s="7" t="s">
        <v>1039</v>
      </c>
      <c r="D774" s="7">
        <v>773</v>
      </c>
      <c r="E774" s="7">
        <v>773</v>
      </c>
      <c r="F774" s="7">
        <v>773</v>
      </c>
      <c r="G774" s="11" t="s">
        <v>1023</v>
      </c>
      <c r="H774" s="20">
        <v>823</v>
      </c>
      <c r="I774" s="12">
        <v>44158</v>
      </c>
      <c r="J774" s="12">
        <v>44219</v>
      </c>
      <c r="K774" s="25">
        <v>540</v>
      </c>
      <c r="L774" s="23">
        <v>283</v>
      </c>
      <c r="M774" s="30" t="s">
        <v>1052</v>
      </c>
      <c r="N774" s="30" t="s">
        <v>1055</v>
      </c>
    </row>
    <row r="775" spans="1:14" customFormat="1" x14ac:dyDescent="0.25">
      <c r="A775" s="7">
        <v>774</v>
      </c>
      <c r="B775" s="11" t="s">
        <v>790</v>
      </c>
      <c r="C775" s="7" t="s">
        <v>1039</v>
      </c>
      <c r="D775" s="7">
        <v>774</v>
      </c>
      <c r="E775" s="9">
        <v>774</v>
      </c>
      <c r="F775" s="7">
        <v>774</v>
      </c>
      <c r="G775" s="11" t="s">
        <v>1023</v>
      </c>
      <c r="H775" s="20">
        <v>773</v>
      </c>
      <c r="I775" s="12">
        <v>44822</v>
      </c>
      <c r="J775" s="12">
        <v>45125</v>
      </c>
      <c r="K775" s="25">
        <v>78</v>
      </c>
      <c r="L775" s="23">
        <v>695</v>
      </c>
      <c r="M775" s="30" t="s">
        <v>1052</v>
      </c>
      <c r="N775" s="30" t="s">
        <v>1055</v>
      </c>
    </row>
    <row r="776" spans="1:14" customFormat="1" x14ac:dyDescent="0.25">
      <c r="A776" s="7">
        <v>775</v>
      </c>
      <c r="B776" s="11" t="s">
        <v>791</v>
      </c>
      <c r="C776" s="7" t="s">
        <v>1039</v>
      </c>
      <c r="D776" s="7">
        <v>775</v>
      </c>
      <c r="E776" s="7">
        <v>775</v>
      </c>
      <c r="F776" s="7">
        <v>775</v>
      </c>
      <c r="G776" s="11" t="s">
        <v>1023</v>
      </c>
      <c r="H776" s="20">
        <v>531</v>
      </c>
      <c r="I776" s="12">
        <v>44544</v>
      </c>
      <c r="J776" s="12">
        <v>44575</v>
      </c>
      <c r="K776" s="25">
        <v>496</v>
      </c>
      <c r="L776" s="23">
        <v>35</v>
      </c>
      <c r="M776" s="30" t="s">
        <v>1052</v>
      </c>
      <c r="N776" s="30" t="s">
        <v>1055</v>
      </c>
    </row>
    <row r="777" spans="1:14" customFormat="1" x14ac:dyDescent="0.25">
      <c r="A777" s="7">
        <v>776</v>
      </c>
      <c r="B777" s="11" t="s">
        <v>792</v>
      </c>
      <c r="C777" s="7" t="s">
        <v>1039</v>
      </c>
      <c r="D777" s="7">
        <v>776</v>
      </c>
      <c r="E777" s="7">
        <v>776</v>
      </c>
      <c r="F777" s="7">
        <v>776</v>
      </c>
      <c r="G777" s="11" t="s">
        <v>1022</v>
      </c>
      <c r="H777" s="20">
        <v>25468</v>
      </c>
      <c r="I777" s="12">
        <v>43933</v>
      </c>
      <c r="J777" s="12">
        <v>44481</v>
      </c>
      <c r="K777" s="25">
        <v>13114</v>
      </c>
      <c r="L777" s="23">
        <v>12354</v>
      </c>
      <c r="M777" s="30" t="s">
        <v>1052</v>
      </c>
      <c r="N777" s="30" t="s">
        <v>1055</v>
      </c>
    </row>
    <row r="778" spans="1:14" customFormat="1" x14ac:dyDescent="0.25">
      <c r="A778" s="7">
        <v>777</v>
      </c>
      <c r="B778" s="11" t="s">
        <v>793</v>
      </c>
      <c r="C778" s="7" t="s">
        <v>1039</v>
      </c>
      <c r="D778" s="7">
        <v>777</v>
      </c>
      <c r="E778" s="9">
        <v>777</v>
      </c>
      <c r="F778" s="7">
        <v>777</v>
      </c>
      <c r="G778" s="11" t="s">
        <v>1023</v>
      </c>
      <c r="H778" s="20">
        <v>970</v>
      </c>
      <c r="I778" s="12">
        <v>45390</v>
      </c>
      <c r="J778" s="12">
        <v>46061</v>
      </c>
      <c r="K778" s="25">
        <v>748</v>
      </c>
      <c r="L778" s="23">
        <v>222</v>
      </c>
      <c r="M778" s="30" t="s">
        <v>1052</v>
      </c>
      <c r="N778" s="30" t="s">
        <v>1055</v>
      </c>
    </row>
    <row r="779" spans="1:14" customFormat="1" x14ac:dyDescent="0.25">
      <c r="A779" s="7">
        <v>778</v>
      </c>
      <c r="B779" s="11" t="s">
        <v>794</v>
      </c>
      <c r="C779" s="7" t="s">
        <v>1039</v>
      </c>
      <c r="D779" s="7">
        <v>778</v>
      </c>
      <c r="E779" s="7">
        <v>778</v>
      </c>
      <c r="F779" s="7">
        <v>778</v>
      </c>
      <c r="G779" s="11" t="s">
        <v>1025</v>
      </c>
      <c r="H779" s="20">
        <v>65935</v>
      </c>
      <c r="I779" s="12">
        <v>45664</v>
      </c>
      <c r="J779" s="12">
        <v>45937</v>
      </c>
      <c r="K779" s="25">
        <v>10625</v>
      </c>
      <c r="L779" s="23">
        <v>55310</v>
      </c>
      <c r="M779" s="30" t="s">
        <v>1052</v>
      </c>
      <c r="N779" s="30" t="s">
        <v>1055</v>
      </c>
    </row>
    <row r="780" spans="1:14" customFormat="1" x14ac:dyDescent="0.25">
      <c r="A780" s="7">
        <v>779</v>
      </c>
      <c r="B780" s="11" t="s">
        <v>795</v>
      </c>
      <c r="C780" s="7" t="s">
        <v>1039</v>
      </c>
      <c r="D780" s="7">
        <v>779</v>
      </c>
      <c r="E780" s="7">
        <v>779</v>
      </c>
      <c r="F780" s="7">
        <v>779</v>
      </c>
      <c r="G780" s="11" t="s">
        <v>1024</v>
      </c>
      <c r="H780" s="20">
        <v>331971</v>
      </c>
      <c r="I780" s="12">
        <v>44223</v>
      </c>
      <c r="J780" s="12">
        <v>44254</v>
      </c>
      <c r="K780" s="25">
        <v>231376</v>
      </c>
      <c r="L780" s="23">
        <v>100595</v>
      </c>
      <c r="M780" s="30" t="s">
        <v>1052</v>
      </c>
      <c r="N780" s="30" t="s">
        <v>1055</v>
      </c>
    </row>
    <row r="781" spans="1:14" customFormat="1" x14ac:dyDescent="0.25">
      <c r="A781" s="7">
        <v>780</v>
      </c>
      <c r="B781" s="11" t="s">
        <v>796</v>
      </c>
      <c r="C781" s="7" t="s">
        <v>1039</v>
      </c>
      <c r="D781" s="7">
        <v>780</v>
      </c>
      <c r="E781" s="9">
        <v>780</v>
      </c>
      <c r="F781" s="7">
        <v>780</v>
      </c>
      <c r="G781" s="11" t="s">
        <v>1021</v>
      </c>
      <c r="H781" s="20">
        <v>73873</v>
      </c>
      <c r="I781" s="12">
        <v>44854</v>
      </c>
      <c r="J781" s="12">
        <v>45371</v>
      </c>
      <c r="K781" s="25">
        <v>468</v>
      </c>
      <c r="L781" s="23">
        <v>73405</v>
      </c>
      <c r="M781" s="30" t="s">
        <v>1052</v>
      </c>
      <c r="N781" s="30" t="s">
        <v>1055</v>
      </c>
    </row>
    <row r="782" spans="1:14" customFormat="1" x14ac:dyDescent="0.25">
      <c r="A782" s="7">
        <v>781</v>
      </c>
      <c r="B782" s="11" t="s">
        <v>797</v>
      </c>
      <c r="C782" s="7" t="s">
        <v>1039</v>
      </c>
      <c r="D782" s="7">
        <v>781</v>
      </c>
      <c r="E782" s="7">
        <v>781</v>
      </c>
      <c r="F782" s="7">
        <v>781</v>
      </c>
      <c r="G782" s="11" t="s">
        <v>1026</v>
      </c>
      <c r="H782" s="20">
        <v>1988669</v>
      </c>
      <c r="I782" s="12">
        <v>45281</v>
      </c>
      <c r="J782" s="12">
        <v>45617</v>
      </c>
      <c r="K782" s="25">
        <v>371942</v>
      </c>
      <c r="L782" s="23">
        <v>1616727</v>
      </c>
      <c r="M782" s="30" t="s">
        <v>1052</v>
      </c>
      <c r="N782" s="30" t="s">
        <v>1055</v>
      </c>
    </row>
    <row r="783" spans="1:14" customFormat="1" x14ac:dyDescent="0.25">
      <c r="A783" s="7">
        <v>782</v>
      </c>
      <c r="B783" s="11" t="s">
        <v>798</v>
      </c>
      <c r="C783" s="7" t="s">
        <v>1039</v>
      </c>
      <c r="D783" s="7">
        <v>782</v>
      </c>
      <c r="E783" s="7">
        <v>782</v>
      </c>
      <c r="F783" s="7">
        <v>782</v>
      </c>
      <c r="G783" s="11" t="s">
        <v>1027</v>
      </c>
      <c r="H783" s="20">
        <v>52637</v>
      </c>
      <c r="I783" s="12">
        <v>44763</v>
      </c>
      <c r="J783" s="12">
        <v>45037</v>
      </c>
      <c r="K783" s="25">
        <v>23971</v>
      </c>
      <c r="L783" s="23">
        <v>28666</v>
      </c>
      <c r="M783" s="30" t="s">
        <v>1052</v>
      </c>
      <c r="N783" s="30" t="s">
        <v>1055</v>
      </c>
    </row>
    <row r="784" spans="1:14" customFormat="1" x14ac:dyDescent="0.25">
      <c r="A784" s="7">
        <v>783</v>
      </c>
      <c r="B784" s="11" t="s">
        <v>799</v>
      </c>
      <c r="C784" s="7" t="s">
        <v>1039</v>
      </c>
      <c r="D784" s="7">
        <v>783</v>
      </c>
      <c r="E784" s="9">
        <v>783</v>
      </c>
      <c r="F784" s="7">
        <v>783</v>
      </c>
      <c r="G784" s="11" t="s">
        <v>1025</v>
      </c>
      <c r="H784" s="20">
        <v>222437</v>
      </c>
      <c r="I784" s="12">
        <v>43896</v>
      </c>
      <c r="J784" s="12">
        <v>44018</v>
      </c>
      <c r="K784" s="25">
        <v>138334</v>
      </c>
      <c r="L784" s="23">
        <v>84103</v>
      </c>
      <c r="M784" s="30" t="s">
        <v>1052</v>
      </c>
      <c r="N784" s="30" t="s">
        <v>1055</v>
      </c>
    </row>
    <row r="785" spans="1:14" customFormat="1" x14ac:dyDescent="0.25">
      <c r="A785" s="7">
        <v>784</v>
      </c>
      <c r="B785" s="11" t="s">
        <v>800</v>
      </c>
      <c r="C785" s="7" t="s">
        <v>1039</v>
      </c>
      <c r="D785" s="7">
        <v>784</v>
      </c>
      <c r="E785" s="7">
        <v>784</v>
      </c>
      <c r="F785" s="7">
        <v>784</v>
      </c>
      <c r="G785" s="11" t="s">
        <v>1022</v>
      </c>
      <c r="H785" s="20">
        <v>35620</v>
      </c>
      <c r="I785" s="12">
        <v>44024</v>
      </c>
      <c r="J785" s="12">
        <v>44086</v>
      </c>
      <c r="K785" s="25">
        <v>20427</v>
      </c>
      <c r="L785" s="23">
        <v>15193</v>
      </c>
      <c r="M785" s="30" t="s">
        <v>1052</v>
      </c>
      <c r="N785" s="30" t="s">
        <v>1055</v>
      </c>
    </row>
    <row r="786" spans="1:14" customFormat="1" x14ac:dyDescent="0.25">
      <c r="A786" s="7">
        <v>785</v>
      </c>
      <c r="B786" s="11" t="s">
        <v>801</v>
      </c>
      <c r="C786" s="7" t="s">
        <v>1039</v>
      </c>
      <c r="D786" s="7">
        <v>785</v>
      </c>
      <c r="E786" s="7">
        <v>785</v>
      </c>
      <c r="F786" s="7">
        <v>785</v>
      </c>
      <c r="G786" s="11" t="s">
        <v>1021</v>
      </c>
      <c r="H786" s="20">
        <v>25985</v>
      </c>
      <c r="I786" s="12">
        <v>44716</v>
      </c>
      <c r="J786" s="12">
        <v>44746</v>
      </c>
      <c r="K786" s="25">
        <v>10960</v>
      </c>
      <c r="L786" s="23">
        <v>15025</v>
      </c>
      <c r="M786" s="30" t="s">
        <v>1052</v>
      </c>
      <c r="N786" s="30" t="s">
        <v>1055</v>
      </c>
    </row>
    <row r="787" spans="1:14" customFormat="1" x14ac:dyDescent="0.25">
      <c r="A787" s="7">
        <v>786</v>
      </c>
      <c r="B787" s="11" t="s">
        <v>802</v>
      </c>
      <c r="C787" s="7" t="s">
        <v>1039</v>
      </c>
      <c r="D787" s="7">
        <v>786</v>
      </c>
      <c r="E787" s="9">
        <v>786</v>
      </c>
      <c r="F787" s="7">
        <v>786</v>
      </c>
      <c r="G787" s="11" t="s">
        <v>1026</v>
      </c>
      <c r="H787" s="20">
        <v>1576256</v>
      </c>
      <c r="I787" s="12">
        <v>44862</v>
      </c>
      <c r="J787" s="12">
        <v>45410</v>
      </c>
      <c r="K787" s="25">
        <v>965408</v>
      </c>
      <c r="L787" s="23">
        <v>610848</v>
      </c>
      <c r="M787" s="30" t="s">
        <v>1052</v>
      </c>
      <c r="N787" s="30" t="s">
        <v>1055</v>
      </c>
    </row>
    <row r="788" spans="1:14" customFormat="1" x14ac:dyDescent="0.25">
      <c r="A788" s="7">
        <v>787</v>
      </c>
      <c r="B788" s="11" t="s">
        <v>803</v>
      </c>
      <c r="C788" s="7" t="s">
        <v>1039</v>
      </c>
      <c r="D788" s="7">
        <v>787</v>
      </c>
      <c r="E788" s="7">
        <v>787</v>
      </c>
      <c r="F788" s="7">
        <v>787</v>
      </c>
      <c r="G788" s="11" t="s">
        <v>1027</v>
      </c>
      <c r="H788" s="20">
        <v>15399</v>
      </c>
      <c r="I788" s="12">
        <v>44011</v>
      </c>
      <c r="J788" s="12">
        <v>44255</v>
      </c>
      <c r="K788" s="25">
        <v>2806</v>
      </c>
      <c r="L788" s="23">
        <v>12593</v>
      </c>
      <c r="M788" s="30" t="s">
        <v>1052</v>
      </c>
      <c r="N788" s="30" t="s">
        <v>1055</v>
      </c>
    </row>
    <row r="789" spans="1:14" customFormat="1" x14ac:dyDescent="0.25">
      <c r="A789" s="7">
        <v>788</v>
      </c>
      <c r="B789" s="11" t="s">
        <v>804</v>
      </c>
      <c r="C789" s="7" t="s">
        <v>1039</v>
      </c>
      <c r="D789" s="7">
        <v>788</v>
      </c>
      <c r="E789" s="7">
        <v>788</v>
      </c>
      <c r="F789" s="7">
        <v>788</v>
      </c>
      <c r="G789" s="11" t="s">
        <v>1016</v>
      </c>
      <c r="H789" s="20">
        <v>10560</v>
      </c>
      <c r="I789" s="12">
        <v>44308</v>
      </c>
      <c r="J789" s="12">
        <v>44583</v>
      </c>
      <c r="K789" s="25">
        <v>1806</v>
      </c>
      <c r="L789" s="23">
        <v>8754</v>
      </c>
      <c r="M789" s="30" t="s">
        <v>1052</v>
      </c>
      <c r="N789" s="30" t="s">
        <v>1055</v>
      </c>
    </row>
    <row r="790" spans="1:14" customFormat="1" x14ac:dyDescent="0.25">
      <c r="A790" s="7">
        <v>789</v>
      </c>
      <c r="B790" s="11" t="s">
        <v>805</v>
      </c>
      <c r="C790" s="7" t="s">
        <v>1039</v>
      </c>
      <c r="D790" s="7">
        <v>789</v>
      </c>
      <c r="E790" s="9">
        <v>789</v>
      </c>
      <c r="F790" s="7">
        <v>789</v>
      </c>
      <c r="G790" s="11" t="s">
        <v>1025</v>
      </c>
      <c r="H790" s="20">
        <v>453766</v>
      </c>
      <c r="I790" s="12">
        <v>45223</v>
      </c>
      <c r="J790" s="12">
        <v>45528</v>
      </c>
      <c r="K790" s="25">
        <v>146863</v>
      </c>
      <c r="L790" s="23">
        <v>306903</v>
      </c>
      <c r="M790" s="30" t="s">
        <v>1052</v>
      </c>
      <c r="N790" s="30" t="s">
        <v>1055</v>
      </c>
    </row>
    <row r="791" spans="1:14" customFormat="1" x14ac:dyDescent="0.25">
      <c r="A791" s="7">
        <v>790</v>
      </c>
      <c r="B791" s="11" t="s">
        <v>806</v>
      </c>
      <c r="C791" s="7" t="s">
        <v>1039</v>
      </c>
      <c r="D791" s="7">
        <v>790</v>
      </c>
      <c r="E791" s="7">
        <v>790</v>
      </c>
      <c r="F791" s="7">
        <v>790</v>
      </c>
      <c r="G791" s="11" t="s">
        <v>1022</v>
      </c>
      <c r="H791" s="20">
        <v>15424</v>
      </c>
      <c r="I791" s="12">
        <v>44370</v>
      </c>
      <c r="J791" s="12">
        <v>44553</v>
      </c>
      <c r="K791" s="25">
        <v>12103</v>
      </c>
      <c r="L791" s="23">
        <v>3321</v>
      </c>
      <c r="M791" s="30" t="s">
        <v>1052</v>
      </c>
      <c r="N791" s="30" t="s">
        <v>1055</v>
      </c>
    </row>
    <row r="792" spans="1:14" customFormat="1" x14ac:dyDescent="0.25">
      <c r="A792" s="7">
        <v>791</v>
      </c>
      <c r="B792" s="11" t="s">
        <v>807</v>
      </c>
      <c r="C792" s="7" t="s">
        <v>1039</v>
      </c>
      <c r="D792" s="7">
        <v>791</v>
      </c>
      <c r="E792" s="7">
        <v>791</v>
      </c>
      <c r="F792" s="7">
        <v>791</v>
      </c>
      <c r="G792" s="11" t="s">
        <v>1020</v>
      </c>
      <c r="H792" s="20">
        <v>338669</v>
      </c>
      <c r="I792" s="12">
        <v>44394</v>
      </c>
      <c r="J792" s="12">
        <v>44456</v>
      </c>
      <c r="K792" s="25">
        <v>115952</v>
      </c>
      <c r="L792" s="23">
        <v>222717</v>
      </c>
      <c r="M792" s="30" t="s">
        <v>1052</v>
      </c>
      <c r="N792" s="30" t="s">
        <v>1055</v>
      </c>
    </row>
    <row r="793" spans="1:14" customFormat="1" x14ac:dyDescent="0.25">
      <c r="A793" s="7">
        <v>792</v>
      </c>
      <c r="B793" s="11" t="s">
        <v>808</v>
      </c>
      <c r="C793" s="7" t="s">
        <v>1039</v>
      </c>
      <c r="D793" s="7">
        <v>792</v>
      </c>
      <c r="E793" s="9">
        <v>792</v>
      </c>
      <c r="F793" s="7">
        <v>792</v>
      </c>
      <c r="G793" s="11" t="s">
        <v>1020</v>
      </c>
      <c r="H793" s="20">
        <v>128607</v>
      </c>
      <c r="I793" s="12">
        <v>43910</v>
      </c>
      <c r="J793" s="12">
        <v>44155</v>
      </c>
      <c r="K793" s="25">
        <v>22198</v>
      </c>
      <c r="L793" s="23">
        <v>106409</v>
      </c>
      <c r="M793" s="30" t="s">
        <v>1052</v>
      </c>
      <c r="N793" s="30" t="s">
        <v>1055</v>
      </c>
    </row>
    <row r="794" spans="1:14" customFormat="1" x14ac:dyDescent="0.25">
      <c r="A794" s="7">
        <v>793</v>
      </c>
      <c r="B794" s="11" t="s">
        <v>809</v>
      </c>
      <c r="C794" s="7" t="s">
        <v>1039</v>
      </c>
      <c r="D794" s="7">
        <v>793</v>
      </c>
      <c r="E794" s="7">
        <v>793</v>
      </c>
      <c r="F794" s="7">
        <v>793</v>
      </c>
      <c r="G794" s="11" t="s">
        <v>1016</v>
      </c>
      <c r="H794" s="20">
        <v>28511</v>
      </c>
      <c r="I794" s="12">
        <v>44204</v>
      </c>
      <c r="J794" s="12">
        <v>44477</v>
      </c>
      <c r="K794" s="25">
        <v>16622</v>
      </c>
      <c r="L794" s="23">
        <v>11889</v>
      </c>
      <c r="M794" s="30" t="s">
        <v>1052</v>
      </c>
      <c r="N794" s="30" t="s">
        <v>1055</v>
      </c>
    </row>
    <row r="795" spans="1:14" customFormat="1" x14ac:dyDescent="0.25">
      <c r="A795" s="7">
        <v>794</v>
      </c>
      <c r="B795" s="11" t="s">
        <v>810</v>
      </c>
      <c r="C795" s="7" t="s">
        <v>1039</v>
      </c>
      <c r="D795" s="7">
        <v>794</v>
      </c>
      <c r="E795" s="7">
        <v>794</v>
      </c>
      <c r="F795" s="7">
        <v>794</v>
      </c>
      <c r="G795" s="11" t="s">
        <v>1016</v>
      </c>
      <c r="H795" s="20">
        <v>6994</v>
      </c>
      <c r="I795" s="12">
        <v>44553</v>
      </c>
      <c r="J795" s="12">
        <v>45161</v>
      </c>
      <c r="K795" s="25">
        <v>4245</v>
      </c>
      <c r="L795" s="23">
        <v>2749</v>
      </c>
      <c r="M795" s="30" t="s">
        <v>1052</v>
      </c>
      <c r="N795" s="30" t="s">
        <v>1055</v>
      </c>
    </row>
    <row r="796" spans="1:14" customFormat="1" x14ac:dyDescent="0.25">
      <c r="A796" s="7">
        <v>795</v>
      </c>
      <c r="B796" s="11" t="s">
        <v>811</v>
      </c>
      <c r="C796" s="7" t="s">
        <v>1039</v>
      </c>
      <c r="D796" s="7">
        <v>795</v>
      </c>
      <c r="E796" s="9">
        <v>795</v>
      </c>
      <c r="F796" s="7">
        <v>795</v>
      </c>
      <c r="G796" s="11" t="s">
        <v>1016</v>
      </c>
      <c r="H796" s="20">
        <v>46186</v>
      </c>
      <c r="I796" s="12">
        <v>44524</v>
      </c>
      <c r="J796" s="12">
        <v>45101</v>
      </c>
      <c r="K796" s="25">
        <v>37138</v>
      </c>
      <c r="L796" s="23">
        <v>9048</v>
      </c>
      <c r="M796" s="30" t="s">
        <v>1052</v>
      </c>
      <c r="N796" s="30" t="s">
        <v>1055</v>
      </c>
    </row>
    <row r="797" spans="1:14" customFormat="1" x14ac:dyDescent="0.25">
      <c r="A797" s="7">
        <v>796</v>
      </c>
      <c r="B797" s="11" t="s">
        <v>812</v>
      </c>
      <c r="C797" s="7" t="s">
        <v>1039</v>
      </c>
      <c r="D797" s="7">
        <v>796</v>
      </c>
      <c r="E797" s="7">
        <v>796</v>
      </c>
      <c r="F797" s="7">
        <v>796</v>
      </c>
      <c r="G797" s="11" t="s">
        <v>1016</v>
      </c>
      <c r="H797" s="20">
        <v>34509</v>
      </c>
      <c r="I797" s="12">
        <v>45188</v>
      </c>
      <c r="J797" s="12">
        <v>45735</v>
      </c>
      <c r="K797" s="25">
        <v>21700</v>
      </c>
      <c r="L797" s="23">
        <v>12809</v>
      </c>
      <c r="M797" s="30" t="s">
        <v>1052</v>
      </c>
      <c r="N797" s="30" t="s">
        <v>1055</v>
      </c>
    </row>
    <row r="798" spans="1:14" customFormat="1" x14ac:dyDescent="0.25">
      <c r="A798" s="7">
        <v>797</v>
      </c>
      <c r="B798" s="11" t="s">
        <v>813</v>
      </c>
      <c r="C798" s="7" t="s">
        <v>1039</v>
      </c>
      <c r="D798" s="7">
        <v>797</v>
      </c>
      <c r="E798" s="7">
        <v>797</v>
      </c>
      <c r="F798" s="7">
        <v>797</v>
      </c>
      <c r="G798" s="11" t="s">
        <v>1026</v>
      </c>
      <c r="H798" s="20">
        <v>2020670</v>
      </c>
      <c r="I798" s="12">
        <v>45050</v>
      </c>
      <c r="J798" s="12">
        <v>45234</v>
      </c>
      <c r="K798" s="25">
        <v>813472</v>
      </c>
      <c r="L798" s="23">
        <v>1207198</v>
      </c>
      <c r="M798" s="30" t="s">
        <v>1052</v>
      </c>
      <c r="N798" s="30" t="s">
        <v>1055</v>
      </c>
    </row>
    <row r="799" spans="1:14" customFormat="1" x14ac:dyDescent="0.25">
      <c r="A799" s="7">
        <v>798</v>
      </c>
      <c r="B799" s="11" t="s">
        <v>814</v>
      </c>
      <c r="C799" s="7" t="s">
        <v>1039</v>
      </c>
      <c r="D799" s="7">
        <v>798</v>
      </c>
      <c r="E799" s="9">
        <v>798</v>
      </c>
      <c r="F799" s="7">
        <v>798</v>
      </c>
      <c r="G799" s="11" t="s">
        <v>1023</v>
      </c>
      <c r="H799" s="20">
        <v>1474</v>
      </c>
      <c r="I799" s="12">
        <v>45716</v>
      </c>
      <c r="J799" s="12">
        <v>46019</v>
      </c>
      <c r="K799" s="25">
        <v>822</v>
      </c>
      <c r="L799" s="23">
        <v>652</v>
      </c>
      <c r="M799" s="30" t="s">
        <v>1052</v>
      </c>
      <c r="N799" s="30" t="s">
        <v>1055</v>
      </c>
    </row>
    <row r="800" spans="1:14" customFormat="1" x14ac:dyDescent="0.25">
      <c r="A800" s="7">
        <v>799</v>
      </c>
      <c r="B800" s="11" t="s">
        <v>815</v>
      </c>
      <c r="C800" s="7" t="s">
        <v>1039</v>
      </c>
      <c r="D800" s="7">
        <v>799</v>
      </c>
      <c r="E800" s="7">
        <v>799</v>
      </c>
      <c r="F800" s="7">
        <v>799</v>
      </c>
      <c r="G800" s="11" t="s">
        <v>1025</v>
      </c>
      <c r="H800" s="20">
        <v>163650</v>
      </c>
      <c r="I800" s="12">
        <v>45202</v>
      </c>
      <c r="J800" s="12">
        <v>45538</v>
      </c>
      <c r="K800" s="25">
        <v>9451</v>
      </c>
      <c r="L800" s="23">
        <v>154199</v>
      </c>
      <c r="M800" s="30" t="s">
        <v>1052</v>
      </c>
      <c r="N800" s="30" t="s">
        <v>1055</v>
      </c>
    </row>
    <row r="801" spans="1:14" customFormat="1" x14ac:dyDescent="0.25">
      <c r="A801" s="7">
        <v>800</v>
      </c>
      <c r="B801" s="11" t="s">
        <v>816</v>
      </c>
      <c r="C801" s="7" t="s">
        <v>1039</v>
      </c>
      <c r="D801" s="7">
        <v>800</v>
      </c>
      <c r="E801" s="7">
        <v>800</v>
      </c>
      <c r="F801" s="7">
        <v>800</v>
      </c>
      <c r="G801" s="11" t="s">
        <v>1020</v>
      </c>
      <c r="H801" s="20">
        <v>460249</v>
      </c>
      <c r="I801" s="12">
        <v>43906</v>
      </c>
      <c r="J801" s="12">
        <v>44212</v>
      </c>
      <c r="K801" s="25">
        <v>379025</v>
      </c>
      <c r="L801" s="23">
        <v>81224</v>
      </c>
      <c r="M801" s="30" t="s">
        <v>1052</v>
      </c>
      <c r="N801" s="30" t="s">
        <v>1055</v>
      </c>
    </row>
    <row r="802" spans="1:14" customFormat="1" x14ac:dyDescent="0.25">
      <c r="A802" s="7">
        <v>801</v>
      </c>
      <c r="B802" s="11" t="s">
        <v>817</v>
      </c>
      <c r="C802" s="7" t="s">
        <v>1039</v>
      </c>
      <c r="D802" s="7">
        <v>801</v>
      </c>
      <c r="E802" s="9">
        <v>801</v>
      </c>
      <c r="F802" s="7">
        <v>801</v>
      </c>
      <c r="G802" s="11" t="s">
        <v>1024</v>
      </c>
      <c r="H802" s="20">
        <v>849933</v>
      </c>
      <c r="I802" s="12">
        <v>45183</v>
      </c>
      <c r="J802" s="12">
        <v>45914</v>
      </c>
      <c r="K802" s="25">
        <v>251026</v>
      </c>
      <c r="L802" s="23">
        <v>598907</v>
      </c>
      <c r="M802" s="30" t="s">
        <v>1052</v>
      </c>
      <c r="N802" s="30" t="s">
        <v>1055</v>
      </c>
    </row>
    <row r="803" spans="1:14" customFormat="1" x14ac:dyDescent="0.25">
      <c r="A803" s="7">
        <v>802</v>
      </c>
      <c r="B803" s="11" t="s">
        <v>818</v>
      </c>
      <c r="C803" s="7" t="s">
        <v>1039</v>
      </c>
      <c r="D803" s="7">
        <v>802</v>
      </c>
      <c r="E803" s="7">
        <v>802</v>
      </c>
      <c r="F803" s="7">
        <v>802</v>
      </c>
      <c r="G803" s="11" t="s">
        <v>1022</v>
      </c>
      <c r="H803" s="20">
        <v>7646</v>
      </c>
      <c r="I803" s="12">
        <v>45296</v>
      </c>
      <c r="J803" s="12">
        <v>45905</v>
      </c>
      <c r="K803" s="25">
        <v>4559</v>
      </c>
      <c r="L803" s="23">
        <v>3087</v>
      </c>
      <c r="M803" s="30" t="s">
        <v>1052</v>
      </c>
      <c r="N803" s="30" t="s">
        <v>1055</v>
      </c>
    </row>
    <row r="804" spans="1:14" customFormat="1" x14ac:dyDescent="0.25">
      <c r="A804" s="7">
        <v>803</v>
      </c>
      <c r="B804" s="11" t="s">
        <v>819</v>
      </c>
      <c r="C804" s="7" t="s">
        <v>1039</v>
      </c>
      <c r="D804" s="7">
        <v>803</v>
      </c>
      <c r="E804" s="7">
        <v>803</v>
      </c>
      <c r="F804" s="7">
        <v>803</v>
      </c>
      <c r="G804" s="11" t="s">
        <v>1025</v>
      </c>
      <c r="H804" s="20">
        <v>81701</v>
      </c>
      <c r="I804" s="12">
        <v>44910</v>
      </c>
      <c r="J804" s="12">
        <v>45306</v>
      </c>
      <c r="K804" s="25">
        <v>41589</v>
      </c>
      <c r="L804" s="23">
        <v>40112</v>
      </c>
      <c r="M804" s="30" t="s">
        <v>1052</v>
      </c>
      <c r="N804" s="30" t="s">
        <v>1055</v>
      </c>
    </row>
    <row r="805" spans="1:14" customFormat="1" x14ac:dyDescent="0.25">
      <c r="A805" s="7">
        <v>804</v>
      </c>
      <c r="B805" s="11" t="s">
        <v>820</v>
      </c>
      <c r="C805" s="7" t="s">
        <v>1039</v>
      </c>
      <c r="D805" s="7">
        <v>804</v>
      </c>
      <c r="E805" s="9">
        <v>804</v>
      </c>
      <c r="F805" s="7">
        <v>804</v>
      </c>
      <c r="G805" s="11" t="s">
        <v>1020</v>
      </c>
      <c r="H805" s="20">
        <v>340596</v>
      </c>
      <c r="I805" s="12">
        <v>44839</v>
      </c>
      <c r="J805" s="12">
        <v>45540</v>
      </c>
      <c r="K805" s="25">
        <v>190652</v>
      </c>
      <c r="L805" s="23">
        <v>149944</v>
      </c>
      <c r="M805" s="30" t="s">
        <v>1052</v>
      </c>
      <c r="N805" s="30" t="s">
        <v>1055</v>
      </c>
    </row>
    <row r="806" spans="1:14" customFormat="1" x14ac:dyDescent="0.25">
      <c r="A806" s="7">
        <v>805</v>
      </c>
      <c r="B806" s="11" t="s">
        <v>821</v>
      </c>
      <c r="C806" s="7" t="s">
        <v>1039</v>
      </c>
      <c r="D806" s="7">
        <v>805</v>
      </c>
      <c r="E806" s="7">
        <v>805</v>
      </c>
      <c r="F806" s="7">
        <v>805</v>
      </c>
      <c r="G806" s="11" t="s">
        <v>1023</v>
      </c>
      <c r="H806" s="20">
        <v>299</v>
      </c>
      <c r="I806" s="12">
        <v>45668</v>
      </c>
      <c r="J806" s="12">
        <v>46123</v>
      </c>
      <c r="K806" s="25">
        <v>149</v>
      </c>
      <c r="L806" s="23">
        <v>150</v>
      </c>
      <c r="M806" s="30" t="s">
        <v>1052</v>
      </c>
      <c r="N806" s="30" t="s">
        <v>1055</v>
      </c>
    </row>
    <row r="807" spans="1:14" customFormat="1" x14ac:dyDescent="0.25">
      <c r="A807" s="7">
        <v>806</v>
      </c>
      <c r="B807" s="11" t="s">
        <v>822</v>
      </c>
      <c r="C807" s="7" t="s">
        <v>1039</v>
      </c>
      <c r="D807" s="7">
        <v>806</v>
      </c>
      <c r="E807" s="7">
        <v>806</v>
      </c>
      <c r="F807" s="7">
        <v>806</v>
      </c>
      <c r="G807" s="11" t="s">
        <v>1023</v>
      </c>
      <c r="H807" s="20">
        <v>92</v>
      </c>
      <c r="I807" s="12">
        <v>44352</v>
      </c>
      <c r="J807" s="12">
        <v>44382</v>
      </c>
      <c r="K807" s="25">
        <v>4</v>
      </c>
      <c r="L807" s="23">
        <v>88</v>
      </c>
      <c r="M807" s="30" t="s">
        <v>1052</v>
      </c>
      <c r="N807" s="30" t="s">
        <v>1055</v>
      </c>
    </row>
    <row r="808" spans="1:14" customFormat="1" x14ac:dyDescent="0.25">
      <c r="A808" s="7">
        <v>807</v>
      </c>
      <c r="B808" s="11" t="s">
        <v>823</v>
      </c>
      <c r="C808" s="7" t="s">
        <v>1039</v>
      </c>
      <c r="D808" s="7">
        <v>807</v>
      </c>
      <c r="E808" s="9">
        <v>807</v>
      </c>
      <c r="F808" s="7">
        <v>807</v>
      </c>
      <c r="G808" s="11" t="s">
        <v>1027</v>
      </c>
      <c r="H808" s="20">
        <v>31074</v>
      </c>
      <c r="I808" s="12">
        <v>45407</v>
      </c>
      <c r="J808" s="12">
        <v>45863</v>
      </c>
      <c r="K808" s="25">
        <v>26062</v>
      </c>
      <c r="L808" s="23">
        <v>5012</v>
      </c>
      <c r="M808" s="30" t="s">
        <v>1052</v>
      </c>
      <c r="N808" s="30" t="s">
        <v>1055</v>
      </c>
    </row>
    <row r="809" spans="1:14" customFormat="1" x14ac:dyDescent="0.25">
      <c r="A809" s="7">
        <v>808</v>
      </c>
      <c r="B809" s="11" t="s">
        <v>824</v>
      </c>
      <c r="C809" s="7" t="s">
        <v>1039</v>
      </c>
      <c r="D809" s="7">
        <v>808</v>
      </c>
      <c r="E809" s="7">
        <v>808</v>
      </c>
      <c r="F809" s="7">
        <v>808</v>
      </c>
      <c r="G809" s="11" t="s">
        <v>1025</v>
      </c>
      <c r="H809" s="20">
        <v>268302</v>
      </c>
      <c r="I809" s="12">
        <v>45029</v>
      </c>
      <c r="J809" s="12">
        <v>45395</v>
      </c>
      <c r="K809" s="25">
        <v>64059</v>
      </c>
      <c r="L809" s="23">
        <v>204243</v>
      </c>
      <c r="M809" s="30" t="s">
        <v>1052</v>
      </c>
      <c r="N809" s="30" t="s">
        <v>1055</v>
      </c>
    </row>
    <row r="810" spans="1:14" customFormat="1" x14ac:dyDescent="0.25">
      <c r="A810" s="7">
        <v>809</v>
      </c>
      <c r="B810" s="11" t="s">
        <v>825</v>
      </c>
      <c r="C810" s="7" t="s">
        <v>1039</v>
      </c>
      <c r="D810" s="7">
        <v>809</v>
      </c>
      <c r="E810" s="7">
        <v>809</v>
      </c>
      <c r="F810" s="7">
        <v>809</v>
      </c>
      <c r="G810" s="11" t="s">
        <v>1016</v>
      </c>
      <c r="H810" s="20">
        <v>11658</v>
      </c>
      <c r="I810" s="12">
        <v>44394</v>
      </c>
      <c r="J810" s="12">
        <v>45002</v>
      </c>
      <c r="K810" s="25">
        <v>5986</v>
      </c>
      <c r="L810" s="23">
        <v>5672</v>
      </c>
      <c r="M810" s="30" t="s">
        <v>1052</v>
      </c>
      <c r="N810" s="30" t="s">
        <v>1055</v>
      </c>
    </row>
    <row r="811" spans="1:14" customFormat="1" x14ac:dyDescent="0.25">
      <c r="A811" s="7">
        <v>810</v>
      </c>
      <c r="B811" s="11" t="s">
        <v>826</v>
      </c>
      <c r="C811" s="7" t="s">
        <v>1039</v>
      </c>
      <c r="D811" s="7">
        <v>810</v>
      </c>
      <c r="E811" s="9">
        <v>810</v>
      </c>
      <c r="F811" s="7">
        <v>810</v>
      </c>
      <c r="G811" s="11" t="s">
        <v>1021</v>
      </c>
      <c r="H811" s="20">
        <v>77879</v>
      </c>
      <c r="I811" s="12">
        <v>44102</v>
      </c>
      <c r="J811" s="12">
        <v>44709</v>
      </c>
      <c r="K811" s="25">
        <v>57319</v>
      </c>
      <c r="L811" s="23">
        <v>20560</v>
      </c>
      <c r="M811" s="30" t="s">
        <v>1052</v>
      </c>
      <c r="N811" s="30" t="s">
        <v>1055</v>
      </c>
    </row>
    <row r="812" spans="1:14" customFormat="1" x14ac:dyDescent="0.25">
      <c r="A812" s="7">
        <v>811</v>
      </c>
      <c r="B812" s="11" t="s">
        <v>827</v>
      </c>
      <c r="C812" s="7" t="s">
        <v>1039</v>
      </c>
      <c r="D812" s="7">
        <v>811</v>
      </c>
      <c r="E812" s="7">
        <v>811</v>
      </c>
      <c r="F812" s="7">
        <v>811</v>
      </c>
      <c r="G812" s="11" t="s">
        <v>1020</v>
      </c>
      <c r="H812" s="20">
        <v>174061</v>
      </c>
      <c r="I812" s="12">
        <v>45248</v>
      </c>
      <c r="J812" s="12">
        <v>45522</v>
      </c>
      <c r="K812" s="25">
        <v>158623</v>
      </c>
      <c r="L812" s="23">
        <v>15438</v>
      </c>
      <c r="M812" s="30" t="s">
        <v>1052</v>
      </c>
      <c r="N812" s="30" t="s">
        <v>1055</v>
      </c>
    </row>
    <row r="813" spans="1:14" customFormat="1" x14ac:dyDescent="0.25">
      <c r="A813" s="7">
        <v>812</v>
      </c>
      <c r="B813" s="11" t="s">
        <v>828</v>
      </c>
      <c r="C813" s="7" t="s">
        <v>1039</v>
      </c>
      <c r="D813" s="7">
        <v>812</v>
      </c>
      <c r="E813" s="7">
        <v>812</v>
      </c>
      <c r="F813" s="7">
        <v>812</v>
      </c>
      <c r="G813" s="11" t="s">
        <v>1016</v>
      </c>
      <c r="H813" s="20">
        <v>15104</v>
      </c>
      <c r="I813" s="12">
        <v>45147</v>
      </c>
      <c r="J813" s="12">
        <v>45482</v>
      </c>
      <c r="K813" s="25">
        <v>9187</v>
      </c>
      <c r="L813" s="23">
        <v>5917</v>
      </c>
      <c r="M813" s="30" t="s">
        <v>1052</v>
      </c>
      <c r="N813" s="30" t="s">
        <v>1055</v>
      </c>
    </row>
    <row r="814" spans="1:14" customFormat="1" x14ac:dyDescent="0.25">
      <c r="A814" s="7">
        <v>813</v>
      </c>
      <c r="B814" s="11" t="s">
        <v>829</v>
      </c>
      <c r="C814" s="7" t="s">
        <v>1039</v>
      </c>
      <c r="D814" s="7">
        <v>813</v>
      </c>
      <c r="E814" s="9">
        <v>813</v>
      </c>
      <c r="F814" s="7">
        <v>813</v>
      </c>
      <c r="G814" s="11" t="s">
        <v>1022</v>
      </c>
      <c r="H814" s="20">
        <v>26167</v>
      </c>
      <c r="I814" s="12">
        <v>44202</v>
      </c>
      <c r="J814" s="12">
        <v>44414</v>
      </c>
      <c r="K814" s="25">
        <v>18397</v>
      </c>
      <c r="L814" s="23">
        <v>7770</v>
      </c>
      <c r="M814" s="30" t="s">
        <v>1052</v>
      </c>
      <c r="N814" s="30" t="s">
        <v>1055</v>
      </c>
    </row>
    <row r="815" spans="1:14" customFormat="1" x14ac:dyDescent="0.25">
      <c r="A815" s="7">
        <v>814</v>
      </c>
      <c r="B815" s="11" t="s">
        <v>830</v>
      </c>
      <c r="C815" s="7" t="s">
        <v>1039</v>
      </c>
      <c r="D815" s="7">
        <v>814</v>
      </c>
      <c r="E815" s="7">
        <v>814</v>
      </c>
      <c r="F815" s="7">
        <v>814</v>
      </c>
      <c r="G815" s="11" t="s">
        <v>1016</v>
      </c>
      <c r="H815" s="20">
        <v>23952</v>
      </c>
      <c r="I815" s="12">
        <v>45342</v>
      </c>
      <c r="J815" s="12">
        <v>45402</v>
      </c>
      <c r="K815" s="25">
        <v>13655</v>
      </c>
      <c r="L815" s="23">
        <v>10297</v>
      </c>
      <c r="M815" s="30" t="s">
        <v>1052</v>
      </c>
      <c r="N815" s="30" t="s">
        <v>1055</v>
      </c>
    </row>
    <row r="816" spans="1:14" customFormat="1" x14ac:dyDescent="0.25">
      <c r="A816" s="7">
        <v>815</v>
      </c>
      <c r="B816" s="11" t="s">
        <v>338</v>
      </c>
      <c r="C816" s="7" t="s">
        <v>1039</v>
      </c>
      <c r="D816" s="7">
        <v>815</v>
      </c>
      <c r="E816" s="7">
        <v>815</v>
      </c>
      <c r="F816" s="7">
        <v>815</v>
      </c>
      <c r="G816" s="11" t="s">
        <v>1023</v>
      </c>
      <c r="H816" s="20">
        <v>1115</v>
      </c>
      <c r="I816" s="12">
        <v>44111</v>
      </c>
      <c r="J816" s="12">
        <v>44719</v>
      </c>
      <c r="K816" s="25">
        <v>168</v>
      </c>
      <c r="L816" s="23">
        <v>947</v>
      </c>
      <c r="M816" s="30" t="s">
        <v>1052</v>
      </c>
      <c r="N816" s="30" t="s">
        <v>1055</v>
      </c>
    </row>
    <row r="817" spans="1:14" customFormat="1" x14ac:dyDescent="0.25">
      <c r="A817" s="7">
        <v>816</v>
      </c>
      <c r="B817" s="11" t="s">
        <v>831</v>
      </c>
      <c r="C817" s="7" t="s">
        <v>1039</v>
      </c>
      <c r="D817" s="7">
        <v>816</v>
      </c>
      <c r="E817" s="9">
        <v>816</v>
      </c>
      <c r="F817" s="7">
        <v>816</v>
      </c>
      <c r="G817" s="11" t="s">
        <v>1025</v>
      </c>
      <c r="H817" s="20">
        <v>214094</v>
      </c>
      <c r="I817" s="12">
        <v>44579</v>
      </c>
      <c r="J817" s="12">
        <v>45278</v>
      </c>
      <c r="K817" s="25">
        <v>124884</v>
      </c>
      <c r="L817" s="23">
        <v>89210</v>
      </c>
      <c r="M817" s="30" t="s">
        <v>1052</v>
      </c>
      <c r="N817" s="30" t="s">
        <v>1055</v>
      </c>
    </row>
    <row r="818" spans="1:14" customFormat="1" x14ac:dyDescent="0.25">
      <c r="A818" s="7">
        <v>817</v>
      </c>
      <c r="B818" s="11" t="s">
        <v>832</v>
      </c>
      <c r="C818" s="7" t="s">
        <v>1039</v>
      </c>
      <c r="D818" s="7">
        <v>817</v>
      </c>
      <c r="E818" s="7">
        <v>817</v>
      </c>
      <c r="F818" s="7">
        <v>817</v>
      </c>
      <c r="G818" s="11" t="s">
        <v>1023</v>
      </c>
      <c r="H818" s="20">
        <v>923</v>
      </c>
      <c r="I818" s="12">
        <v>45283</v>
      </c>
      <c r="J818" s="12">
        <v>45680</v>
      </c>
      <c r="K818" s="25">
        <v>366</v>
      </c>
      <c r="L818" s="23">
        <v>557</v>
      </c>
      <c r="M818" s="30" t="s">
        <v>1052</v>
      </c>
      <c r="N818" s="30" t="s">
        <v>1055</v>
      </c>
    </row>
    <row r="819" spans="1:14" customFormat="1" x14ac:dyDescent="0.25">
      <c r="A819" s="7">
        <v>818</v>
      </c>
      <c r="B819" s="11" t="s">
        <v>833</v>
      </c>
      <c r="C819" s="7" t="s">
        <v>1039</v>
      </c>
      <c r="D819" s="7">
        <v>818</v>
      </c>
      <c r="E819" s="7">
        <v>818</v>
      </c>
      <c r="F819" s="7">
        <v>818</v>
      </c>
      <c r="G819" s="11" t="s">
        <v>1022</v>
      </c>
      <c r="H819" s="20">
        <v>18049</v>
      </c>
      <c r="I819" s="12">
        <v>45048</v>
      </c>
      <c r="J819" s="12">
        <v>45537</v>
      </c>
      <c r="K819" s="25">
        <v>9521</v>
      </c>
      <c r="L819" s="23">
        <v>8528</v>
      </c>
      <c r="M819" s="30" t="s">
        <v>1052</v>
      </c>
      <c r="N819" s="30" t="s">
        <v>1055</v>
      </c>
    </row>
    <row r="820" spans="1:14" customFormat="1" x14ac:dyDescent="0.25">
      <c r="A820" s="7">
        <v>819</v>
      </c>
      <c r="B820" s="11" t="s">
        <v>834</v>
      </c>
      <c r="C820" s="7" t="s">
        <v>1039</v>
      </c>
      <c r="D820" s="7">
        <v>819</v>
      </c>
      <c r="E820" s="9">
        <v>819</v>
      </c>
      <c r="F820" s="7">
        <v>819</v>
      </c>
      <c r="G820" s="11" t="s">
        <v>1021</v>
      </c>
      <c r="H820" s="20">
        <v>6539</v>
      </c>
      <c r="I820" s="12">
        <v>45458</v>
      </c>
      <c r="J820" s="12">
        <v>45884</v>
      </c>
      <c r="K820" s="25">
        <v>2510</v>
      </c>
      <c r="L820" s="23">
        <v>4029</v>
      </c>
      <c r="M820" s="30" t="s">
        <v>1052</v>
      </c>
      <c r="N820" s="30" t="s">
        <v>1055</v>
      </c>
    </row>
    <row r="821" spans="1:14" customFormat="1" x14ac:dyDescent="0.25">
      <c r="A821" s="7">
        <v>820</v>
      </c>
      <c r="B821" s="11" t="s">
        <v>835</v>
      </c>
      <c r="C821" s="7" t="s">
        <v>1039</v>
      </c>
      <c r="D821" s="7">
        <v>820</v>
      </c>
      <c r="E821" s="7">
        <v>820</v>
      </c>
      <c r="F821" s="7">
        <v>820</v>
      </c>
      <c r="G821" s="11" t="s">
        <v>1023</v>
      </c>
      <c r="H821" s="20">
        <v>757</v>
      </c>
      <c r="I821" s="12">
        <v>44761</v>
      </c>
      <c r="J821" s="12">
        <v>44853</v>
      </c>
      <c r="K821" s="25">
        <v>461</v>
      </c>
      <c r="L821" s="23">
        <v>296</v>
      </c>
      <c r="M821" s="30" t="s">
        <v>1052</v>
      </c>
      <c r="N821" s="30" t="s">
        <v>1055</v>
      </c>
    </row>
    <row r="822" spans="1:14" customFormat="1" x14ac:dyDescent="0.25">
      <c r="A822" s="7">
        <v>821</v>
      </c>
      <c r="B822" s="11" t="s">
        <v>836</v>
      </c>
      <c r="C822" s="7" t="s">
        <v>1039</v>
      </c>
      <c r="D822" s="7">
        <v>821</v>
      </c>
      <c r="E822" s="7">
        <v>821</v>
      </c>
      <c r="F822" s="7">
        <v>821</v>
      </c>
      <c r="G822" s="11" t="s">
        <v>1025</v>
      </c>
      <c r="H822" s="20">
        <v>400810</v>
      </c>
      <c r="I822" s="12">
        <v>45518</v>
      </c>
      <c r="J822" s="12">
        <v>45671</v>
      </c>
      <c r="K822" s="25">
        <v>362564</v>
      </c>
      <c r="L822" s="23">
        <v>38246</v>
      </c>
      <c r="M822" s="30" t="s">
        <v>1052</v>
      </c>
      <c r="N822" s="30" t="s">
        <v>1055</v>
      </c>
    </row>
    <row r="823" spans="1:14" customFormat="1" x14ac:dyDescent="0.25">
      <c r="A823" s="7">
        <v>822</v>
      </c>
      <c r="B823" s="11" t="s">
        <v>837</v>
      </c>
      <c r="C823" s="7" t="s">
        <v>1039</v>
      </c>
      <c r="D823" s="7">
        <v>822</v>
      </c>
      <c r="E823" s="9">
        <v>822</v>
      </c>
      <c r="F823" s="7">
        <v>822</v>
      </c>
      <c r="G823" s="11" t="s">
        <v>1020</v>
      </c>
      <c r="H823" s="20">
        <v>249159</v>
      </c>
      <c r="I823" s="12">
        <v>44424</v>
      </c>
      <c r="J823" s="12">
        <v>44608</v>
      </c>
      <c r="K823" s="25">
        <v>129142</v>
      </c>
      <c r="L823" s="23">
        <v>120017</v>
      </c>
      <c r="M823" s="30" t="s">
        <v>1052</v>
      </c>
      <c r="N823" s="30" t="s">
        <v>1055</v>
      </c>
    </row>
    <row r="824" spans="1:14" customFormat="1" x14ac:dyDescent="0.25">
      <c r="A824" s="7">
        <v>823</v>
      </c>
      <c r="B824" s="11" t="s">
        <v>838</v>
      </c>
      <c r="C824" s="7" t="s">
        <v>1039</v>
      </c>
      <c r="D824" s="7">
        <v>823</v>
      </c>
      <c r="E824" s="7">
        <v>823</v>
      </c>
      <c r="F824" s="7">
        <v>823</v>
      </c>
      <c r="G824" s="11" t="s">
        <v>1027</v>
      </c>
      <c r="H824" s="20">
        <v>29178</v>
      </c>
      <c r="I824" s="12">
        <v>44738</v>
      </c>
      <c r="J824" s="12">
        <v>45377</v>
      </c>
      <c r="K824" s="25">
        <v>150</v>
      </c>
      <c r="L824" s="23">
        <v>29028</v>
      </c>
      <c r="M824" s="30" t="s">
        <v>1052</v>
      </c>
      <c r="N824" s="30" t="s">
        <v>1055</v>
      </c>
    </row>
    <row r="825" spans="1:14" customFormat="1" x14ac:dyDescent="0.25">
      <c r="A825" s="7">
        <v>824</v>
      </c>
      <c r="B825" s="11" t="s">
        <v>839</v>
      </c>
      <c r="C825" s="7" t="s">
        <v>1039</v>
      </c>
      <c r="D825" s="7">
        <v>824</v>
      </c>
      <c r="E825" s="7">
        <v>824</v>
      </c>
      <c r="F825" s="7">
        <v>824</v>
      </c>
      <c r="G825" s="11" t="s">
        <v>1026</v>
      </c>
      <c r="H825" s="20">
        <v>1483314</v>
      </c>
      <c r="I825" s="12">
        <v>45558</v>
      </c>
      <c r="J825" s="12">
        <v>46257</v>
      </c>
      <c r="K825" s="25">
        <v>450171</v>
      </c>
      <c r="L825" s="23">
        <v>1033143</v>
      </c>
      <c r="M825" s="30" t="s">
        <v>1052</v>
      </c>
      <c r="N825" s="30" t="s">
        <v>1055</v>
      </c>
    </row>
    <row r="826" spans="1:14" customFormat="1" x14ac:dyDescent="0.25">
      <c r="A826" s="7">
        <v>825</v>
      </c>
      <c r="B826" s="11" t="s">
        <v>840</v>
      </c>
      <c r="C826" s="7" t="s">
        <v>1039</v>
      </c>
      <c r="D826" s="7">
        <v>825</v>
      </c>
      <c r="E826" s="9">
        <v>825</v>
      </c>
      <c r="F826" s="7">
        <v>825</v>
      </c>
      <c r="G826" s="11" t="s">
        <v>1024</v>
      </c>
      <c r="H826" s="20">
        <v>523327</v>
      </c>
      <c r="I826" s="12">
        <v>44543</v>
      </c>
      <c r="J826" s="12">
        <v>44847</v>
      </c>
      <c r="K826" s="25">
        <v>69053</v>
      </c>
      <c r="L826" s="23">
        <v>454274</v>
      </c>
      <c r="M826" s="30" t="s">
        <v>1052</v>
      </c>
      <c r="N826" s="30" t="s">
        <v>1055</v>
      </c>
    </row>
    <row r="827" spans="1:14" customFormat="1" x14ac:dyDescent="0.25">
      <c r="A827" s="7">
        <v>826</v>
      </c>
      <c r="B827" s="11" t="s">
        <v>841</v>
      </c>
      <c r="C827" s="7" t="s">
        <v>1039</v>
      </c>
      <c r="D827" s="7">
        <v>826</v>
      </c>
      <c r="E827" s="7">
        <v>826</v>
      </c>
      <c r="F827" s="7">
        <v>826</v>
      </c>
      <c r="G827" s="11" t="s">
        <v>1022</v>
      </c>
      <c r="H827" s="20">
        <v>17240</v>
      </c>
      <c r="I827" s="12">
        <v>44941</v>
      </c>
      <c r="J827" s="12">
        <v>45641</v>
      </c>
      <c r="K827" s="25">
        <v>9245</v>
      </c>
      <c r="L827" s="23">
        <v>7995</v>
      </c>
      <c r="M827" s="30" t="s">
        <v>1052</v>
      </c>
      <c r="N827" s="30" t="s">
        <v>1055</v>
      </c>
    </row>
    <row r="828" spans="1:14" customFormat="1" x14ac:dyDescent="0.25">
      <c r="A828" s="7">
        <v>827</v>
      </c>
      <c r="B828" s="11" t="s">
        <v>842</v>
      </c>
      <c r="C828" s="7" t="s">
        <v>1039</v>
      </c>
      <c r="D828" s="7">
        <v>827</v>
      </c>
      <c r="E828" s="7">
        <v>827</v>
      </c>
      <c r="F828" s="7">
        <v>827</v>
      </c>
      <c r="G828" s="11" t="s">
        <v>1025</v>
      </c>
      <c r="H828" s="20">
        <v>320729</v>
      </c>
      <c r="I828" s="12">
        <v>44829</v>
      </c>
      <c r="J828" s="12">
        <v>45498</v>
      </c>
      <c r="K828" s="25">
        <v>48024</v>
      </c>
      <c r="L828" s="23">
        <v>272705</v>
      </c>
      <c r="M828" s="30" t="s">
        <v>1052</v>
      </c>
      <c r="N828" s="30" t="s">
        <v>1055</v>
      </c>
    </row>
    <row r="829" spans="1:14" customFormat="1" x14ac:dyDescent="0.25">
      <c r="A829" s="7">
        <v>828</v>
      </c>
      <c r="B829" s="11" t="s">
        <v>843</v>
      </c>
      <c r="C829" s="7" t="s">
        <v>1039</v>
      </c>
      <c r="D829" s="7">
        <v>828</v>
      </c>
      <c r="E829" s="9">
        <v>828</v>
      </c>
      <c r="F829" s="7">
        <v>828</v>
      </c>
      <c r="G829" s="11" t="s">
        <v>1022</v>
      </c>
      <c r="H829" s="20">
        <v>16674</v>
      </c>
      <c r="I829" s="12">
        <v>44190</v>
      </c>
      <c r="J829" s="12">
        <v>44617</v>
      </c>
      <c r="K829" s="25">
        <v>10433</v>
      </c>
      <c r="L829" s="23">
        <v>6241</v>
      </c>
      <c r="M829" s="30" t="s">
        <v>1052</v>
      </c>
      <c r="N829" s="30" t="s">
        <v>1055</v>
      </c>
    </row>
    <row r="830" spans="1:14" customFormat="1" x14ac:dyDescent="0.25">
      <c r="A830" s="7">
        <v>829</v>
      </c>
      <c r="B830" s="11" t="s">
        <v>844</v>
      </c>
      <c r="C830" s="7" t="s">
        <v>1039</v>
      </c>
      <c r="D830" s="7">
        <v>829</v>
      </c>
      <c r="E830" s="7">
        <v>829</v>
      </c>
      <c r="F830" s="7">
        <v>829</v>
      </c>
      <c r="G830" s="11" t="s">
        <v>1024</v>
      </c>
      <c r="H830" s="20">
        <v>646912</v>
      </c>
      <c r="I830" s="12">
        <v>44552</v>
      </c>
      <c r="J830" s="12">
        <v>44979</v>
      </c>
      <c r="K830" s="25">
        <v>249605</v>
      </c>
      <c r="L830" s="23">
        <v>397307</v>
      </c>
      <c r="M830" s="30" t="s">
        <v>1052</v>
      </c>
      <c r="N830" s="30" t="s">
        <v>1055</v>
      </c>
    </row>
    <row r="831" spans="1:14" customFormat="1" x14ac:dyDescent="0.25">
      <c r="A831" s="7">
        <v>830</v>
      </c>
      <c r="B831" s="11" t="s">
        <v>845</v>
      </c>
      <c r="C831" s="7" t="s">
        <v>1039</v>
      </c>
      <c r="D831" s="7">
        <v>830</v>
      </c>
      <c r="E831" s="7">
        <v>830</v>
      </c>
      <c r="F831" s="7">
        <v>830</v>
      </c>
      <c r="G831" s="11" t="s">
        <v>1026</v>
      </c>
      <c r="H831" s="20">
        <v>3975290</v>
      </c>
      <c r="I831" s="12">
        <v>45323</v>
      </c>
      <c r="J831" s="12">
        <v>45962</v>
      </c>
      <c r="K831" s="25">
        <v>1217455</v>
      </c>
      <c r="L831" s="23">
        <v>2757835</v>
      </c>
      <c r="M831" s="30" t="s">
        <v>1052</v>
      </c>
      <c r="N831" s="30" t="s">
        <v>1055</v>
      </c>
    </row>
    <row r="832" spans="1:14" customFormat="1" x14ac:dyDescent="0.25">
      <c r="A832" s="7">
        <v>831</v>
      </c>
      <c r="B832" s="11" t="s">
        <v>846</v>
      </c>
      <c r="C832" s="7" t="s">
        <v>1039</v>
      </c>
      <c r="D832" s="7">
        <v>831</v>
      </c>
      <c r="E832" s="9">
        <v>831</v>
      </c>
      <c r="F832" s="7">
        <v>831</v>
      </c>
      <c r="G832" s="11" t="s">
        <v>1020</v>
      </c>
      <c r="H832" s="20">
        <v>436773</v>
      </c>
      <c r="I832" s="12">
        <v>45073</v>
      </c>
      <c r="J832" s="12">
        <v>45409</v>
      </c>
      <c r="K832" s="25">
        <v>38374</v>
      </c>
      <c r="L832" s="23">
        <v>398399</v>
      </c>
      <c r="M832" s="30" t="s">
        <v>1052</v>
      </c>
      <c r="N832" s="30" t="s">
        <v>1055</v>
      </c>
    </row>
    <row r="833" spans="1:14" customFormat="1" x14ac:dyDescent="0.25">
      <c r="A833" s="7">
        <v>832</v>
      </c>
      <c r="B833" s="11" t="s">
        <v>847</v>
      </c>
      <c r="C833" s="7" t="s">
        <v>1039</v>
      </c>
      <c r="D833" s="7">
        <v>832</v>
      </c>
      <c r="E833" s="7">
        <v>832</v>
      </c>
      <c r="F833" s="7">
        <v>832</v>
      </c>
      <c r="G833" s="11" t="s">
        <v>1023</v>
      </c>
      <c r="H833" s="20">
        <v>1346</v>
      </c>
      <c r="I833" s="12">
        <v>44284</v>
      </c>
      <c r="J833" s="12">
        <v>44468</v>
      </c>
      <c r="K833" s="25">
        <v>749</v>
      </c>
      <c r="L833" s="23">
        <v>597</v>
      </c>
      <c r="M833" s="30" t="s">
        <v>1052</v>
      </c>
      <c r="N833" s="30" t="s">
        <v>1055</v>
      </c>
    </row>
    <row r="834" spans="1:14" customFormat="1" x14ac:dyDescent="0.25">
      <c r="A834" s="7">
        <v>833</v>
      </c>
      <c r="B834" s="11" t="s">
        <v>848</v>
      </c>
      <c r="C834" s="7" t="s">
        <v>1039</v>
      </c>
      <c r="D834" s="7">
        <v>833</v>
      </c>
      <c r="E834" s="7">
        <v>833</v>
      </c>
      <c r="F834" s="7">
        <v>833</v>
      </c>
      <c r="G834" s="11" t="s">
        <v>1025</v>
      </c>
      <c r="H834" s="20">
        <v>131092</v>
      </c>
      <c r="I834" s="12">
        <v>45150</v>
      </c>
      <c r="J834" s="12">
        <v>45728</v>
      </c>
      <c r="K834" s="25">
        <v>18924</v>
      </c>
      <c r="L834" s="23">
        <v>112168</v>
      </c>
      <c r="M834" s="30" t="s">
        <v>1052</v>
      </c>
      <c r="N834" s="30" t="s">
        <v>1055</v>
      </c>
    </row>
    <row r="835" spans="1:14" customFormat="1" x14ac:dyDescent="0.25">
      <c r="A835" s="7">
        <v>834</v>
      </c>
      <c r="B835" s="11" t="s">
        <v>849</v>
      </c>
      <c r="C835" s="7" t="s">
        <v>1039</v>
      </c>
      <c r="D835" s="7">
        <v>834</v>
      </c>
      <c r="E835" s="9">
        <v>834</v>
      </c>
      <c r="F835" s="7">
        <v>834</v>
      </c>
      <c r="G835" s="11" t="s">
        <v>1025</v>
      </c>
      <c r="H835" s="20">
        <v>115583</v>
      </c>
      <c r="I835" s="12">
        <v>44534</v>
      </c>
      <c r="J835" s="12">
        <v>44838</v>
      </c>
      <c r="K835" s="25">
        <v>101235</v>
      </c>
      <c r="L835" s="23">
        <v>14348</v>
      </c>
      <c r="M835" s="30" t="s">
        <v>1052</v>
      </c>
      <c r="N835" s="30" t="s">
        <v>1055</v>
      </c>
    </row>
    <row r="836" spans="1:14" customFormat="1" x14ac:dyDescent="0.25">
      <c r="A836" s="7">
        <v>835</v>
      </c>
      <c r="B836" s="11" t="s">
        <v>850</v>
      </c>
      <c r="C836" s="7" t="s">
        <v>1039</v>
      </c>
      <c r="D836" s="7">
        <v>835</v>
      </c>
      <c r="E836" s="7">
        <v>835</v>
      </c>
      <c r="F836" s="7">
        <v>835</v>
      </c>
      <c r="G836" s="11" t="s">
        <v>1026</v>
      </c>
      <c r="H836" s="20">
        <v>3740478</v>
      </c>
      <c r="I836" s="12">
        <v>44357</v>
      </c>
      <c r="J836" s="12">
        <v>44967</v>
      </c>
      <c r="K836" s="25">
        <v>95278</v>
      </c>
      <c r="L836" s="23">
        <v>3645200</v>
      </c>
      <c r="M836" s="30" t="s">
        <v>1052</v>
      </c>
      <c r="N836" s="30" t="s">
        <v>1055</v>
      </c>
    </row>
    <row r="837" spans="1:14" customFormat="1" x14ac:dyDescent="0.25">
      <c r="A837" s="7">
        <v>836</v>
      </c>
      <c r="B837" s="11" t="s">
        <v>851</v>
      </c>
      <c r="C837" s="7" t="s">
        <v>1039</v>
      </c>
      <c r="D837" s="7">
        <v>836</v>
      </c>
      <c r="E837" s="7">
        <v>836</v>
      </c>
      <c r="F837" s="7">
        <v>836</v>
      </c>
      <c r="G837" s="11" t="s">
        <v>1020</v>
      </c>
      <c r="H837" s="20">
        <v>384844</v>
      </c>
      <c r="I837" s="12">
        <v>44838</v>
      </c>
      <c r="J837" s="12">
        <v>45355</v>
      </c>
      <c r="K837" s="25">
        <v>238400</v>
      </c>
      <c r="L837" s="23">
        <v>146444</v>
      </c>
      <c r="M837" s="30" t="s">
        <v>1052</v>
      </c>
      <c r="N837" s="30" t="s">
        <v>1055</v>
      </c>
    </row>
    <row r="838" spans="1:14" customFormat="1" x14ac:dyDescent="0.25">
      <c r="A838" s="7">
        <v>837</v>
      </c>
      <c r="B838" s="11" t="s">
        <v>852</v>
      </c>
      <c r="C838" s="7" t="s">
        <v>1039</v>
      </c>
      <c r="D838" s="7">
        <v>837</v>
      </c>
      <c r="E838" s="9">
        <v>837</v>
      </c>
      <c r="F838" s="7">
        <v>837</v>
      </c>
      <c r="G838" s="11" t="s">
        <v>1026</v>
      </c>
      <c r="H838" s="20">
        <v>1538197</v>
      </c>
      <c r="I838" s="12">
        <v>45673</v>
      </c>
      <c r="J838" s="12">
        <v>46158</v>
      </c>
      <c r="K838" s="25">
        <v>224445</v>
      </c>
      <c r="L838" s="23">
        <v>1313752</v>
      </c>
      <c r="M838" s="30" t="s">
        <v>1052</v>
      </c>
      <c r="N838" s="30" t="s">
        <v>1055</v>
      </c>
    </row>
    <row r="839" spans="1:14" customFormat="1" x14ac:dyDescent="0.25">
      <c r="A839" s="7">
        <v>838</v>
      </c>
      <c r="B839" s="11" t="s">
        <v>853</v>
      </c>
      <c r="C839" s="7" t="s">
        <v>1039</v>
      </c>
      <c r="D839" s="7">
        <v>838</v>
      </c>
      <c r="E839" s="7">
        <v>838</v>
      </c>
      <c r="F839" s="7">
        <v>838</v>
      </c>
      <c r="G839" s="11" t="s">
        <v>1025</v>
      </c>
      <c r="H839" s="20">
        <v>470386</v>
      </c>
      <c r="I839" s="12">
        <v>44587</v>
      </c>
      <c r="J839" s="12">
        <v>45103</v>
      </c>
      <c r="K839" s="25">
        <v>207668</v>
      </c>
      <c r="L839" s="23">
        <v>262718</v>
      </c>
      <c r="M839" s="30" t="s">
        <v>1052</v>
      </c>
      <c r="N839" s="30" t="s">
        <v>1055</v>
      </c>
    </row>
    <row r="840" spans="1:14" customFormat="1" x14ac:dyDescent="0.25">
      <c r="A840" s="7">
        <v>839</v>
      </c>
      <c r="B840" s="11" t="s">
        <v>854</v>
      </c>
      <c r="C840" s="7" t="s">
        <v>1039</v>
      </c>
      <c r="D840" s="7">
        <v>839</v>
      </c>
      <c r="E840" s="7">
        <v>839</v>
      </c>
      <c r="F840" s="7">
        <v>839</v>
      </c>
      <c r="G840" s="11" t="s">
        <v>1016</v>
      </c>
      <c r="H840" s="20">
        <v>31620</v>
      </c>
      <c r="I840" s="12">
        <v>45589</v>
      </c>
      <c r="J840" s="12">
        <v>45862</v>
      </c>
      <c r="K840" s="25">
        <v>2088</v>
      </c>
      <c r="L840" s="23">
        <v>29532</v>
      </c>
      <c r="M840" s="30" t="s">
        <v>1052</v>
      </c>
      <c r="N840" s="30" t="s">
        <v>1055</v>
      </c>
    </row>
    <row r="841" spans="1:14" customFormat="1" x14ac:dyDescent="0.25">
      <c r="A841" s="7">
        <v>840</v>
      </c>
      <c r="B841" s="11" t="s">
        <v>855</v>
      </c>
      <c r="C841" s="7" t="s">
        <v>1039</v>
      </c>
      <c r="D841" s="7">
        <v>840</v>
      </c>
      <c r="E841" s="9">
        <v>840</v>
      </c>
      <c r="F841" s="7">
        <v>840</v>
      </c>
      <c r="G841" s="11" t="s">
        <v>1023</v>
      </c>
      <c r="H841" s="20">
        <v>1375</v>
      </c>
      <c r="I841" s="12">
        <v>44307</v>
      </c>
      <c r="J841" s="12">
        <v>44855</v>
      </c>
      <c r="K841" s="25">
        <v>614</v>
      </c>
      <c r="L841" s="23">
        <v>761</v>
      </c>
      <c r="M841" s="30" t="s">
        <v>1052</v>
      </c>
      <c r="N841" s="30" t="s">
        <v>1055</v>
      </c>
    </row>
    <row r="842" spans="1:14" customFormat="1" x14ac:dyDescent="0.25">
      <c r="A842" s="7">
        <v>841</v>
      </c>
      <c r="B842" s="11" t="s">
        <v>856</v>
      </c>
      <c r="C842" s="7" t="s">
        <v>1039</v>
      </c>
      <c r="D842" s="7">
        <v>841</v>
      </c>
      <c r="E842" s="7">
        <v>841</v>
      </c>
      <c r="F842" s="7">
        <v>841</v>
      </c>
      <c r="G842" s="11" t="s">
        <v>1022</v>
      </c>
      <c r="H842" s="20">
        <v>32901</v>
      </c>
      <c r="I842" s="12">
        <v>44784</v>
      </c>
      <c r="J842" s="12">
        <v>45515</v>
      </c>
      <c r="K842" s="25">
        <v>14709</v>
      </c>
      <c r="L842" s="23">
        <v>18192</v>
      </c>
      <c r="M842" s="30" t="s">
        <v>1052</v>
      </c>
      <c r="N842" s="30" t="s">
        <v>1055</v>
      </c>
    </row>
    <row r="843" spans="1:14" customFormat="1" x14ac:dyDescent="0.25">
      <c r="A843" s="7">
        <v>842</v>
      </c>
      <c r="B843" s="11" t="s">
        <v>857</v>
      </c>
      <c r="C843" s="7" t="s">
        <v>1039</v>
      </c>
      <c r="D843" s="7">
        <v>842</v>
      </c>
      <c r="E843" s="7">
        <v>842</v>
      </c>
      <c r="F843" s="7">
        <v>842</v>
      </c>
      <c r="G843" s="11" t="s">
        <v>1025</v>
      </c>
      <c r="H843" s="20">
        <v>331958</v>
      </c>
      <c r="I843" s="12">
        <v>44483</v>
      </c>
      <c r="J843" s="12">
        <v>44514</v>
      </c>
      <c r="K843" s="25">
        <v>307731</v>
      </c>
      <c r="L843" s="23">
        <v>24227</v>
      </c>
      <c r="M843" s="30" t="s">
        <v>1052</v>
      </c>
      <c r="N843" s="30" t="s">
        <v>1055</v>
      </c>
    </row>
    <row r="844" spans="1:14" customFormat="1" x14ac:dyDescent="0.25">
      <c r="A844" s="7">
        <v>843</v>
      </c>
      <c r="B844" s="11" t="s">
        <v>858</v>
      </c>
      <c r="C844" s="7" t="s">
        <v>1039</v>
      </c>
      <c r="D844" s="7">
        <v>843</v>
      </c>
      <c r="E844" s="9">
        <v>843</v>
      </c>
      <c r="F844" s="7">
        <v>843</v>
      </c>
      <c r="G844" s="11" t="s">
        <v>1023</v>
      </c>
      <c r="H844" s="20">
        <v>155</v>
      </c>
      <c r="I844" s="12">
        <v>45161</v>
      </c>
      <c r="J844" s="12">
        <v>45283</v>
      </c>
      <c r="K844" s="25">
        <v>46</v>
      </c>
      <c r="L844" s="23">
        <v>109</v>
      </c>
      <c r="M844" s="30" t="s">
        <v>1052</v>
      </c>
      <c r="N844" s="30" t="s">
        <v>1055</v>
      </c>
    </row>
    <row r="845" spans="1:14" customFormat="1" x14ac:dyDescent="0.25">
      <c r="A845" s="7">
        <v>844</v>
      </c>
      <c r="B845" s="11" t="s">
        <v>859</v>
      </c>
      <c r="C845" s="7" t="s">
        <v>1039</v>
      </c>
      <c r="D845" s="7">
        <v>844</v>
      </c>
      <c r="E845" s="7">
        <v>844</v>
      </c>
      <c r="F845" s="7">
        <v>844</v>
      </c>
      <c r="G845" s="11" t="s">
        <v>1022</v>
      </c>
      <c r="H845" s="20">
        <v>32283</v>
      </c>
      <c r="I845" s="12">
        <v>44174</v>
      </c>
      <c r="J845" s="12">
        <v>44356</v>
      </c>
      <c r="K845" s="25">
        <v>3816</v>
      </c>
      <c r="L845" s="23">
        <v>28467</v>
      </c>
      <c r="M845" s="30" t="s">
        <v>1052</v>
      </c>
      <c r="N845" s="30" t="s">
        <v>1055</v>
      </c>
    </row>
    <row r="846" spans="1:14" customFormat="1" x14ac:dyDescent="0.25">
      <c r="A846" s="7">
        <v>845</v>
      </c>
      <c r="B846" s="11" t="s">
        <v>860</v>
      </c>
      <c r="C846" s="7" t="s">
        <v>1039</v>
      </c>
      <c r="D846" s="7">
        <v>845</v>
      </c>
      <c r="E846" s="7">
        <v>845</v>
      </c>
      <c r="F846" s="7">
        <v>845</v>
      </c>
      <c r="G846" s="11" t="s">
        <v>1020</v>
      </c>
      <c r="H846" s="20">
        <v>224512</v>
      </c>
      <c r="I846" s="12">
        <v>45435</v>
      </c>
      <c r="J846" s="12">
        <v>45466</v>
      </c>
      <c r="K846" s="25">
        <v>161471</v>
      </c>
      <c r="L846" s="23">
        <v>63041</v>
      </c>
      <c r="M846" s="30" t="s">
        <v>1052</v>
      </c>
      <c r="N846" s="30" t="s">
        <v>1055</v>
      </c>
    </row>
    <row r="847" spans="1:14" customFormat="1" x14ac:dyDescent="0.25">
      <c r="A847" s="7">
        <v>846</v>
      </c>
      <c r="B847" s="11" t="s">
        <v>861</v>
      </c>
      <c r="C847" s="7" t="s">
        <v>1039</v>
      </c>
      <c r="D847" s="7">
        <v>846</v>
      </c>
      <c r="E847" s="9">
        <v>846</v>
      </c>
      <c r="F847" s="7">
        <v>846</v>
      </c>
      <c r="G847" s="11" t="s">
        <v>1023</v>
      </c>
      <c r="H847" s="20">
        <v>213</v>
      </c>
      <c r="I847" s="12">
        <v>44659</v>
      </c>
      <c r="J847" s="12">
        <v>45238</v>
      </c>
      <c r="K847" s="25">
        <v>66</v>
      </c>
      <c r="L847" s="23">
        <v>147</v>
      </c>
      <c r="M847" s="30" t="s">
        <v>1052</v>
      </c>
      <c r="N847" s="30" t="s">
        <v>1055</v>
      </c>
    </row>
    <row r="848" spans="1:14" customFormat="1" x14ac:dyDescent="0.25">
      <c r="A848" s="7">
        <v>847</v>
      </c>
      <c r="B848" s="11" t="s">
        <v>862</v>
      </c>
      <c r="C848" s="7" t="s">
        <v>1039</v>
      </c>
      <c r="D848" s="7">
        <v>847</v>
      </c>
      <c r="E848" s="7">
        <v>847</v>
      </c>
      <c r="F848" s="7">
        <v>847</v>
      </c>
      <c r="G848" s="11" t="s">
        <v>1016</v>
      </c>
      <c r="H848" s="20">
        <v>1628</v>
      </c>
      <c r="I848" s="12">
        <v>45611</v>
      </c>
      <c r="J848" s="12">
        <v>45976</v>
      </c>
      <c r="K848" s="25">
        <v>199</v>
      </c>
      <c r="L848" s="23">
        <v>1429</v>
      </c>
      <c r="M848" s="30" t="s">
        <v>1052</v>
      </c>
      <c r="N848" s="30" t="s">
        <v>1055</v>
      </c>
    </row>
    <row r="849" spans="1:14" customFormat="1" x14ac:dyDescent="0.25">
      <c r="A849" s="7">
        <v>848</v>
      </c>
      <c r="B849" s="11" t="s">
        <v>863</v>
      </c>
      <c r="C849" s="7" t="s">
        <v>1039</v>
      </c>
      <c r="D849" s="7">
        <v>848</v>
      </c>
      <c r="E849" s="7">
        <v>848</v>
      </c>
      <c r="F849" s="7">
        <v>848</v>
      </c>
      <c r="G849" s="11" t="s">
        <v>1024</v>
      </c>
      <c r="H849" s="20">
        <v>742334</v>
      </c>
      <c r="I849" s="12">
        <v>45337</v>
      </c>
      <c r="J849" s="12">
        <v>46006</v>
      </c>
      <c r="K849" s="25">
        <v>1170</v>
      </c>
      <c r="L849" s="23">
        <v>741164</v>
      </c>
      <c r="M849" s="30" t="s">
        <v>1052</v>
      </c>
      <c r="N849" s="30" t="s">
        <v>1055</v>
      </c>
    </row>
    <row r="850" spans="1:14" customFormat="1" x14ac:dyDescent="0.25">
      <c r="A850" s="7">
        <v>849</v>
      </c>
      <c r="B850" s="11" t="s">
        <v>864</v>
      </c>
      <c r="C850" s="7" t="s">
        <v>1039</v>
      </c>
      <c r="D850" s="7">
        <v>849</v>
      </c>
      <c r="E850" s="9">
        <v>849</v>
      </c>
      <c r="F850" s="7">
        <v>849</v>
      </c>
      <c r="G850" s="11" t="s">
        <v>1026</v>
      </c>
      <c r="H850" s="20">
        <v>889777</v>
      </c>
      <c r="I850" s="12">
        <v>45648</v>
      </c>
      <c r="J850" s="12">
        <v>45738</v>
      </c>
      <c r="K850" s="25">
        <v>864767</v>
      </c>
      <c r="L850" s="23">
        <v>25010</v>
      </c>
      <c r="M850" s="30" t="s">
        <v>1052</v>
      </c>
      <c r="N850" s="30" t="s">
        <v>1055</v>
      </c>
    </row>
    <row r="851" spans="1:14" customFormat="1" x14ac:dyDescent="0.25">
      <c r="A851" s="7">
        <v>850</v>
      </c>
      <c r="B851" s="11" t="s">
        <v>865</v>
      </c>
      <c r="C851" s="7" t="s">
        <v>1039</v>
      </c>
      <c r="D851" s="7">
        <v>850</v>
      </c>
      <c r="E851" s="7">
        <v>850</v>
      </c>
      <c r="F851" s="7">
        <v>850</v>
      </c>
      <c r="G851" s="11" t="s">
        <v>1021</v>
      </c>
      <c r="H851" s="20">
        <v>16488</v>
      </c>
      <c r="I851" s="12">
        <v>44955</v>
      </c>
      <c r="J851" s="12">
        <v>44985</v>
      </c>
      <c r="K851" s="25">
        <v>5381</v>
      </c>
      <c r="L851" s="23">
        <v>11107</v>
      </c>
      <c r="M851" s="30" t="s">
        <v>1052</v>
      </c>
      <c r="N851" s="30" t="s">
        <v>1055</v>
      </c>
    </row>
    <row r="852" spans="1:14" customFormat="1" x14ac:dyDescent="0.25">
      <c r="A852" s="7">
        <v>851</v>
      </c>
      <c r="B852" s="11" t="s">
        <v>866</v>
      </c>
      <c r="C852" s="7" t="s">
        <v>1039</v>
      </c>
      <c r="D852" s="7">
        <v>851</v>
      </c>
      <c r="E852" s="7">
        <v>851</v>
      </c>
      <c r="F852" s="7">
        <v>851</v>
      </c>
      <c r="G852" s="11" t="s">
        <v>1021</v>
      </c>
      <c r="H852" s="20">
        <v>88998</v>
      </c>
      <c r="I852" s="12">
        <v>44326</v>
      </c>
      <c r="J852" s="12">
        <v>44752</v>
      </c>
      <c r="K852" s="25">
        <v>28245</v>
      </c>
      <c r="L852" s="23">
        <v>60753</v>
      </c>
      <c r="M852" s="30" t="s">
        <v>1052</v>
      </c>
      <c r="N852" s="30" t="s">
        <v>1055</v>
      </c>
    </row>
    <row r="853" spans="1:14" customFormat="1" x14ac:dyDescent="0.25">
      <c r="A853" s="7">
        <v>852</v>
      </c>
      <c r="B853" s="11" t="s">
        <v>867</v>
      </c>
      <c r="C853" s="7" t="s">
        <v>1039</v>
      </c>
      <c r="D853" s="7">
        <v>852</v>
      </c>
      <c r="E853" s="9">
        <v>852</v>
      </c>
      <c r="F853" s="7">
        <v>852</v>
      </c>
      <c r="G853" s="11" t="s">
        <v>1027</v>
      </c>
      <c r="H853" s="20">
        <v>41237</v>
      </c>
      <c r="I853" s="12">
        <v>45648</v>
      </c>
      <c r="J853" s="12">
        <v>45769</v>
      </c>
      <c r="K853" s="25">
        <v>26725</v>
      </c>
      <c r="L853" s="23">
        <v>14512</v>
      </c>
      <c r="M853" s="30" t="s">
        <v>1052</v>
      </c>
      <c r="N853" s="30" t="s">
        <v>1055</v>
      </c>
    </row>
    <row r="854" spans="1:14" customFormat="1" x14ac:dyDescent="0.25">
      <c r="A854" s="7">
        <v>853</v>
      </c>
      <c r="B854" s="11" t="s">
        <v>868</v>
      </c>
      <c r="C854" s="7" t="s">
        <v>1039</v>
      </c>
      <c r="D854" s="7">
        <v>853</v>
      </c>
      <c r="E854" s="7">
        <v>853</v>
      </c>
      <c r="F854" s="7">
        <v>853</v>
      </c>
      <c r="G854" s="11" t="s">
        <v>1027</v>
      </c>
      <c r="H854" s="20">
        <v>35256</v>
      </c>
      <c r="I854" s="12">
        <v>45511</v>
      </c>
      <c r="J854" s="12">
        <v>45784</v>
      </c>
      <c r="K854" s="25">
        <v>10421</v>
      </c>
      <c r="L854" s="23">
        <v>24835</v>
      </c>
      <c r="M854" s="30" t="s">
        <v>1052</v>
      </c>
      <c r="N854" s="30" t="s">
        <v>1055</v>
      </c>
    </row>
    <row r="855" spans="1:14" customFormat="1" x14ac:dyDescent="0.25">
      <c r="A855" s="7">
        <v>854</v>
      </c>
      <c r="B855" s="11" t="s">
        <v>869</v>
      </c>
      <c r="C855" s="7" t="s">
        <v>1039</v>
      </c>
      <c r="D855" s="7">
        <v>854</v>
      </c>
      <c r="E855" s="7">
        <v>854</v>
      </c>
      <c r="F855" s="7">
        <v>854</v>
      </c>
      <c r="G855" s="11" t="s">
        <v>1025</v>
      </c>
      <c r="H855" s="20">
        <v>404087</v>
      </c>
      <c r="I855" s="12">
        <v>45478</v>
      </c>
      <c r="J855" s="12">
        <v>45601</v>
      </c>
      <c r="K855" s="25">
        <v>11104</v>
      </c>
      <c r="L855" s="23">
        <v>392983</v>
      </c>
      <c r="M855" s="30" t="s">
        <v>1052</v>
      </c>
      <c r="N855" s="30" t="s">
        <v>1055</v>
      </c>
    </row>
    <row r="856" spans="1:14" customFormat="1" x14ac:dyDescent="0.25">
      <c r="A856" s="7">
        <v>855</v>
      </c>
      <c r="B856" s="11" t="s">
        <v>870</v>
      </c>
      <c r="C856" s="7" t="s">
        <v>1039</v>
      </c>
      <c r="D856" s="7">
        <v>855</v>
      </c>
      <c r="E856" s="9">
        <v>855</v>
      </c>
      <c r="F856" s="7">
        <v>855</v>
      </c>
      <c r="G856" s="11" t="s">
        <v>1021</v>
      </c>
      <c r="H856" s="20">
        <v>67761</v>
      </c>
      <c r="I856" s="12">
        <v>44618</v>
      </c>
      <c r="J856" s="12">
        <v>44677</v>
      </c>
      <c r="K856" s="25">
        <v>59737</v>
      </c>
      <c r="L856" s="23">
        <v>8024</v>
      </c>
      <c r="M856" s="30" t="s">
        <v>1052</v>
      </c>
      <c r="N856" s="30" t="s">
        <v>1055</v>
      </c>
    </row>
    <row r="857" spans="1:14" customFormat="1" x14ac:dyDescent="0.25">
      <c r="A857" s="7">
        <v>856</v>
      </c>
      <c r="B857" s="11" t="s">
        <v>871</v>
      </c>
      <c r="C857" s="7" t="s">
        <v>1039</v>
      </c>
      <c r="D857" s="7">
        <v>856</v>
      </c>
      <c r="E857" s="7">
        <v>856</v>
      </c>
      <c r="F857" s="7">
        <v>856</v>
      </c>
      <c r="G857" s="11" t="s">
        <v>1016</v>
      </c>
      <c r="H857" s="20">
        <v>44854</v>
      </c>
      <c r="I857" s="12">
        <v>45671</v>
      </c>
      <c r="J857" s="12">
        <v>46340</v>
      </c>
      <c r="K857" s="25">
        <v>10413</v>
      </c>
      <c r="L857" s="23">
        <v>34441</v>
      </c>
      <c r="M857" s="30" t="s">
        <v>1052</v>
      </c>
      <c r="N857" s="30" t="s">
        <v>1055</v>
      </c>
    </row>
    <row r="858" spans="1:14" customFormat="1" x14ac:dyDescent="0.25">
      <c r="A858" s="7">
        <v>857</v>
      </c>
      <c r="B858" s="11" t="s">
        <v>872</v>
      </c>
      <c r="C858" s="7" t="s">
        <v>1039</v>
      </c>
      <c r="D858" s="7">
        <v>857</v>
      </c>
      <c r="E858" s="7">
        <v>857</v>
      </c>
      <c r="F858" s="7">
        <v>857</v>
      </c>
      <c r="G858" s="11" t="s">
        <v>1024</v>
      </c>
      <c r="H858" s="20">
        <v>190170</v>
      </c>
      <c r="I858" s="12">
        <v>43864</v>
      </c>
      <c r="J858" s="12">
        <v>44533</v>
      </c>
      <c r="K858" s="25">
        <v>186680</v>
      </c>
      <c r="L858" s="23">
        <v>3490</v>
      </c>
      <c r="M858" s="30" t="s">
        <v>1052</v>
      </c>
      <c r="N858" s="30" t="s">
        <v>1055</v>
      </c>
    </row>
    <row r="859" spans="1:14" customFormat="1" x14ac:dyDescent="0.25">
      <c r="A859" s="7">
        <v>858</v>
      </c>
      <c r="B859" s="11" t="s">
        <v>873</v>
      </c>
      <c r="C859" s="7" t="s">
        <v>1039</v>
      </c>
      <c r="D859" s="7">
        <v>858</v>
      </c>
      <c r="E859" s="9">
        <v>858</v>
      </c>
      <c r="F859" s="7">
        <v>858</v>
      </c>
      <c r="G859" s="11" t="s">
        <v>1024</v>
      </c>
      <c r="H859" s="20">
        <v>955996</v>
      </c>
      <c r="I859" s="12">
        <v>44010</v>
      </c>
      <c r="J859" s="12">
        <v>44497</v>
      </c>
      <c r="K859" s="25">
        <v>243851</v>
      </c>
      <c r="L859" s="23">
        <v>712145</v>
      </c>
      <c r="M859" s="30" t="s">
        <v>1052</v>
      </c>
      <c r="N859" s="30" t="s">
        <v>1055</v>
      </c>
    </row>
    <row r="860" spans="1:14" customFormat="1" x14ac:dyDescent="0.25">
      <c r="A860" s="7">
        <v>859</v>
      </c>
      <c r="B860" s="11" t="s">
        <v>874</v>
      </c>
      <c r="C860" s="7" t="s">
        <v>1039</v>
      </c>
      <c r="D860" s="7">
        <v>859</v>
      </c>
      <c r="E860" s="7">
        <v>859</v>
      </c>
      <c r="F860" s="7">
        <v>859</v>
      </c>
      <c r="G860" s="11" t="s">
        <v>1022</v>
      </c>
      <c r="H860" s="20">
        <v>24331</v>
      </c>
      <c r="I860" s="12">
        <v>44876</v>
      </c>
      <c r="J860" s="12">
        <v>45057</v>
      </c>
      <c r="K860" s="25">
        <v>5926</v>
      </c>
      <c r="L860" s="23">
        <v>18405</v>
      </c>
      <c r="M860" s="30" t="s">
        <v>1052</v>
      </c>
      <c r="N860" s="30" t="s">
        <v>1055</v>
      </c>
    </row>
    <row r="861" spans="1:14" customFormat="1" x14ac:dyDescent="0.25">
      <c r="A861" s="7">
        <v>860</v>
      </c>
      <c r="B861" s="11" t="s">
        <v>875</v>
      </c>
      <c r="C861" s="7" t="s">
        <v>1039</v>
      </c>
      <c r="D861" s="7">
        <v>860</v>
      </c>
      <c r="E861" s="7">
        <v>860</v>
      </c>
      <c r="F861" s="7">
        <v>860</v>
      </c>
      <c r="G861" s="11" t="s">
        <v>1022</v>
      </c>
      <c r="H861" s="20">
        <v>15103</v>
      </c>
      <c r="I861" s="12">
        <v>44033</v>
      </c>
      <c r="J861" s="12">
        <v>44460</v>
      </c>
      <c r="K861" s="25">
        <v>6569</v>
      </c>
      <c r="L861" s="23">
        <v>8534</v>
      </c>
      <c r="M861" s="30" t="s">
        <v>1052</v>
      </c>
      <c r="N861" s="30" t="s">
        <v>1055</v>
      </c>
    </row>
    <row r="862" spans="1:14" customFormat="1" x14ac:dyDescent="0.25">
      <c r="A862" s="7">
        <v>861</v>
      </c>
      <c r="B862" s="11" t="s">
        <v>876</v>
      </c>
      <c r="C862" s="7" t="s">
        <v>1039</v>
      </c>
      <c r="D862" s="7">
        <v>861</v>
      </c>
      <c r="E862" s="9">
        <v>861</v>
      </c>
      <c r="F862" s="7">
        <v>861</v>
      </c>
      <c r="G862" s="11" t="s">
        <v>1025</v>
      </c>
      <c r="H862" s="20">
        <v>207560</v>
      </c>
      <c r="I862" s="12">
        <v>45259</v>
      </c>
      <c r="J862" s="12">
        <v>45380</v>
      </c>
      <c r="K862" s="25">
        <v>59906</v>
      </c>
      <c r="L862" s="23">
        <v>147654</v>
      </c>
      <c r="M862" s="30" t="s">
        <v>1052</v>
      </c>
      <c r="N862" s="30" t="s">
        <v>1055</v>
      </c>
    </row>
    <row r="863" spans="1:14" customFormat="1" x14ac:dyDescent="0.25">
      <c r="A863" s="7">
        <v>862</v>
      </c>
      <c r="B863" s="11" t="s">
        <v>877</v>
      </c>
      <c r="C863" s="7" t="s">
        <v>1039</v>
      </c>
      <c r="D863" s="7">
        <v>862</v>
      </c>
      <c r="E863" s="7">
        <v>862</v>
      </c>
      <c r="F863" s="7">
        <v>862</v>
      </c>
      <c r="G863" s="11" t="s">
        <v>1026</v>
      </c>
      <c r="H863" s="20">
        <v>1424984</v>
      </c>
      <c r="I863" s="12">
        <v>43906</v>
      </c>
      <c r="J863" s="12">
        <v>43998</v>
      </c>
      <c r="K863" s="25">
        <v>1328937</v>
      </c>
      <c r="L863" s="23">
        <v>96047</v>
      </c>
      <c r="M863" s="30" t="s">
        <v>1052</v>
      </c>
      <c r="N863" s="30" t="s">
        <v>1055</v>
      </c>
    </row>
    <row r="864" spans="1:14" customFormat="1" x14ac:dyDescent="0.25">
      <c r="A864" s="7">
        <v>863</v>
      </c>
      <c r="B864" s="11" t="s">
        <v>878</v>
      </c>
      <c r="C864" s="7" t="s">
        <v>1039</v>
      </c>
      <c r="D864" s="7">
        <v>863</v>
      </c>
      <c r="E864" s="7">
        <v>863</v>
      </c>
      <c r="F864" s="7">
        <v>863</v>
      </c>
      <c r="G864" s="11" t="s">
        <v>1025</v>
      </c>
      <c r="H864" s="20">
        <v>293733</v>
      </c>
      <c r="I864" s="12">
        <v>45352</v>
      </c>
      <c r="J864" s="12">
        <v>45870</v>
      </c>
      <c r="K864" s="25">
        <v>27052</v>
      </c>
      <c r="L864" s="23">
        <v>266681</v>
      </c>
      <c r="M864" s="30" t="s">
        <v>1052</v>
      </c>
      <c r="N864" s="30" t="s">
        <v>1055</v>
      </c>
    </row>
    <row r="865" spans="1:14" customFormat="1" x14ac:dyDescent="0.25">
      <c r="A865" s="7">
        <v>864</v>
      </c>
      <c r="B865" s="11" t="s">
        <v>879</v>
      </c>
      <c r="C865" s="7" t="s">
        <v>1039</v>
      </c>
      <c r="D865" s="7">
        <v>864</v>
      </c>
      <c r="E865" s="9">
        <v>864</v>
      </c>
      <c r="F865" s="7">
        <v>864</v>
      </c>
      <c r="G865" s="11" t="s">
        <v>1022</v>
      </c>
      <c r="H865" s="20">
        <v>14148</v>
      </c>
      <c r="I865" s="12">
        <v>44580</v>
      </c>
      <c r="J865" s="12">
        <v>45096</v>
      </c>
      <c r="K865" s="25">
        <v>2368</v>
      </c>
      <c r="L865" s="23">
        <v>11780</v>
      </c>
      <c r="M865" s="30" t="s">
        <v>1052</v>
      </c>
      <c r="N865" s="30" t="s">
        <v>1055</v>
      </c>
    </row>
    <row r="866" spans="1:14" customFormat="1" x14ac:dyDescent="0.25">
      <c r="A866" s="7">
        <v>865</v>
      </c>
      <c r="B866" s="11" t="s">
        <v>880</v>
      </c>
      <c r="C866" s="7" t="s">
        <v>1039</v>
      </c>
      <c r="D866" s="7">
        <v>865</v>
      </c>
      <c r="E866" s="7">
        <v>865</v>
      </c>
      <c r="F866" s="7">
        <v>865</v>
      </c>
      <c r="G866" s="11" t="s">
        <v>1021</v>
      </c>
      <c r="H866" s="20">
        <v>15554</v>
      </c>
      <c r="I866" s="12">
        <v>45403</v>
      </c>
      <c r="J866" s="12">
        <v>45859</v>
      </c>
      <c r="K866" s="25">
        <v>3900</v>
      </c>
      <c r="L866" s="23">
        <v>11654</v>
      </c>
      <c r="M866" s="30" t="s">
        <v>1052</v>
      </c>
      <c r="N866" s="30" t="s">
        <v>1055</v>
      </c>
    </row>
    <row r="867" spans="1:14" customFormat="1" x14ac:dyDescent="0.25">
      <c r="A867" s="7">
        <v>866</v>
      </c>
      <c r="B867" s="11" t="s">
        <v>881</v>
      </c>
      <c r="C867" s="7" t="s">
        <v>1039</v>
      </c>
      <c r="D867" s="7">
        <v>866</v>
      </c>
      <c r="E867" s="7">
        <v>866</v>
      </c>
      <c r="F867" s="7">
        <v>866</v>
      </c>
      <c r="G867" s="11" t="s">
        <v>1027</v>
      </c>
      <c r="H867" s="20">
        <v>40638</v>
      </c>
      <c r="I867" s="12">
        <v>44997</v>
      </c>
      <c r="J867" s="12">
        <v>45150</v>
      </c>
      <c r="K867" s="25">
        <v>5316</v>
      </c>
      <c r="L867" s="23">
        <v>35322</v>
      </c>
      <c r="M867" s="30" t="s">
        <v>1052</v>
      </c>
      <c r="N867" s="30" t="s">
        <v>1055</v>
      </c>
    </row>
    <row r="868" spans="1:14" customFormat="1" x14ac:dyDescent="0.25">
      <c r="A868" s="7">
        <v>867</v>
      </c>
      <c r="B868" s="11" t="s">
        <v>882</v>
      </c>
      <c r="C868" s="7" t="s">
        <v>1039</v>
      </c>
      <c r="D868" s="7">
        <v>867</v>
      </c>
      <c r="E868" s="9">
        <v>867</v>
      </c>
      <c r="F868" s="7">
        <v>867</v>
      </c>
      <c r="G868" s="11" t="s">
        <v>1021</v>
      </c>
      <c r="H868" s="20">
        <v>75841</v>
      </c>
      <c r="I868" s="12">
        <v>45029</v>
      </c>
      <c r="J868" s="12">
        <v>45304</v>
      </c>
      <c r="K868" s="25">
        <v>22887</v>
      </c>
      <c r="L868" s="23">
        <v>52954</v>
      </c>
      <c r="M868" s="30" t="s">
        <v>1052</v>
      </c>
      <c r="N868" s="30" t="s">
        <v>1055</v>
      </c>
    </row>
    <row r="869" spans="1:14" customFormat="1" x14ac:dyDescent="0.25">
      <c r="A869" s="7">
        <v>868</v>
      </c>
      <c r="B869" s="11" t="s">
        <v>883</v>
      </c>
      <c r="C869" s="7" t="s">
        <v>1039</v>
      </c>
      <c r="D869" s="7">
        <v>868</v>
      </c>
      <c r="E869" s="7">
        <v>868</v>
      </c>
      <c r="F869" s="7">
        <v>868</v>
      </c>
      <c r="G869" s="11" t="s">
        <v>1027</v>
      </c>
      <c r="H869" s="20">
        <v>28094</v>
      </c>
      <c r="I869" s="12">
        <v>44233</v>
      </c>
      <c r="J869" s="12">
        <v>44536</v>
      </c>
      <c r="K869" s="25">
        <v>4599</v>
      </c>
      <c r="L869" s="23">
        <v>23495</v>
      </c>
      <c r="M869" s="30" t="s">
        <v>1052</v>
      </c>
      <c r="N869" s="30" t="s">
        <v>1055</v>
      </c>
    </row>
    <row r="870" spans="1:14" customFormat="1" x14ac:dyDescent="0.25">
      <c r="A870" s="7">
        <v>869</v>
      </c>
      <c r="B870" s="11" t="s">
        <v>884</v>
      </c>
      <c r="C870" s="7" t="s">
        <v>1039</v>
      </c>
      <c r="D870" s="7">
        <v>869</v>
      </c>
      <c r="E870" s="7">
        <v>869</v>
      </c>
      <c r="F870" s="7">
        <v>869</v>
      </c>
      <c r="G870" s="11" t="s">
        <v>1025</v>
      </c>
      <c r="H870" s="20">
        <v>152682</v>
      </c>
      <c r="I870" s="12">
        <v>44208</v>
      </c>
      <c r="J870" s="12">
        <v>44267</v>
      </c>
      <c r="K870" s="25">
        <v>127264</v>
      </c>
      <c r="L870" s="23">
        <v>25418</v>
      </c>
      <c r="M870" s="30" t="s">
        <v>1052</v>
      </c>
      <c r="N870" s="30" t="s">
        <v>1055</v>
      </c>
    </row>
    <row r="871" spans="1:14" customFormat="1" x14ac:dyDescent="0.25">
      <c r="A871" s="7">
        <v>870</v>
      </c>
      <c r="B871" s="11" t="s">
        <v>885</v>
      </c>
      <c r="C871" s="7" t="s">
        <v>1039</v>
      </c>
      <c r="D871" s="7">
        <v>870</v>
      </c>
      <c r="E871" s="9">
        <v>870</v>
      </c>
      <c r="F871" s="7">
        <v>870</v>
      </c>
      <c r="G871" s="11" t="s">
        <v>1027</v>
      </c>
      <c r="H871" s="20">
        <v>33320</v>
      </c>
      <c r="I871" s="12">
        <v>44118</v>
      </c>
      <c r="J871" s="12">
        <v>44269</v>
      </c>
      <c r="K871" s="25">
        <v>22524</v>
      </c>
      <c r="L871" s="23">
        <v>10796</v>
      </c>
      <c r="M871" s="30" t="s">
        <v>1052</v>
      </c>
      <c r="N871" s="30" t="s">
        <v>1055</v>
      </c>
    </row>
    <row r="872" spans="1:14" customFormat="1" x14ac:dyDescent="0.25">
      <c r="A872" s="7">
        <v>871</v>
      </c>
      <c r="B872" s="11" t="s">
        <v>886</v>
      </c>
      <c r="C872" s="7" t="s">
        <v>1039</v>
      </c>
      <c r="D872" s="7">
        <v>871</v>
      </c>
      <c r="E872" s="7">
        <v>871</v>
      </c>
      <c r="F872" s="7">
        <v>871</v>
      </c>
      <c r="G872" s="11" t="s">
        <v>1024</v>
      </c>
      <c r="H872" s="20">
        <v>759052</v>
      </c>
      <c r="I872" s="12">
        <v>44666</v>
      </c>
      <c r="J872" s="12">
        <v>45366</v>
      </c>
      <c r="K872" s="25">
        <v>525579</v>
      </c>
      <c r="L872" s="23">
        <v>233473</v>
      </c>
      <c r="M872" s="30" t="s">
        <v>1052</v>
      </c>
      <c r="N872" s="30" t="s">
        <v>1055</v>
      </c>
    </row>
    <row r="873" spans="1:14" customFormat="1" x14ac:dyDescent="0.25">
      <c r="A873" s="7">
        <v>872</v>
      </c>
      <c r="B873" s="11" t="s">
        <v>887</v>
      </c>
      <c r="C873" s="7" t="s">
        <v>1039</v>
      </c>
      <c r="D873" s="7">
        <v>872</v>
      </c>
      <c r="E873" s="7">
        <v>872</v>
      </c>
      <c r="F873" s="7">
        <v>872</v>
      </c>
      <c r="G873" s="11" t="s">
        <v>1023</v>
      </c>
      <c r="H873" s="20">
        <v>80</v>
      </c>
      <c r="I873" s="12">
        <v>44124</v>
      </c>
      <c r="J873" s="12">
        <v>44306</v>
      </c>
      <c r="K873" s="25">
        <v>35</v>
      </c>
      <c r="L873" s="23">
        <v>45</v>
      </c>
      <c r="M873" s="30" t="s">
        <v>1052</v>
      </c>
      <c r="N873" s="30" t="s">
        <v>1055</v>
      </c>
    </row>
    <row r="874" spans="1:14" customFormat="1" x14ac:dyDescent="0.25">
      <c r="A874" s="7">
        <v>873</v>
      </c>
      <c r="B874" s="11" t="s">
        <v>888</v>
      </c>
      <c r="C874" s="7" t="s">
        <v>1039</v>
      </c>
      <c r="D874" s="7">
        <v>873</v>
      </c>
      <c r="E874" s="9">
        <v>873</v>
      </c>
      <c r="F874" s="7">
        <v>873</v>
      </c>
      <c r="G874" s="11" t="s">
        <v>1022</v>
      </c>
      <c r="H874" s="20">
        <v>18080</v>
      </c>
      <c r="I874" s="12">
        <v>44838</v>
      </c>
      <c r="J874" s="12">
        <v>45111</v>
      </c>
      <c r="K874" s="25">
        <v>5656</v>
      </c>
      <c r="L874" s="23">
        <v>12424</v>
      </c>
      <c r="M874" s="30" t="s">
        <v>1052</v>
      </c>
      <c r="N874" s="30" t="s">
        <v>1055</v>
      </c>
    </row>
    <row r="875" spans="1:14" customFormat="1" x14ac:dyDescent="0.25">
      <c r="A875" s="7">
        <v>874</v>
      </c>
      <c r="B875" s="11" t="s">
        <v>889</v>
      </c>
      <c r="C875" s="7" t="s">
        <v>1039</v>
      </c>
      <c r="D875" s="7">
        <v>874</v>
      </c>
      <c r="E875" s="7">
        <v>874</v>
      </c>
      <c r="F875" s="7">
        <v>874</v>
      </c>
      <c r="G875" s="11" t="s">
        <v>1016</v>
      </c>
      <c r="H875" s="20">
        <v>11304</v>
      </c>
      <c r="I875" s="12">
        <v>45345</v>
      </c>
      <c r="J875" s="12">
        <v>45588</v>
      </c>
      <c r="K875" s="25">
        <v>7142</v>
      </c>
      <c r="L875" s="23">
        <v>4162</v>
      </c>
      <c r="M875" s="30" t="s">
        <v>1052</v>
      </c>
      <c r="N875" s="30" t="s">
        <v>1055</v>
      </c>
    </row>
    <row r="876" spans="1:14" customFormat="1" x14ac:dyDescent="0.25">
      <c r="A876" s="7">
        <v>875</v>
      </c>
      <c r="B876" s="11" t="s">
        <v>890</v>
      </c>
      <c r="C876" s="7" t="s">
        <v>1039</v>
      </c>
      <c r="D876" s="7">
        <v>875</v>
      </c>
      <c r="E876" s="7">
        <v>875</v>
      </c>
      <c r="F876" s="7">
        <v>875</v>
      </c>
      <c r="G876" s="11" t="s">
        <v>1022</v>
      </c>
      <c r="H876" s="20">
        <v>27226</v>
      </c>
      <c r="I876" s="12">
        <v>45361</v>
      </c>
      <c r="J876" s="12">
        <v>45848</v>
      </c>
      <c r="K876" s="25">
        <v>10950</v>
      </c>
      <c r="L876" s="23">
        <v>16276</v>
      </c>
      <c r="M876" s="30" t="s">
        <v>1052</v>
      </c>
      <c r="N876" s="30" t="s">
        <v>1055</v>
      </c>
    </row>
    <row r="877" spans="1:14" customFormat="1" x14ac:dyDescent="0.25">
      <c r="A877" s="7">
        <v>876</v>
      </c>
      <c r="B877" s="11" t="s">
        <v>891</v>
      </c>
      <c r="C877" s="7" t="s">
        <v>1039</v>
      </c>
      <c r="D877" s="7">
        <v>876</v>
      </c>
      <c r="E877" s="9">
        <v>876</v>
      </c>
      <c r="F877" s="7">
        <v>876</v>
      </c>
      <c r="G877" s="11" t="s">
        <v>1027</v>
      </c>
      <c r="H877" s="20">
        <v>21853</v>
      </c>
      <c r="I877" s="12">
        <v>44211</v>
      </c>
      <c r="J877" s="12">
        <v>44910</v>
      </c>
      <c r="K877" s="25">
        <v>1160</v>
      </c>
      <c r="L877" s="23">
        <v>20693</v>
      </c>
      <c r="M877" s="30" t="s">
        <v>1052</v>
      </c>
      <c r="N877" s="30" t="s">
        <v>1055</v>
      </c>
    </row>
    <row r="878" spans="1:14" customFormat="1" x14ac:dyDescent="0.25">
      <c r="A878" s="7">
        <v>877</v>
      </c>
      <c r="B878" s="11" t="s">
        <v>892</v>
      </c>
      <c r="C878" s="7" t="s">
        <v>1039</v>
      </c>
      <c r="D878" s="7">
        <v>877</v>
      </c>
      <c r="E878" s="7">
        <v>877</v>
      </c>
      <c r="F878" s="7">
        <v>877</v>
      </c>
      <c r="G878" s="11" t="s">
        <v>1027</v>
      </c>
      <c r="H878" s="20">
        <v>26245</v>
      </c>
      <c r="I878" s="12">
        <v>44627</v>
      </c>
      <c r="J878" s="12">
        <v>44872</v>
      </c>
      <c r="K878" s="25">
        <v>3147</v>
      </c>
      <c r="L878" s="23">
        <v>23098</v>
      </c>
      <c r="M878" s="30" t="s">
        <v>1052</v>
      </c>
      <c r="N878" s="30" t="s">
        <v>1055</v>
      </c>
    </row>
    <row r="879" spans="1:14" customFormat="1" x14ac:dyDescent="0.25">
      <c r="A879" s="7">
        <v>878</v>
      </c>
      <c r="B879" s="11" t="s">
        <v>893</v>
      </c>
      <c r="C879" s="7" t="s">
        <v>1039</v>
      </c>
      <c r="D879" s="7">
        <v>878</v>
      </c>
      <c r="E879" s="7">
        <v>878</v>
      </c>
      <c r="F879" s="7">
        <v>878</v>
      </c>
      <c r="G879" s="11" t="s">
        <v>1020</v>
      </c>
      <c r="H879" s="20">
        <v>427817</v>
      </c>
      <c r="I879" s="12">
        <v>44836</v>
      </c>
      <c r="J879" s="12">
        <v>45140</v>
      </c>
      <c r="K879" s="25">
        <v>383157</v>
      </c>
      <c r="L879" s="23">
        <v>44660</v>
      </c>
      <c r="M879" s="30" t="s">
        <v>1052</v>
      </c>
      <c r="N879" s="30" t="s">
        <v>1055</v>
      </c>
    </row>
    <row r="880" spans="1:14" customFormat="1" x14ac:dyDescent="0.25">
      <c r="A880" s="7">
        <v>879</v>
      </c>
      <c r="B880" s="11" t="s">
        <v>894</v>
      </c>
      <c r="C880" s="7" t="s">
        <v>1039</v>
      </c>
      <c r="D880" s="7">
        <v>879</v>
      </c>
      <c r="E880" s="9">
        <v>879</v>
      </c>
      <c r="F880" s="7">
        <v>879</v>
      </c>
      <c r="G880" s="11" t="s">
        <v>1020</v>
      </c>
      <c r="H880" s="20">
        <v>407605</v>
      </c>
      <c r="I880" s="12">
        <v>44282</v>
      </c>
      <c r="J880" s="12">
        <v>44800</v>
      </c>
      <c r="K880" s="25">
        <v>252746</v>
      </c>
      <c r="L880" s="23">
        <v>154859</v>
      </c>
      <c r="M880" s="30" t="s">
        <v>1052</v>
      </c>
      <c r="N880" s="30" t="s">
        <v>1055</v>
      </c>
    </row>
    <row r="881" spans="1:14" customFormat="1" x14ac:dyDescent="0.25">
      <c r="A881" s="7">
        <v>880</v>
      </c>
      <c r="B881" s="11" t="s">
        <v>895</v>
      </c>
      <c r="C881" s="7" t="s">
        <v>1039</v>
      </c>
      <c r="D881" s="7">
        <v>880</v>
      </c>
      <c r="E881" s="7">
        <v>880</v>
      </c>
      <c r="F881" s="7">
        <v>880</v>
      </c>
      <c r="G881" s="11" t="s">
        <v>1022</v>
      </c>
      <c r="H881" s="20">
        <v>36961</v>
      </c>
      <c r="I881" s="12">
        <v>44430</v>
      </c>
      <c r="J881" s="12">
        <v>44795</v>
      </c>
      <c r="K881" s="25">
        <v>29040</v>
      </c>
      <c r="L881" s="23">
        <v>7921</v>
      </c>
      <c r="M881" s="30" t="s">
        <v>1052</v>
      </c>
      <c r="N881" s="30" t="s">
        <v>1055</v>
      </c>
    </row>
    <row r="882" spans="1:14" customFormat="1" x14ac:dyDescent="0.25">
      <c r="A882" s="7">
        <v>881</v>
      </c>
      <c r="B882" s="11" t="s">
        <v>896</v>
      </c>
      <c r="C882" s="7" t="s">
        <v>1039</v>
      </c>
      <c r="D882" s="7">
        <v>881</v>
      </c>
      <c r="E882" s="7">
        <v>881</v>
      </c>
      <c r="F882" s="7">
        <v>881</v>
      </c>
      <c r="G882" s="11" t="s">
        <v>1027</v>
      </c>
      <c r="H882" s="20">
        <v>45538</v>
      </c>
      <c r="I882" s="12">
        <v>44819</v>
      </c>
      <c r="J882" s="12">
        <v>45245</v>
      </c>
      <c r="K882" s="25">
        <v>40736</v>
      </c>
      <c r="L882" s="23">
        <v>4802</v>
      </c>
      <c r="M882" s="30" t="s">
        <v>1052</v>
      </c>
      <c r="N882" s="30" t="s">
        <v>1055</v>
      </c>
    </row>
    <row r="883" spans="1:14" customFormat="1" x14ac:dyDescent="0.25">
      <c r="A883" s="7">
        <v>882</v>
      </c>
      <c r="B883" s="11" t="s">
        <v>897</v>
      </c>
      <c r="C883" s="7" t="s">
        <v>1039</v>
      </c>
      <c r="D883" s="7">
        <v>882</v>
      </c>
      <c r="E883" s="9">
        <v>882</v>
      </c>
      <c r="F883" s="7">
        <v>882</v>
      </c>
      <c r="G883" s="11" t="s">
        <v>1025</v>
      </c>
      <c r="H883" s="20">
        <v>327767</v>
      </c>
      <c r="I883" s="12">
        <v>45584</v>
      </c>
      <c r="J883" s="12">
        <v>46072</v>
      </c>
      <c r="K883" s="25">
        <v>292553</v>
      </c>
      <c r="L883" s="23">
        <v>35214</v>
      </c>
      <c r="M883" s="30" t="s">
        <v>1052</v>
      </c>
      <c r="N883" s="30" t="s">
        <v>1055</v>
      </c>
    </row>
    <row r="884" spans="1:14" customFormat="1" x14ac:dyDescent="0.25">
      <c r="A884" s="7">
        <v>883</v>
      </c>
      <c r="B884" s="11" t="s">
        <v>898</v>
      </c>
      <c r="C884" s="7" t="s">
        <v>1039</v>
      </c>
      <c r="D884" s="7">
        <v>883</v>
      </c>
      <c r="E884" s="7">
        <v>883</v>
      </c>
      <c r="F884" s="7">
        <v>883</v>
      </c>
      <c r="G884" s="11" t="s">
        <v>1024</v>
      </c>
      <c r="H884" s="20">
        <v>983946</v>
      </c>
      <c r="I884" s="12">
        <v>44485</v>
      </c>
      <c r="J884" s="12">
        <v>45032</v>
      </c>
      <c r="K884" s="25">
        <v>68235</v>
      </c>
      <c r="L884" s="23">
        <v>915711</v>
      </c>
      <c r="M884" s="30" t="s">
        <v>1052</v>
      </c>
      <c r="N884" s="30" t="s">
        <v>1055</v>
      </c>
    </row>
    <row r="885" spans="1:14" customFormat="1" x14ac:dyDescent="0.25">
      <c r="A885" s="7">
        <v>884</v>
      </c>
      <c r="B885" s="11" t="s">
        <v>899</v>
      </c>
      <c r="C885" s="7" t="s">
        <v>1039</v>
      </c>
      <c r="D885" s="7">
        <v>884</v>
      </c>
      <c r="E885" s="7">
        <v>884</v>
      </c>
      <c r="F885" s="7">
        <v>884</v>
      </c>
      <c r="G885" s="11" t="s">
        <v>1023</v>
      </c>
      <c r="H885" s="20">
        <v>1389</v>
      </c>
      <c r="I885" s="12">
        <v>43847</v>
      </c>
      <c r="J885" s="12">
        <v>44547</v>
      </c>
      <c r="K885" s="25">
        <v>170</v>
      </c>
      <c r="L885" s="23">
        <v>1219</v>
      </c>
      <c r="M885" s="30" t="s">
        <v>1052</v>
      </c>
      <c r="N885" s="30" t="s">
        <v>1055</v>
      </c>
    </row>
    <row r="886" spans="1:14" customFormat="1" x14ac:dyDescent="0.25">
      <c r="A886" s="7">
        <v>885</v>
      </c>
      <c r="B886" s="11" t="s">
        <v>900</v>
      </c>
      <c r="C886" s="7" t="s">
        <v>1039</v>
      </c>
      <c r="D886" s="7">
        <v>885</v>
      </c>
      <c r="E886" s="9">
        <v>885</v>
      </c>
      <c r="F886" s="7">
        <v>885</v>
      </c>
      <c r="G886" s="11" t="s">
        <v>1027</v>
      </c>
      <c r="H886" s="20">
        <v>43851</v>
      </c>
      <c r="I886" s="12">
        <v>45531</v>
      </c>
      <c r="J886" s="12">
        <v>45804</v>
      </c>
      <c r="K886" s="25">
        <v>33609</v>
      </c>
      <c r="L886" s="23">
        <v>10242</v>
      </c>
      <c r="M886" s="30" t="s">
        <v>1052</v>
      </c>
      <c r="N886" s="30" t="s">
        <v>1055</v>
      </c>
    </row>
    <row r="887" spans="1:14" customFormat="1" x14ac:dyDescent="0.25">
      <c r="A887" s="7">
        <v>886</v>
      </c>
      <c r="B887" s="11" t="s">
        <v>901</v>
      </c>
      <c r="C887" s="7" t="s">
        <v>1039</v>
      </c>
      <c r="D887" s="7">
        <v>886</v>
      </c>
      <c r="E887" s="7">
        <v>886</v>
      </c>
      <c r="F887" s="7">
        <v>886</v>
      </c>
      <c r="G887" s="11" t="s">
        <v>1016</v>
      </c>
      <c r="H887" s="20">
        <v>1734</v>
      </c>
      <c r="I887" s="12">
        <v>44293</v>
      </c>
      <c r="J887" s="12">
        <v>44627</v>
      </c>
      <c r="K887" s="25">
        <v>390</v>
      </c>
      <c r="L887" s="23">
        <v>1344</v>
      </c>
      <c r="M887" s="30" t="s">
        <v>1052</v>
      </c>
      <c r="N887" s="30" t="s">
        <v>1055</v>
      </c>
    </row>
    <row r="888" spans="1:14" customFormat="1" x14ac:dyDescent="0.25">
      <c r="A888" s="7">
        <v>887</v>
      </c>
      <c r="B888" s="11" t="s">
        <v>902</v>
      </c>
      <c r="C888" s="7" t="s">
        <v>1039</v>
      </c>
      <c r="D888" s="7">
        <v>887</v>
      </c>
      <c r="E888" s="7">
        <v>887</v>
      </c>
      <c r="F888" s="7">
        <v>887</v>
      </c>
      <c r="G888" s="11" t="s">
        <v>1021</v>
      </c>
      <c r="H888" s="20">
        <v>62402</v>
      </c>
      <c r="I888" s="12">
        <v>44161</v>
      </c>
      <c r="J888" s="12">
        <v>44526</v>
      </c>
      <c r="K888" s="25">
        <v>45439</v>
      </c>
      <c r="L888" s="23">
        <v>16963</v>
      </c>
      <c r="M888" s="30" t="s">
        <v>1052</v>
      </c>
      <c r="N888" s="30" t="s">
        <v>1055</v>
      </c>
    </row>
    <row r="889" spans="1:14" customFormat="1" x14ac:dyDescent="0.25">
      <c r="A889" s="7">
        <v>888</v>
      </c>
      <c r="B889" s="11" t="s">
        <v>903</v>
      </c>
      <c r="C889" s="7" t="s">
        <v>1039</v>
      </c>
      <c r="D889" s="7">
        <v>888</v>
      </c>
      <c r="E889" s="9">
        <v>888</v>
      </c>
      <c r="F889" s="7">
        <v>888</v>
      </c>
      <c r="G889" s="11" t="s">
        <v>1021</v>
      </c>
      <c r="H889" s="20">
        <v>31898</v>
      </c>
      <c r="I889" s="12">
        <v>45380</v>
      </c>
      <c r="J889" s="12">
        <v>45716</v>
      </c>
      <c r="K889" s="25">
        <v>16231</v>
      </c>
      <c r="L889" s="23">
        <v>15667</v>
      </c>
      <c r="M889" s="30" t="s">
        <v>1052</v>
      </c>
      <c r="N889" s="30" t="s">
        <v>1055</v>
      </c>
    </row>
    <row r="890" spans="1:14" customFormat="1" x14ac:dyDescent="0.25">
      <c r="A890" s="7">
        <v>889</v>
      </c>
      <c r="B890" s="11" t="s">
        <v>904</v>
      </c>
      <c r="C890" s="7" t="s">
        <v>1039</v>
      </c>
      <c r="D890" s="7">
        <v>889</v>
      </c>
      <c r="E890" s="7">
        <v>889</v>
      </c>
      <c r="F890" s="7">
        <v>889</v>
      </c>
      <c r="G890" s="11" t="s">
        <v>1026</v>
      </c>
      <c r="H890" s="20">
        <v>3986835</v>
      </c>
      <c r="I890" s="12">
        <v>44210</v>
      </c>
      <c r="J890" s="12">
        <v>44787</v>
      </c>
      <c r="K890" s="25">
        <v>3488248</v>
      </c>
      <c r="L890" s="23">
        <v>498587</v>
      </c>
      <c r="M890" s="30" t="s">
        <v>1052</v>
      </c>
      <c r="N890" s="30" t="s">
        <v>1055</v>
      </c>
    </row>
    <row r="891" spans="1:14" customFormat="1" x14ac:dyDescent="0.25">
      <c r="A891" s="7">
        <v>890</v>
      </c>
      <c r="B891" s="11" t="s">
        <v>905</v>
      </c>
      <c r="C891" s="7" t="s">
        <v>1039</v>
      </c>
      <c r="D891" s="7">
        <v>890</v>
      </c>
      <c r="E891" s="7">
        <v>890</v>
      </c>
      <c r="F891" s="7">
        <v>890</v>
      </c>
      <c r="G891" s="11" t="s">
        <v>1024</v>
      </c>
      <c r="H891" s="20">
        <v>544070</v>
      </c>
      <c r="I891" s="12">
        <v>45111</v>
      </c>
      <c r="J891" s="12">
        <v>45264</v>
      </c>
      <c r="K891" s="25">
        <v>510194</v>
      </c>
      <c r="L891" s="23">
        <v>33876</v>
      </c>
      <c r="M891" s="30" t="s">
        <v>1052</v>
      </c>
      <c r="N891" s="30" t="s">
        <v>1055</v>
      </c>
    </row>
    <row r="892" spans="1:14" customFormat="1" x14ac:dyDescent="0.25">
      <c r="A892" s="7">
        <v>891</v>
      </c>
      <c r="B892" s="11" t="s">
        <v>906</v>
      </c>
      <c r="C892" s="7" t="s">
        <v>1039</v>
      </c>
      <c r="D892" s="7">
        <v>891</v>
      </c>
      <c r="E892" s="9">
        <v>891</v>
      </c>
      <c r="F892" s="7">
        <v>891</v>
      </c>
      <c r="G892" s="11" t="s">
        <v>1020</v>
      </c>
      <c r="H892" s="20">
        <v>160498</v>
      </c>
      <c r="I892" s="12">
        <v>45690</v>
      </c>
      <c r="J892" s="12">
        <v>45718</v>
      </c>
      <c r="K892" s="25">
        <v>39113</v>
      </c>
      <c r="L892" s="23">
        <v>121385</v>
      </c>
      <c r="M892" s="30" t="s">
        <v>1052</v>
      </c>
      <c r="N892" s="30" t="s">
        <v>1055</v>
      </c>
    </row>
    <row r="893" spans="1:14" customFormat="1" x14ac:dyDescent="0.25">
      <c r="A893" s="7">
        <v>892</v>
      </c>
      <c r="B893" s="11" t="s">
        <v>907</v>
      </c>
      <c r="C893" s="7" t="s">
        <v>1039</v>
      </c>
      <c r="D893" s="7">
        <v>892</v>
      </c>
      <c r="E893" s="7">
        <v>892</v>
      </c>
      <c r="F893" s="7">
        <v>892</v>
      </c>
      <c r="G893" s="11" t="s">
        <v>1021</v>
      </c>
      <c r="H893" s="20">
        <v>52921</v>
      </c>
      <c r="I893" s="12">
        <v>44620</v>
      </c>
      <c r="J893" s="12">
        <v>44985</v>
      </c>
      <c r="K893" s="25">
        <v>23408</v>
      </c>
      <c r="L893" s="23">
        <v>29513</v>
      </c>
      <c r="M893" s="30" t="s">
        <v>1052</v>
      </c>
      <c r="N893" s="30" t="s">
        <v>1055</v>
      </c>
    </row>
    <row r="894" spans="1:14" customFormat="1" x14ac:dyDescent="0.25">
      <c r="A894" s="7">
        <v>893</v>
      </c>
      <c r="B894" s="11" t="s">
        <v>908</v>
      </c>
      <c r="C894" s="7" t="s">
        <v>1039</v>
      </c>
      <c r="D894" s="7">
        <v>893</v>
      </c>
      <c r="E894" s="7">
        <v>893</v>
      </c>
      <c r="F894" s="7">
        <v>893</v>
      </c>
      <c r="G894" s="11" t="s">
        <v>1023</v>
      </c>
      <c r="H894" s="20">
        <v>380</v>
      </c>
      <c r="I894" s="12">
        <v>45618</v>
      </c>
      <c r="J894" s="12">
        <v>46287</v>
      </c>
      <c r="K894" s="25">
        <v>57</v>
      </c>
      <c r="L894" s="23">
        <v>323</v>
      </c>
      <c r="M894" s="30" t="s">
        <v>1052</v>
      </c>
      <c r="N894" s="30" t="s">
        <v>1055</v>
      </c>
    </row>
    <row r="895" spans="1:14" customFormat="1" x14ac:dyDescent="0.25">
      <c r="A895" s="7">
        <v>894</v>
      </c>
      <c r="B895" s="11" t="s">
        <v>909</v>
      </c>
      <c r="C895" s="7" t="s">
        <v>1039</v>
      </c>
      <c r="D895" s="7">
        <v>894</v>
      </c>
      <c r="E895" s="9">
        <v>894</v>
      </c>
      <c r="F895" s="7">
        <v>894</v>
      </c>
      <c r="G895" s="11" t="s">
        <v>1027</v>
      </c>
      <c r="H895" s="20">
        <v>42027</v>
      </c>
      <c r="I895" s="12">
        <v>44505</v>
      </c>
      <c r="J895" s="12">
        <v>44778</v>
      </c>
      <c r="K895" s="25">
        <v>20254</v>
      </c>
      <c r="L895" s="23">
        <v>21773</v>
      </c>
      <c r="M895" s="30" t="s">
        <v>1052</v>
      </c>
      <c r="N895" s="30" t="s">
        <v>1055</v>
      </c>
    </row>
    <row r="896" spans="1:14" customFormat="1" x14ac:dyDescent="0.25">
      <c r="A896" s="7">
        <v>895</v>
      </c>
      <c r="B896" s="11" t="s">
        <v>910</v>
      </c>
      <c r="C896" s="7" t="s">
        <v>1039</v>
      </c>
      <c r="D896" s="7">
        <v>895</v>
      </c>
      <c r="E896" s="7">
        <v>895</v>
      </c>
      <c r="F896" s="7">
        <v>895</v>
      </c>
      <c r="G896" s="11" t="s">
        <v>1021</v>
      </c>
      <c r="H896" s="20">
        <v>74888</v>
      </c>
      <c r="I896" s="12">
        <v>45329</v>
      </c>
      <c r="J896" s="12">
        <v>45907</v>
      </c>
      <c r="K896" s="25">
        <v>62741</v>
      </c>
      <c r="L896" s="23">
        <v>12147</v>
      </c>
      <c r="M896" s="30" t="s">
        <v>1052</v>
      </c>
      <c r="N896" s="30" t="s">
        <v>1055</v>
      </c>
    </row>
    <row r="897" spans="1:14" customFormat="1" x14ac:dyDescent="0.25">
      <c r="A897" s="7">
        <v>896</v>
      </c>
      <c r="B897" s="11" t="s">
        <v>911</v>
      </c>
      <c r="C897" s="7" t="s">
        <v>1039</v>
      </c>
      <c r="D897" s="7">
        <v>896</v>
      </c>
      <c r="E897" s="7">
        <v>896</v>
      </c>
      <c r="F897" s="7">
        <v>896</v>
      </c>
      <c r="G897" s="11" t="s">
        <v>1020</v>
      </c>
      <c r="H897" s="20">
        <v>147496</v>
      </c>
      <c r="I897" s="12">
        <v>45295</v>
      </c>
      <c r="J897" s="12">
        <v>45600</v>
      </c>
      <c r="K897" s="25">
        <v>142770</v>
      </c>
      <c r="L897" s="23">
        <v>4726</v>
      </c>
      <c r="M897" s="30" t="s">
        <v>1052</v>
      </c>
      <c r="N897" s="30" t="s">
        <v>1055</v>
      </c>
    </row>
    <row r="898" spans="1:14" customFormat="1" x14ac:dyDescent="0.25">
      <c r="A898" s="7">
        <v>897</v>
      </c>
      <c r="B898" s="11" t="s">
        <v>912</v>
      </c>
      <c r="C898" s="7" t="s">
        <v>1039</v>
      </c>
      <c r="D898" s="7">
        <v>897</v>
      </c>
      <c r="E898" s="9">
        <v>897</v>
      </c>
      <c r="F898" s="7">
        <v>897</v>
      </c>
      <c r="G898" s="11" t="s">
        <v>1020</v>
      </c>
      <c r="H898" s="20">
        <v>77026</v>
      </c>
      <c r="I898" s="12">
        <v>45085</v>
      </c>
      <c r="J898" s="12">
        <v>45604</v>
      </c>
      <c r="K898" s="25">
        <v>47863</v>
      </c>
      <c r="L898" s="23">
        <v>29163</v>
      </c>
      <c r="M898" s="30" t="s">
        <v>1052</v>
      </c>
      <c r="N898" s="30" t="s">
        <v>1055</v>
      </c>
    </row>
    <row r="899" spans="1:14" customFormat="1" x14ac:dyDescent="0.25">
      <c r="A899" s="7">
        <v>898</v>
      </c>
      <c r="B899" s="11" t="s">
        <v>913</v>
      </c>
      <c r="C899" s="7" t="s">
        <v>1039</v>
      </c>
      <c r="D899" s="7">
        <v>898</v>
      </c>
      <c r="E899" s="7">
        <v>898</v>
      </c>
      <c r="F899" s="7">
        <v>898</v>
      </c>
      <c r="G899" s="11" t="s">
        <v>1024</v>
      </c>
      <c r="H899" s="20">
        <v>239762</v>
      </c>
      <c r="I899" s="12">
        <v>45381</v>
      </c>
      <c r="J899" s="12">
        <v>45838</v>
      </c>
      <c r="K899" s="25">
        <v>220890</v>
      </c>
      <c r="L899" s="23">
        <v>18872</v>
      </c>
      <c r="M899" s="30" t="s">
        <v>1052</v>
      </c>
      <c r="N899" s="30" t="s">
        <v>1055</v>
      </c>
    </row>
    <row r="900" spans="1:14" customFormat="1" x14ac:dyDescent="0.25">
      <c r="A900" s="7">
        <v>899</v>
      </c>
      <c r="B900" s="11" t="s">
        <v>914</v>
      </c>
      <c r="C900" s="7" t="s">
        <v>1039</v>
      </c>
      <c r="D900" s="7">
        <v>899</v>
      </c>
      <c r="E900" s="7">
        <v>899</v>
      </c>
      <c r="F900" s="7">
        <v>899</v>
      </c>
      <c r="G900" s="11" t="s">
        <v>1023</v>
      </c>
      <c r="H900" s="20">
        <v>151</v>
      </c>
      <c r="I900" s="12">
        <v>44571</v>
      </c>
      <c r="J900" s="12">
        <v>45179</v>
      </c>
      <c r="K900" s="25">
        <v>30</v>
      </c>
      <c r="L900" s="23">
        <v>121</v>
      </c>
      <c r="M900" s="30" t="s">
        <v>1052</v>
      </c>
      <c r="N900" s="30" t="s">
        <v>1055</v>
      </c>
    </row>
    <row r="901" spans="1:14" customFormat="1" x14ac:dyDescent="0.25">
      <c r="A901" s="7">
        <v>900</v>
      </c>
      <c r="B901" s="11" t="s">
        <v>915</v>
      </c>
      <c r="C901" s="7" t="s">
        <v>1039</v>
      </c>
      <c r="D901" s="7">
        <v>900</v>
      </c>
      <c r="E901" s="9">
        <v>900</v>
      </c>
      <c r="F901" s="7">
        <v>900</v>
      </c>
      <c r="G901" s="11" t="s">
        <v>1022</v>
      </c>
      <c r="H901" s="20">
        <v>15303</v>
      </c>
      <c r="I901" s="12">
        <v>45710</v>
      </c>
      <c r="J901" s="12">
        <v>45738</v>
      </c>
      <c r="K901" s="25">
        <v>3013</v>
      </c>
      <c r="L901" s="23">
        <v>12290</v>
      </c>
      <c r="M901" s="30" t="s">
        <v>1052</v>
      </c>
      <c r="N901" s="30" t="s">
        <v>1055</v>
      </c>
    </row>
    <row r="902" spans="1:14" customFormat="1" x14ac:dyDescent="0.25">
      <c r="A902" s="7">
        <v>901</v>
      </c>
      <c r="B902" s="11" t="s">
        <v>916</v>
      </c>
      <c r="C902" s="7" t="s">
        <v>1039</v>
      </c>
      <c r="D902" s="7">
        <v>901</v>
      </c>
      <c r="E902" s="7">
        <v>901</v>
      </c>
      <c r="F902" s="7">
        <v>901</v>
      </c>
      <c r="G902" s="11" t="s">
        <v>1023</v>
      </c>
      <c r="H902" s="20">
        <v>74</v>
      </c>
      <c r="I902" s="12">
        <v>44804</v>
      </c>
      <c r="J902" s="12">
        <v>45504</v>
      </c>
      <c r="K902" s="25">
        <v>42</v>
      </c>
      <c r="L902" s="23">
        <v>32</v>
      </c>
      <c r="M902" s="30" t="s">
        <v>1052</v>
      </c>
      <c r="N902" s="30" t="s">
        <v>1055</v>
      </c>
    </row>
    <row r="903" spans="1:14" customFormat="1" x14ac:dyDescent="0.25">
      <c r="A903" s="7">
        <v>902</v>
      </c>
      <c r="B903" s="11" t="s">
        <v>917</v>
      </c>
      <c r="C903" s="7" t="s">
        <v>1039</v>
      </c>
      <c r="D903" s="7">
        <v>902</v>
      </c>
      <c r="E903" s="7">
        <v>902</v>
      </c>
      <c r="F903" s="7">
        <v>902</v>
      </c>
      <c r="G903" s="11" t="s">
        <v>1025</v>
      </c>
      <c r="H903" s="20">
        <v>201927</v>
      </c>
      <c r="I903" s="12">
        <v>45212</v>
      </c>
      <c r="J903" s="12">
        <v>45609</v>
      </c>
      <c r="K903" s="25">
        <v>70552</v>
      </c>
      <c r="L903" s="23">
        <v>131375</v>
      </c>
      <c r="M903" s="30" t="s">
        <v>1052</v>
      </c>
      <c r="N903" s="30" t="s">
        <v>1055</v>
      </c>
    </row>
    <row r="904" spans="1:14" customFormat="1" x14ac:dyDescent="0.25">
      <c r="A904" s="7">
        <v>903</v>
      </c>
      <c r="B904" s="11" t="s">
        <v>918</v>
      </c>
      <c r="C904" s="7" t="s">
        <v>1039</v>
      </c>
      <c r="D904" s="7">
        <v>903</v>
      </c>
      <c r="E904" s="9">
        <v>903</v>
      </c>
      <c r="F904" s="7">
        <v>903</v>
      </c>
      <c r="G904" s="11" t="s">
        <v>1020</v>
      </c>
      <c r="H904" s="20">
        <v>436741</v>
      </c>
      <c r="I904" s="12">
        <v>45133</v>
      </c>
      <c r="J904" s="12">
        <v>45408</v>
      </c>
      <c r="K904" s="25">
        <v>160585</v>
      </c>
      <c r="L904" s="23">
        <v>276156</v>
      </c>
      <c r="M904" s="30" t="s">
        <v>1052</v>
      </c>
      <c r="N904" s="30" t="s">
        <v>1055</v>
      </c>
    </row>
    <row r="905" spans="1:14" customFormat="1" x14ac:dyDescent="0.25">
      <c r="A905" s="7">
        <v>904</v>
      </c>
      <c r="B905" s="11" t="s">
        <v>919</v>
      </c>
      <c r="C905" s="7" t="s">
        <v>1039</v>
      </c>
      <c r="D905" s="7">
        <v>904</v>
      </c>
      <c r="E905" s="7">
        <v>904</v>
      </c>
      <c r="F905" s="7">
        <v>904</v>
      </c>
      <c r="G905" s="11" t="s">
        <v>1026</v>
      </c>
      <c r="H905" s="20">
        <v>327268</v>
      </c>
      <c r="I905" s="12">
        <v>45035</v>
      </c>
      <c r="J905" s="12">
        <v>45065</v>
      </c>
      <c r="K905" s="25">
        <v>307386</v>
      </c>
      <c r="L905" s="23">
        <v>19882</v>
      </c>
      <c r="M905" s="30" t="s">
        <v>1052</v>
      </c>
      <c r="N905" s="30" t="s">
        <v>1055</v>
      </c>
    </row>
    <row r="906" spans="1:14" customFormat="1" x14ac:dyDescent="0.25">
      <c r="A906" s="7">
        <v>905</v>
      </c>
      <c r="B906" s="11" t="s">
        <v>920</v>
      </c>
      <c r="C906" s="7" t="s">
        <v>1039</v>
      </c>
      <c r="D906" s="7">
        <v>905</v>
      </c>
      <c r="E906" s="7">
        <v>905</v>
      </c>
      <c r="F906" s="7">
        <v>905</v>
      </c>
      <c r="G906" s="11" t="s">
        <v>1021</v>
      </c>
      <c r="H906" s="20">
        <v>89835</v>
      </c>
      <c r="I906" s="12">
        <v>44032</v>
      </c>
      <c r="J906" s="12">
        <v>44428</v>
      </c>
      <c r="K906" s="25">
        <v>28242</v>
      </c>
      <c r="L906" s="23">
        <v>61593</v>
      </c>
      <c r="M906" s="30" t="s">
        <v>1052</v>
      </c>
      <c r="N906" s="30" t="s">
        <v>1055</v>
      </c>
    </row>
    <row r="907" spans="1:14" customFormat="1" x14ac:dyDescent="0.25">
      <c r="A907" s="7">
        <v>906</v>
      </c>
      <c r="B907" s="11" t="s">
        <v>921</v>
      </c>
      <c r="C907" s="7" t="s">
        <v>1039</v>
      </c>
      <c r="D907" s="7">
        <v>906</v>
      </c>
      <c r="E907" s="9">
        <v>906</v>
      </c>
      <c r="F907" s="7">
        <v>906</v>
      </c>
      <c r="G907" s="11" t="s">
        <v>1023</v>
      </c>
      <c r="H907" s="20">
        <v>644</v>
      </c>
      <c r="I907" s="12">
        <v>45566</v>
      </c>
      <c r="J907" s="12">
        <v>46082</v>
      </c>
      <c r="K907" s="25">
        <v>591</v>
      </c>
      <c r="L907" s="23">
        <v>53</v>
      </c>
      <c r="M907" s="30" t="s">
        <v>1052</v>
      </c>
      <c r="N907" s="30" t="s">
        <v>1055</v>
      </c>
    </row>
    <row r="908" spans="1:14" customFormat="1" x14ac:dyDescent="0.25">
      <c r="A908" s="7">
        <v>907</v>
      </c>
      <c r="B908" s="11" t="s">
        <v>922</v>
      </c>
      <c r="C908" s="7" t="s">
        <v>1039</v>
      </c>
      <c r="D908" s="7">
        <v>907</v>
      </c>
      <c r="E908" s="7">
        <v>907</v>
      </c>
      <c r="F908" s="7">
        <v>907</v>
      </c>
      <c r="G908" s="11" t="s">
        <v>1027</v>
      </c>
      <c r="H908" s="20">
        <v>36186</v>
      </c>
      <c r="I908" s="12">
        <v>45336</v>
      </c>
      <c r="J908" s="12">
        <v>46036</v>
      </c>
      <c r="K908" s="25">
        <v>30095</v>
      </c>
      <c r="L908" s="23">
        <v>6091</v>
      </c>
      <c r="M908" s="30" t="s">
        <v>1052</v>
      </c>
      <c r="N908" s="30" t="s">
        <v>1055</v>
      </c>
    </row>
    <row r="909" spans="1:14" customFormat="1" x14ac:dyDescent="0.25">
      <c r="A909" s="7">
        <v>908</v>
      </c>
      <c r="B909" s="11" t="s">
        <v>923</v>
      </c>
      <c r="C909" s="7" t="s">
        <v>1039</v>
      </c>
      <c r="D909" s="7">
        <v>908</v>
      </c>
      <c r="E909" s="7">
        <v>908</v>
      </c>
      <c r="F909" s="7">
        <v>908</v>
      </c>
      <c r="G909" s="11" t="s">
        <v>1021</v>
      </c>
      <c r="H909" s="20">
        <v>31963</v>
      </c>
      <c r="I909" s="12">
        <v>45362</v>
      </c>
      <c r="J909" s="12">
        <v>45607</v>
      </c>
      <c r="K909" s="25">
        <v>25697</v>
      </c>
      <c r="L909" s="23">
        <v>6266</v>
      </c>
      <c r="M909" s="30" t="s">
        <v>1052</v>
      </c>
      <c r="N909" s="30" t="s">
        <v>1055</v>
      </c>
    </row>
    <row r="910" spans="1:14" customFormat="1" x14ac:dyDescent="0.25">
      <c r="A910" s="7">
        <v>909</v>
      </c>
      <c r="B910" s="11" t="s">
        <v>924</v>
      </c>
      <c r="C910" s="7" t="s">
        <v>1039</v>
      </c>
      <c r="D910" s="7">
        <v>909</v>
      </c>
      <c r="E910" s="9">
        <v>909</v>
      </c>
      <c r="F910" s="7">
        <v>909</v>
      </c>
      <c r="G910" s="11" t="s">
        <v>1027</v>
      </c>
      <c r="H910" s="20">
        <v>24716</v>
      </c>
      <c r="I910" s="12">
        <v>43948</v>
      </c>
      <c r="J910" s="12">
        <v>44254</v>
      </c>
      <c r="K910" s="25">
        <v>3327</v>
      </c>
      <c r="L910" s="23">
        <v>21389</v>
      </c>
      <c r="M910" s="30" t="s">
        <v>1052</v>
      </c>
      <c r="N910" s="30" t="s">
        <v>1055</v>
      </c>
    </row>
    <row r="911" spans="1:14" customFormat="1" x14ac:dyDescent="0.25">
      <c r="A911" s="7">
        <v>910</v>
      </c>
      <c r="B911" s="11" t="s">
        <v>925</v>
      </c>
      <c r="C911" s="7" t="s">
        <v>1039</v>
      </c>
      <c r="D911" s="7">
        <v>910</v>
      </c>
      <c r="E911" s="7">
        <v>910</v>
      </c>
      <c r="F911" s="7">
        <v>910</v>
      </c>
      <c r="G911" s="11" t="s">
        <v>1027</v>
      </c>
      <c r="H911" s="20">
        <v>30115</v>
      </c>
      <c r="I911" s="12">
        <v>44228</v>
      </c>
      <c r="J911" s="12">
        <v>44501</v>
      </c>
      <c r="K911" s="25">
        <v>20468</v>
      </c>
      <c r="L911" s="23">
        <v>9647</v>
      </c>
      <c r="M911" s="30" t="s">
        <v>1052</v>
      </c>
      <c r="N911" s="30" t="s">
        <v>1055</v>
      </c>
    </row>
    <row r="912" spans="1:14" customFormat="1" x14ac:dyDescent="0.25">
      <c r="A912" s="7">
        <v>911</v>
      </c>
      <c r="B912" s="11" t="s">
        <v>926</v>
      </c>
      <c r="C912" s="7" t="s">
        <v>1039</v>
      </c>
      <c r="D912" s="7">
        <v>911</v>
      </c>
      <c r="E912" s="7">
        <v>911</v>
      </c>
      <c r="F912" s="7">
        <v>911</v>
      </c>
      <c r="G912" s="11" t="s">
        <v>1024</v>
      </c>
      <c r="H912" s="20">
        <v>505226</v>
      </c>
      <c r="I912" s="12">
        <v>44187</v>
      </c>
      <c r="J912" s="12">
        <v>44399</v>
      </c>
      <c r="K912" s="25">
        <v>125087</v>
      </c>
      <c r="L912" s="23">
        <v>380139</v>
      </c>
      <c r="M912" s="30" t="s">
        <v>1052</v>
      </c>
      <c r="N912" s="30" t="s">
        <v>1055</v>
      </c>
    </row>
    <row r="913" spans="1:14" customFormat="1" x14ac:dyDescent="0.25">
      <c r="A913" s="7">
        <v>912</v>
      </c>
      <c r="B913" s="11" t="s">
        <v>927</v>
      </c>
      <c r="C913" s="7" t="s">
        <v>1039</v>
      </c>
      <c r="D913" s="7">
        <v>912</v>
      </c>
      <c r="E913" s="9">
        <v>912</v>
      </c>
      <c r="F913" s="7">
        <v>912</v>
      </c>
      <c r="G913" s="11" t="s">
        <v>1024</v>
      </c>
      <c r="H913" s="20">
        <v>635477</v>
      </c>
      <c r="I913" s="12">
        <v>44821</v>
      </c>
      <c r="J913" s="12">
        <v>45124</v>
      </c>
      <c r="K913" s="25">
        <v>628440</v>
      </c>
      <c r="L913" s="23">
        <v>7037</v>
      </c>
      <c r="M913" s="30" t="s">
        <v>1052</v>
      </c>
      <c r="N913" s="30" t="s">
        <v>1055</v>
      </c>
    </row>
    <row r="914" spans="1:14" customFormat="1" x14ac:dyDescent="0.25">
      <c r="A914" s="7">
        <v>913</v>
      </c>
      <c r="B914" s="11" t="s">
        <v>928</v>
      </c>
      <c r="C914" s="7" t="s">
        <v>1039</v>
      </c>
      <c r="D914" s="7">
        <v>913</v>
      </c>
      <c r="E914" s="7">
        <v>913</v>
      </c>
      <c r="F914" s="7">
        <v>913</v>
      </c>
      <c r="G914" s="11" t="s">
        <v>1016</v>
      </c>
      <c r="H914" s="20">
        <v>19239</v>
      </c>
      <c r="I914" s="12">
        <v>45177</v>
      </c>
      <c r="J914" s="12">
        <v>45724</v>
      </c>
      <c r="K914" s="25">
        <v>15236</v>
      </c>
      <c r="L914" s="23">
        <v>4003</v>
      </c>
      <c r="M914" s="30" t="s">
        <v>1052</v>
      </c>
      <c r="N914" s="30" t="s">
        <v>1055</v>
      </c>
    </row>
    <row r="915" spans="1:14" customFormat="1" x14ac:dyDescent="0.25">
      <c r="A915" s="7">
        <v>914</v>
      </c>
      <c r="B915" s="11" t="s">
        <v>929</v>
      </c>
      <c r="C915" s="7" t="s">
        <v>1039</v>
      </c>
      <c r="D915" s="7">
        <v>914</v>
      </c>
      <c r="E915" s="7">
        <v>914</v>
      </c>
      <c r="F915" s="7">
        <v>914</v>
      </c>
      <c r="G915" s="11" t="s">
        <v>1020</v>
      </c>
      <c r="H915" s="20">
        <v>144253</v>
      </c>
      <c r="I915" s="12">
        <v>44373</v>
      </c>
      <c r="J915" s="12">
        <v>44587</v>
      </c>
      <c r="K915" s="25">
        <v>137298</v>
      </c>
      <c r="L915" s="23">
        <v>6955</v>
      </c>
      <c r="M915" s="30" t="s">
        <v>1052</v>
      </c>
      <c r="N915" s="30" t="s">
        <v>1055</v>
      </c>
    </row>
    <row r="916" spans="1:14" customFormat="1" x14ac:dyDescent="0.25">
      <c r="A916" s="7">
        <v>915</v>
      </c>
      <c r="B916" s="11" t="s">
        <v>930</v>
      </c>
      <c r="C916" s="7" t="s">
        <v>1039</v>
      </c>
      <c r="D916" s="7">
        <v>915</v>
      </c>
      <c r="E916" s="9">
        <v>915</v>
      </c>
      <c r="F916" s="7">
        <v>915</v>
      </c>
      <c r="G916" s="11" t="s">
        <v>1020</v>
      </c>
      <c r="H916" s="20">
        <v>294247</v>
      </c>
      <c r="I916" s="12">
        <v>44197</v>
      </c>
      <c r="J916" s="12">
        <v>44621</v>
      </c>
      <c r="K916" s="25">
        <v>8793</v>
      </c>
      <c r="L916" s="23">
        <v>285454</v>
      </c>
      <c r="M916" s="30" t="s">
        <v>1052</v>
      </c>
      <c r="N916" s="30" t="s">
        <v>1055</v>
      </c>
    </row>
    <row r="917" spans="1:14" customFormat="1" x14ac:dyDescent="0.25">
      <c r="A917" s="7">
        <v>916</v>
      </c>
      <c r="B917" s="11" t="s">
        <v>931</v>
      </c>
      <c r="C917" s="7" t="s">
        <v>1039</v>
      </c>
      <c r="D917" s="7">
        <v>916</v>
      </c>
      <c r="E917" s="7">
        <v>916</v>
      </c>
      <c r="F917" s="7">
        <v>916</v>
      </c>
      <c r="G917" s="11" t="s">
        <v>1021</v>
      </c>
      <c r="H917" s="20">
        <v>69412</v>
      </c>
      <c r="I917" s="12">
        <v>44454</v>
      </c>
      <c r="J917" s="12">
        <v>44757</v>
      </c>
      <c r="K917" s="25">
        <v>31483</v>
      </c>
      <c r="L917" s="23">
        <v>37929</v>
      </c>
      <c r="M917" s="30" t="s">
        <v>1052</v>
      </c>
      <c r="N917" s="30" t="s">
        <v>1055</v>
      </c>
    </row>
    <row r="918" spans="1:14" customFormat="1" x14ac:dyDescent="0.25">
      <c r="A918" s="7">
        <v>917</v>
      </c>
      <c r="B918" s="11" t="s">
        <v>932</v>
      </c>
      <c r="C918" s="7" t="s">
        <v>1039</v>
      </c>
      <c r="D918" s="7">
        <v>917</v>
      </c>
      <c r="E918" s="7">
        <v>917</v>
      </c>
      <c r="F918" s="7">
        <v>917</v>
      </c>
      <c r="G918" s="11" t="s">
        <v>1023</v>
      </c>
      <c r="H918" s="20">
        <v>1225</v>
      </c>
      <c r="I918" s="12">
        <v>44079</v>
      </c>
      <c r="J918" s="12">
        <v>44140</v>
      </c>
      <c r="K918" s="25">
        <v>918</v>
      </c>
      <c r="L918" s="23">
        <v>307</v>
      </c>
      <c r="M918" s="30" t="s">
        <v>1052</v>
      </c>
      <c r="N918" s="30" t="s">
        <v>1055</v>
      </c>
    </row>
    <row r="919" spans="1:14" customFormat="1" x14ac:dyDescent="0.25">
      <c r="A919" s="7">
        <v>918</v>
      </c>
      <c r="B919" s="11" t="s">
        <v>933</v>
      </c>
      <c r="C919" s="7" t="s">
        <v>1039</v>
      </c>
      <c r="D919" s="7">
        <v>918</v>
      </c>
      <c r="E919" s="9">
        <v>918</v>
      </c>
      <c r="F919" s="7">
        <v>918</v>
      </c>
      <c r="G919" s="11" t="s">
        <v>1024</v>
      </c>
      <c r="H919" s="20">
        <v>553092</v>
      </c>
      <c r="I919" s="12">
        <v>45196</v>
      </c>
      <c r="J919" s="12">
        <v>45774</v>
      </c>
      <c r="K919" s="25">
        <v>289003</v>
      </c>
      <c r="L919" s="23">
        <v>264089</v>
      </c>
      <c r="M919" s="30" t="s">
        <v>1052</v>
      </c>
      <c r="N919" s="30" t="s">
        <v>1055</v>
      </c>
    </row>
    <row r="920" spans="1:14" customFormat="1" x14ac:dyDescent="0.25">
      <c r="A920" s="7">
        <v>919</v>
      </c>
      <c r="B920" s="11" t="s">
        <v>934</v>
      </c>
      <c r="C920" s="7" t="s">
        <v>1039</v>
      </c>
      <c r="D920" s="7">
        <v>919</v>
      </c>
      <c r="E920" s="7">
        <v>919</v>
      </c>
      <c r="F920" s="7">
        <v>919</v>
      </c>
      <c r="G920" s="11" t="s">
        <v>1022</v>
      </c>
      <c r="H920" s="20">
        <v>33302</v>
      </c>
      <c r="I920" s="12">
        <v>45435</v>
      </c>
      <c r="J920" s="12">
        <v>45466</v>
      </c>
      <c r="K920" s="25">
        <v>7814</v>
      </c>
      <c r="L920" s="23">
        <v>25488</v>
      </c>
      <c r="M920" s="30" t="s">
        <v>1052</v>
      </c>
      <c r="N920" s="30" t="s">
        <v>1055</v>
      </c>
    </row>
    <row r="921" spans="1:14" customFormat="1" x14ac:dyDescent="0.25">
      <c r="A921" s="7">
        <v>920</v>
      </c>
      <c r="B921" s="11" t="s">
        <v>935</v>
      </c>
      <c r="C921" s="7" t="s">
        <v>1039</v>
      </c>
      <c r="D921" s="7">
        <v>920</v>
      </c>
      <c r="E921" s="7">
        <v>920</v>
      </c>
      <c r="F921" s="7">
        <v>920</v>
      </c>
      <c r="G921" s="11" t="s">
        <v>1026</v>
      </c>
      <c r="H921" s="20">
        <v>4158723</v>
      </c>
      <c r="I921" s="12">
        <v>44024</v>
      </c>
      <c r="J921" s="12">
        <v>44420</v>
      </c>
      <c r="K921" s="25">
        <v>3072922</v>
      </c>
      <c r="L921" s="23">
        <v>1085801</v>
      </c>
      <c r="M921" s="30" t="s">
        <v>1052</v>
      </c>
      <c r="N921" s="30" t="s">
        <v>1055</v>
      </c>
    </row>
    <row r="922" spans="1:14" customFormat="1" x14ac:dyDescent="0.25">
      <c r="A922" s="7">
        <v>921</v>
      </c>
      <c r="B922" s="11" t="s">
        <v>936</v>
      </c>
      <c r="C922" s="7" t="s">
        <v>1039</v>
      </c>
      <c r="D922" s="7">
        <v>921</v>
      </c>
      <c r="E922" s="9">
        <v>921</v>
      </c>
      <c r="F922" s="7">
        <v>921</v>
      </c>
      <c r="G922" s="11" t="s">
        <v>1026</v>
      </c>
      <c r="H922" s="20">
        <v>1683656</v>
      </c>
      <c r="I922" s="12">
        <v>45200</v>
      </c>
      <c r="J922" s="12">
        <v>45352</v>
      </c>
      <c r="K922" s="25">
        <v>343571</v>
      </c>
      <c r="L922" s="23">
        <v>1340085</v>
      </c>
      <c r="M922" s="30" t="s">
        <v>1052</v>
      </c>
      <c r="N922" s="30" t="s">
        <v>1055</v>
      </c>
    </row>
    <row r="923" spans="1:14" customFormat="1" x14ac:dyDescent="0.25">
      <c r="A923" s="7">
        <v>922</v>
      </c>
      <c r="B923" s="11" t="s">
        <v>937</v>
      </c>
      <c r="C923" s="7" t="s">
        <v>1039</v>
      </c>
      <c r="D923" s="7">
        <v>922</v>
      </c>
      <c r="E923" s="7">
        <v>922</v>
      </c>
      <c r="F923" s="7">
        <v>922</v>
      </c>
      <c r="G923" s="11" t="s">
        <v>1027</v>
      </c>
      <c r="H923" s="20">
        <v>49385</v>
      </c>
      <c r="I923" s="12">
        <v>44125</v>
      </c>
      <c r="J923" s="12">
        <v>44551</v>
      </c>
      <c r="K923" s="25">
        <v>32161</v>
      </c>
      <c r="L923" s="23">
        <v>17224</v>
      </c>
      <c r="M923" s="30" t="s">
        <v>1052</v>
      </c>
      <c r="N923" s="30" t="s">
        <v>1055</v>
      </c>
    </row>
    <row r="924" spans="1:14" customFormat="1" x14ac:dyDescent="0.25">
      <c r="A924" s="7">
        <v>923</v>
      </c>
      <c r="B924" s="11" t="s">
        <v>938</v>
      </c>
      <c r="C924" s="7" t="s">
        <v>1039</v>
      </c>
      <c r="D924" s="7">
        <v>923</v>
      </c>
      <c r="E924" s="7">
        <v>923</v>
      </c>
      <c r="F924" s="7">
        <v>923</v>
      </c>
      <c r="G924" s="11" t="s">
        <v>1020</v>
      </c>
      <c r="H924" s="20">
        <v>119262</v>
      </c>
      <c r="I924" s="12">
        <v>44106</v>
      </c>
      <c r="J924" s="12">
        <v>44410</v>
      </c>
      <c r="K924" s="25">
        <v>34365</v>
      </c>
      <c r="L924" s="23">
        <v>84897</v>
      </c>
      <c r="M924" s="30" t="s">
        <v>1052</v>
      </c>
      <c r="N924" s="30" t="s">
        <v>1055</v>
      </c>
    </row>
    <row r="925" spans="1:14" customFormat="1" x14ac:dyDescent="0.25">
      <c r="A925" s="7">
        <v>924</v>
      </c>
      <c r="B925" s="11" t="s">
        <v>939</v>
      </c>
      <c r="C925" s="7" t="s">
        <v>1039</v>
      </c>
      <c r="D925" s="7">
        <v>924</v>
      </c>
      <c r="E925" s="9">
        <v>924</v>
      </c>
      <c r="F925" s="7">
        <v>924</v>
      </c>
      <c r="G925" s="11" t="s">
        <v>1023</v>
      </c>
      <c r="H925" s="20">
        <v>1145</v>
      </c>
      <c r="I925" s="12">
        <v>44378</v>
      </c>
      <c r="J925" s="12">
        <v>44927</v>
      </c>
      <c r="K925" s="25">
        <v>757</v>
      </c>
      <c r="L925" s="23">
        <v>388</v>
      </c>
      <c r="M925" s="30" t="s">
        <v>1052</v>
      </c>
      <c r="N925" s="30" t="s">
        <v>1055</v>
      </c>
    </row>
    <row r="926" spans="1:14" customFormat="1" x14ac:dyDescent="0.25">
      <c r="A926" s="7">
        <v>925</v>
      </c>
      <c r="B926" s="11" t="s">
        <v>940</v>
      </c>
      <c r="C926" s="7" t="s">
        <v>1039</v>
      </c>
      <c r="D926" s="7">
        <v>925</v>
      </c>
      <c r="E926" s="7">
        <v>925</v>
      </c>
      <c r="F926" s="7">
        <v>925</v>
      </c>
      <c r="G926" s="11" t="s">
        <v>1027</v>
      </c>
      <c r="H926" s="20">
        <v>21486</v>
      </c>
      <c r="I926" s="12">
        <v>45336</v>
      </c>
      <c r="J926" s="12">
        <v>45730</v>
      </c>
      <c r="K926" s="25">
        <v>13740</v>
      </c>
      <c r="L926" s="23">
        <v>7746</v>
      </c>
      <c r="M926" s="30" t="s">
        <v>1052</v>
      </c>
      <c r="N926" s="30" t="s">
        <v>1055</v>
      </c>
    </row>
    <row r="927" spans="1:14" customFormat="1" x14ac:dyDescent="0.25">
      <c r="A927" s="7">
        <v>926</v>
      </c>
      <c r="B927" s="11" t="s">
        <v>941</v>
      </c>
      <c r="C927" s="7" t="s">
        <v>1039</v>
      </c>
      <c r="D927" s="7">
        <v>926</v>
      </c>
      <c r="E927" s="7">
        <v>926</v>
      </c>
      <c r="F927" s="7">
        <v>926</v>
      </c>
      <c r="G927" s="11" t="s">
        <v>1020</v>
      </c>
      <c r="H927" s="20">
        <v>499901</v>
      </c>
      <c r="I927" s="12">
        <v>44783</v>
      </c>
      <c r="J927" s="12">
        <v>44936</v>
      </c>
      <c r="K927" s="25">
        <v>496540</v>
      </c>
      <c r="L927" s="23">
        <v>3361</v>
      </c>
      <c r="M927" s="30" t="s">
        <v>1052</v>
      </c>
      <c r="N927" s="30" t="s">
        <v>1055</v>
      </c>
    </row>
    <row r="928" spans="1:14" customFormat="1" x14ac:dyDescent="0.25">
      <c r="A928" s="7">
        <v>927</v>
      </c>
      <c r="B928" s="11" t="s">
        <v>942</v>
      </c>
      <c r="C928" s="7" t="s">
        <v>1039</v>
      </c>
      <c r="D928" s="7">
        <v>927</v>
      </c>
      <c r="E928" s="9">
        <v>927</v>
      </c>
      <c r="F928" s="7">
        <v>927</v>
      </c>
      <c r="G928" s="11" t="s">
        <v>1025</v>
      </c>
      <c r="H928" s="20">
        <v>401947</v>
      </c>
      <c r="I928" s="12">
        <v>45651</v>
      </c>
      <c r="J928" s="12">
        <v>46259</v>
      </c>
      <c r="K928" s="25">
        <v>212732</v>
      </c>
      <c r="L928" s="23">
        <v>189215</v>
      </c>
      <c r="M928" s="30" t="s">
        <v>1052</v>
      </c>
      <c r="N928" s="30" t="s">
        <v>1055</v>
      </c>
    </row>
    <row r="929" spans="1:14" customFormat="1" x14ac:dyDescent="0.25">
      <c r="A929" s="7">
        <v>928</v>
      </c>
      <c r="B929" s="11" t="s">
        <v>943</v>
      </c>
      <c r="C929" s="7" t="s">
        <v>1039</v>
      </c>
      <c r="D929" s="7">
        <v>928</v>
      </c>
      <c r="E929" s="7">
        <v>928</v>
      </c>
      <c r="F929" s="7">
        <v>928</v>
      </c>
      <c r="G929" s="11" t="s">
        <v>1023</v>
      </c>
      <c r="H929" s="20">
        <v>505</v>
      </c>
      <c r="I929" s="12">
        <v>45631</v>
      </c>
      <c r="J929" s="12">
        <v>45843</v>
      </c>
      <c r="K929" s="25">
        <v>360</v>
      </c>
      <c r="L929" s="23">
        <v>145</v>
      </c>
      <c r="M929" s="30" t="s">
        <v>1052</v>
      </c>
      <c r="N929" s="30" t="s">
        <v>1055</v>
      </c>
    </row>
    <row r="930" spans="1:14" customFormat="1" x14ac:dyDescent="0.25">
      <c r="A930" s="7">
        <v>929</v>
      </c>
      <c r="B930" s="11" t="s">
        <v>944</v>
      </c>
      <c r="C930" s="7" t="s">
        <v>1039</v>
      </c>
      <c r="D930" s="7">
        <v>929</v>
      </c>
      <c r="E930" s="7">
        <v>929</v>
      </c>
      <c r="F930" s="7">
        <v>929</v>
      </c>
      <c r="G930" s="11" t="s">
        <v>1023</v>
      </c>
      <c r="H930" s="20">
        <v>380</v>
      </c>
      <c r="I930" s="12">
        <v>44041</v>
      </c>
      <c r="J930" s="12">
        <v>44406</v>
      </c>
      <c r="K930" s="25">
        <v>11</v>
      </c>
      <c r="L930" s="23">
        <v>369</v>
      </c>
      <c r="M930" s="30" t="s">
        <v>1052</v>
      </c>
      <c r="N930" s="30" t="s">
        <v>1055</v>
      </c>
    </row>
    <row r="931" spans="1:14" customFormat="1" x14ac:dyDescent="0.25">
      <c r="A931" s="7">
        <v>930</v>
      </c>
      <c r="B931" s="11" t="s">
        <v>945</v>
      </c>
      <c r="C931" s="7" t="s">
        <v>1039</v>
      </c>
      <c r="D931" s="7">
        <v>930</v>
      </c>
      <c r="E931" s="9">
        <v>930</v>
      </c>
      <c r="F931" s="7">
        <v>930</v>
      </c>
      <c r="G931" s="11" t="s">
        <v>1023</v>
      </c>
      <c r="H931" s="20">
        <v>435</v>
      </c>
      <c r="I931" s="12">
        <v>43972</v>
      </c>
      <c r="J931" s="12">
        <v>44003</v>
      </c>
      <c r="K931" s="25">
        <v>83</v>
      </c>
      <c r="L931" s="23">
        <v>352</v>
      </c>
      <c r="M931" s="30" t="s">
        <v>1052</v>
      </c>
      <c r="N931" s="30" t="s">
        <v>1055</v>
      </c>
    </row>
    <row r="932" spans="1:14" customFormat="1" x14ac:dyDescent="0.25">
      <c r="A932" s="7">
        <v>931</v>
      </c>
      <c r="B932" s="11" t="s">
        <v>946</v>
      </c>
      <c r="C932" s="7" t="s">
        <v>1039</v>
      </c>
      <c r="D932" s="7">
        <v>931</v>
      </c>
      <c r="E932" s="7">
        <v>931</v>
      </c>
      <c r="F932" s="7">
        <v>931</v>
      </c>
      <c r="G932" s="11" t="s">
        <v>1021</v>
      </c>
      <c r="H932" s="20">
        <v>90739</v>
      </c>
      <c r="I932" s="12">
        <v>44958</v>
      </c>
      <c r="J932" s="12">
        <v>45170</v>
      </c>
      <c r="K932" s="25">
        <v>47906</v>
      </c>
      <c r="L932" s="23">
        <v>42833</v>
      </c>
      <c r="M932" s="30" t="s">
        <v>1052</v>
      </c>
      <c r="N932" s="30" t="s">
        <v>1055</v>
      </c>
    </row>
    <row r="933" spans="1:14" customFormat="1" x14ac:dyDescent="0.25">
      <c r="A933" s="7">
        <v>932</v>
      </c>
      <c r="B933" s="11" t="s">
        <v>947</v>
      </c>
      <c r="C933" s="7" t="s">
        <v>1039</v>
      </c>
      <c r="D933" s="7">
        <v>932</v>
      </c>
      <c r="E933" s="7">
        <v>932</v>
      </c>
      <c r="F933" s="7">
        <v>932</v>
      </c>
      <c r="G933" s="11" t="s">
        <v>1016</v>
      </c>
      <c r="H933" s="20">
        <v>38999</v>
      </c>
      <c r="I933" s="12">
        <v>44638</v>
      </c>
      <c r="J933" s="12">
        <v>44791</v>
      </c>
      <c r="K933" s="25">
        <v>20123</v>
      </c>
      <c r="L933" s="23">
        <v>18876</v>
      </c>
      <c r="M933" s="30" t="s">
        <v>1052</v>
      </c>
      <c r="N933" s="30" t="s">
        <v>1055</v>
      </c>
    </row>
    <row r="934" spans="1:14" customFormat="1" x14ac:dyDescent="0.25">
      <c r="A934" s="7">
        <v>933</v>
      </c>
      <c r="B934" s="11" t="s">
        <v>948</v>
      </c>
      <c r="C934" s="7" t="s">
        <v>1039</v>
      </c>
      <c r="D934" s="7">
        <v>933</v>
      </c>
      <c r="E934" s="9">
        <v>933</v>
      </c>
      <c r="F934" s="7">
        <v>933</v>
      </c>
      <c r="G934" s="11" t="s">
        <v>1020</v>
      </c>
      <c r="H934" s="20">
        <v>130678</v>
      </c>
      <c r="I934" s="12">
        <v>44982</v>
      </c>
      <c r="J934" s="12">
        <v>45132</v>
      </c>
      <c r="K934" s="25">
        <v>67506</v>
      </c>
      <c r="L934" s="23">
        <v>63172</v>
      </c>
      <c r="M934" s="30" t="s">
        <v>1052</v>
      </c>
      <c r="N934" s="30" t="s">
        <v>1055</v>
      </c>
    </row>
    <row r="935" spans="1:14" customFormat="1" x14ac:dyDescent="0.25">
      <c r="A935" s="7">
        <v>934</v>
      </c>
      <c r="B935" s="11" t="s">
        <v>949</v>
      </c>
      <c r="C935" s="7" t="s">
        <v>1039</v>
      </c>
      <c r="D935" s="7">
        <v>934</v>
      </c>
      <c r="E935" s="7">
        <v>934</v>
      </c>
      <c r="F935" s="7">
        <v>934</v>
      </c>
      <c r="G935" s="11" t="s">
        <v>1020</v>
      </c>
      <c r="H935" s="20">
        <v>479041</v>
      </c>
      <c r="I935" s="12">
        <v>45030</v>
      </c>
      <c r="J935" s="12">
        <v>45091</v>
      </c>
      <c r="K935" s="25">
        <v>414999</v>
      </c>
      <c r="L935" s="23">
        <v>64042</v>
      </c>
      <c r="M935" s="30" t="s">
        <v>1052</v>
      </c>
      <c r="N935" s="30" t="s">
        <v>1055</v>
      </c>
    </row>
    <row r="936" spans="1:14" customFormat="1" x14ac:dyDescent="0.25">
      <c r="A936" s="7">
        <v>935</v>
      </c>
      <c r="B936" s="11" t="s">
        <v>950</v>
      </c>
      <c r="C936" s="7" t="s">
        <v>1039</v>
      </c>
      <c r="D936" s="7">
        <v>935</v>
      </c>
      <c r="E936" s="7">
        <v>935</v>
      </c>
      <c r="F936" s="7">
        <v>935</v>
      </c>
      <c r="G936" s="11" t="s">
        <v>1027</v>
      </c>
      <c r="H936" s="20">
        <v>48991</v>
      </c>
      <c r="I936" s="12">
        <v>44785</v>
      </c>
      <c r="J936" s="12">
        <v>45058</v>
      </c>
      <c r="K936" s="25">
        <v>6418</v>
      </c>
      <c r="L936" s="23">
        <v>42573</v>
      </c>
      <c r="M936" s="30" t="s">
        <v>1052</v>
      </c>
      <c r="N936" s="30" t="s">
        <v>1055</v>
      </c>
    </row>
    <row r="937" spans="1:14" customFormat="1" x14ac:dyDescent="0.25">
      <c r="A937" s="7">
        <v>936</v>
      </c>
      <c r="B937" s="11" t="s">
        <v>951</v>
      </c>
      <c r="C937" s="7" t="s">
        <v>1039</v>
      </c>
      <c r="D937" s="7">
        <v>936</v>
      </c>
      <c r="E937" s="9">
        <v>936</v>
      </c>
      <c r="F937" s="7">
        <v>936</v>
      </c>
      <c r="G937" s="11" t="s">
        <v>1023</v>
      </c>
      <c r="H937" s="20">
        <v>337</v>
      </c>
      <c r="I937" s="12">
        <v>45032</v>
      </c>
      <c r="J937" s="12">
        <v>45459</v>
      </c>
      <c r="K937" s="25">
        <v>273</v>
      </c>
      <c r="L937" s="23">
        <v>64</v>
      </c>
      <c r="M937" s="30" t="s">
        <v>1052</v>
      </c>
      <c r="N937" s="30" t="s">
        <v>1055</v>
      </c>
    </row>
    <row r="938" spans="1:14" customFormat="1" x14ac:dyDescent="0.25">
      <c r="A938" s="7">
        <v>937</v>
      </c>
      <c r="B938" s="11" t="s">
        <v>952</v>
      </c>
      <c r="C938" s="7" t="s">
        <v>1039</v>
      </c>
      <c r="D938" s="7">
        <v>937</v>
      </c>
      <c r="E938" s="7">
        <v>937</v>
      </c>
      <c r="F938" s="7">
        <v>937</v>
      </c>
      <c r="G938" s="11" t="s">
        <v>1022</v>
      </c>
      <c r="H938" s="20">
        <v>7799</v>
      </c>
      <c r="I938" s="12">
        <v>44719</v>
      </c>
      <c r="J938" s="12">
        <v>44992</v>
      </c>
      <c r="K938" s="25">
        <v>2406</v>
      </c>
      <c r="L938" s="23">
        <v>5393</v>
      </c>
      <c r="M938" s="30" t="s">
        <v>1052</v>
      </c>
      <c r="N938" s="30" t="s">
        <v>1055</v>
      </c>
    </row>
    <row r="939" spans="1:14" customFormat="1" x14ac:dyDescent="0.25">
      <c r="A939" s="7">
        <v>938</v>
      </c>
      <c r="B939" s="11" t="s">
        <v>953</v>
      </c>
      <c r="C939" s="7" t="s">
        <v>1039</v>
      </c>
      <c r="D939" s="7">
        <v>938</v>
      </c>
      <c r="E939" s="7">
        <v>938</v>
      </c>
      <c r="F939" s="7">
        <v>938</v>
      </c>
      <c r="G939" s="11" t="s">
        <v>1025</v>
      </c>
      <c r="H939" s="20">
        <v>59752</v>
      </c>
      <c r="I939" s="12">
        <v>45456</v>
      </c>
      <c r="J939" s="12">
        <v>46155</v>
      </c>
      <c r="K939" s="25">
        <v>8575</v>
      </c>
      <c r="L939" s="23">
        <v>51177</v>
      </c>
      <c r="M939" s="30" t="s">
        <v>1052</v>
      </c>
      <c r="N939" s="30" t="s">
        <v>1055</v>
      </c>
    </row>
    <row r="940" spans="1:14" customFormat="1" x14ac:dyDescent="0.25">
      <c r="A940" s="7">
        <v>939</v>
      </c>
      <c r="B940" s="11" t="s">
        <v>954</v>
      </c>
      <c r="C940" s="7" t="s">
        <v>1039</v>
      </c>
      <c r="D940" s="7">
        <v>939</v>
      </c>
      <c r="E940" s="9">
        <v>939</v>
      </c>
      <c r="F940" s="7">
        <v>939</v>
      </c>
      <c r="G940" s="11" t="s">
        <v>1025</v>
      </c>
      <c r="H940" s="20">
        <v>390351</v>
      </c>
      <c r="I940" s="12">
        <v>44924</v>
      </c>
      <c r="J940" s="12">
        <v>44955</v>
      </c>
      <c r="K940" s="25">
        <v>18605</v>
      </c>
      <c r="L940" s="23">
        <v>371746</v>
      </c>
      <c r="M940" s="30" t="s">
        <v>1052</v>
      </c>
      <c r="N940" s="30" t="s">
        <v>1055</v>
      </c>
    </row>
    <row r="941" spans="1:14" customFormat="1" x14ac:dyDescent="0.25">
      <c r="A941" s="7">
        <v>940</v>
      </c>
      <c r="B941" s="11" t="s">
        <v>955</v>
      </c>
      <c r="C941" s="7" t="s">
        <v>1039</v>
      </c>
      <c r="D941" s="7">
        <v>940</v>
      </c>
      <c r="E941" s="7">
        <v>940</v>
      </c>
      <c r="F941" s="7">
        <v>940</v>
      </c>
      <c r="G941" s="11" t="s">
        <v>1016</v>
      </c>
      <c r="H941" s="20">
        <v>27712</v>
      </c>
      <c r="I941" s="12">
        <v>44124</v>
      </c>
      <c r="J941" s="12">
        <v>44701</v>
      </c>
      <c r="K941" s="25">
        <v>22250</v>
      </c>
      <c r="L941" s="23">
        <v>5462</v>
      </c>
      <c r="M941" s="30" t="s">
        <v>1052</v>
      </c>
      <c r="N941" s="30" t="s">
        <v>1055</v>
      </c>
    </row>
    <row r="942" spans="1:14" customFormat="1" x14ac:dyDescent="0.25">
      <c r="A942" s="7">
        <v>941</v>
      </c>
      <c r="B942" s="11" t="s">
        <v>956</v>
      </c>
      <c r="C942" s="7" t="s">
        <v>1039</v>
      </c>
      <c r="D942" s="7">
        <v>941</v>
      </c>
      <c r="E942" s="7">
        <v>941</v>
      </c>
      <c r="F942" s="7">
        <v>941</v>
      </c>
      <c r="G942" s="11" t="s">
        <v>1016</v>
      </c>
      <c r="H942" s="20">
        <v>9558</v>
      </c>
      <c r="I942" s="12">
        <v>45465</v>
      </c>
      <c r="J942" s="12">
        <v>45679</v>
      </c>
      <c r="K942" s="25">
        <v>2246</v>
      </c>
      <c r="L942" s="23">
        <v>7312</v>
      </c>
      <c r="M942" s="30" t="s">
        <v>1052</v>
      </c>
      <c r="N942" s="30" t="s">
        <v>1055</v>
      </c>
    </row>
    <row r="943" spans="1:14" customFormat="1" x14ac:dyDescent="0.25">
      <c r="A943" s="7">
        <v>942</v>
      </c>
      <c r="B943" s="11" t="s">
        <v>957</v>
      </c>
      <c r="C943" s="7" t="s">
        <v>1039</v>
      </c>
      <c r="D943" s="7">
        <v>942</v>
      </c>
      <c r="E943" s="9">
        <v>942</v>
      </c>
      <c r="F943" s="7">
        <v>942</v>
      </c>
      <c r="G943" s="11" t="s">
        <v>1021</v>
      </c>
      <c r="H943" s="20">
        <v>29209</v>
      </c>
      <c r="I943" s="12">
        <v>44858</v>
      </c>
      <c r="J943" s="12">
        <v>45131</v>
      </c>
      <c r="K943" s="25">
        <v>8405</v>
      </c>
      <c r="L943" s="23">
        <v>20804</v>
      </c>
      <c r="M943" s="30" t="s">
        <v>1052</v>
      </c>
      <c r="N943" s="30" t="s">
        <v>1055</v>
      </c>
    </row>
    <row r="944" spans="1:14" customFormat="1" x14ac:dyDescent="0.25">
      <c r="A944" s="7">
        <v>943</v>
      </c>
      <c r="B944" s="11" t="s">
        <v>958</v>
      </c>
      <c r="C944" s="7" t="s">
        <v>1039</v>
      </c>
      <c r="D944" s="7">
        <v>943</v>
      </c>
      <c r="E944" s="7">
        <v>943</v>
      </c>
      <c r="F944" s="7">
        <v>943</v>
      </c>
      <c r="G944" s="11" t="s">
        <v>1026</v>
      </c>
      <c r="H944" s="20">
        <v>3504155</v>
      </c>
      <c r="I944" s="12">
        <v>44190</v>
      </c>
      <c r="J944" s="12">
        <v>44617</v>
      </c>
      <c r="K944" s="25">
        <v>2893834</v>
      </c>
      <c r="L944" s="23">
        <v>610321</v>
      </c>
      <c r="M944" s="30" t="s">
        <v>1052</v>
      </c>
      <c r="N944" s="30" t="s">
        <v>1055</v>
      </c>
    </row>
    <row r="945" spans="1:14" customFormat="1" x14ac:dyDescent="0.25">
      <c r="A945" s="7">
        <v>944</v>
      </c>
      <c r="B945" s="11" t="s">
        <v>959</v>
      </c>
      <c r="C945" s="7" t="s">
        <v>1039</v>
      </c>
      <c r="D945" s="7">
        <v>944</v>
      </c>
      <c r="E945" s="7">
        <v>944</v>
      </c>
      <c r="F945" s="7">
        <v>944</v>
      </c>
      <c r="G945" s="11" t="s">
        <v>1020</v>
      </c>
      <c r="H945" s="20">
        <v>418530</v>
      </c>
      <c r="I945" s="12">
        <v>44971</v>
      </c>
      <c r="J945" s="12">
        <v>45060</v>
      </c>
      <c r="K945" s="25">
        <v>356959</v>
      </c>
      <c r="L945" s="23">
        <v>61571</v>
      </c>
      <c r="M945" s="30" t="s">
        <v>1052</v>
      </c>
      <c r="N945" s="30" t="s">
        <v>1055</v>
      </c>
    </row>
    <row r="946" spans="1:14" customFormat="1" x14ac:dyDescent="0.25">
      <c r="A946" s="7">
        <v>945</v>
      </c>
      <c r="B946" s="11" t="s">
        <v>960</v>
      </c>
      <c r="C946" s="7" t="s">
        <v>1039</v>
      </c>
      <c r="D946" s="7">
        <v>945</v>
      </c>
      <c r="E946" s="9">
        <v>945</v>
      </c>
      <c r="F946" s="7">
        <v>945</v>
      </c>
      <c r="G946" s="11" t="s">
        <v>1027</v>
      </c>
      <c r="H946" s="20">
        <v>45958</v>
      </c>
      <c r="I946" s="12">
        <v>43879</v>
      </c>
      <c r="J946" s="12">
        <v>43969</v>
      </c>
      <c r="K946" s="25">
        <v>26232</v>
      </c>
      <c r="L946" s="23">
        <v>19726</v>
      </c>
      <c r="M946" s="30" t="s">
        <v>1052</v>
      </c>
      <c r="N946" s="30" t="s">
        <v>1055</v>
      </c>
    </row>
    <row r="947" spans="1:14" customFormat="1" x14ac:dyDescent="0.25">
      <c r="A947" s="7">
        <v>946</v>
      </c>
      <c r="B947" s="11" t="s">
        <v>961</v>
      </c>
      <c r="C947" s="7" t="s">
        <v>1039</v>
      </c>
      <c r="D947" s="7">
        <v>946</v>
      </c>
      <c r="E947" s="7">
        <v>946</v>
      </c>
      <c r="F947" s="7">
        <v>946</v>
      </c>
      <c r="G947" s="11" t="s">
        <v>1016</v>
      </c>
      <c r="H947" s="20">
        <v>40800</v>
      </c>
      <c r="I947" s="12">
        <v>44730</v>
      </c>
      <c r="J947" s="12">
        <v>44822</v>
      </c>
      <c r="K947" s="25">
        <v>35568</v>
      </c>
      <c r="L947" s="23">
        <v>5232</v>
      </c>
      <c r="M947" s="30" t="s">
        <v>1052</v>
      </c>
      <c r="N947" s="30" t="s">
        <v>1055</v>
      </c>
    </row>
    <row r="948" spans="1:14" customFormat="1" x14ac:dyDescent="0.25">
      <c r="A948" s="7">
        <v>947</v>
      </c>
      <c r="B948" s="11" t="s">
        <v>962</v>
      </c>
      <c r="C948" s="7" t="s">
        <v>1039</v>
      </c>
      <c r="D948" s="7">
        <v>947</v>
      </c>
      <c r="E948" s="7">
        <v>947</v>
      </c>
      <c r="F948" s="7">
        <v>947</v>
      </c>
      <c r="G948" s="11" t="s">
        <v>1023</v>
      </c>
      <c r="H948" s="20">
        <v>674</v>
      </c>
      <c r="I948" s="12">
        <v>44039</v>
      </c>
      <c r="J948" s="12">
        <v>44162</v>
      </c>
      <c r="K948" s="25">
        <v>320</v>
      </c>
      <c r="L948" s="23">
        <v>354</v>
      </c>
      <c r="M948" s="30" t="s">
        <v>1052</v>
      </c>
      <c r="N948" s="30" t="s">
        <v>1055</v>
      </c>
    </row>
    <row r="949" spans="1:14" customFormat="1" x14ac:dyDescent="0.25">
      <c r="A949" s="7">
        <v>948</v>
      </c>
      <c r="B949" s="11" t="s">
        <v>963</v>
      </c>
      <c r="C949" s="7" t="s">
        <v>1039</v>
      </c>
      <c r="D949" s="7">
        <v>948</v>
      </c>
      <c r="E949" s="9">
        <v>948</v>
      </c>
      <c r="F949" s="7">
        <v>948</v>
      </c>
      <c r="G949" s="11" t="s">
        <v>1025</v>
      </c>
      <c r="H949" s="20">
        <v>466118</v>
      </c>
      <c r="I949" s="12">
        <v>44711</v>
      </c>
      <c r="J949" s="12">
        <v>45015</v>
      </c>
      <c r="K949" s="25">
        <v>197516</v>
      </c>
      <c r="L949" s="23">
        <v>268602</v>
      </c>
      <c r="M949" s="30" t="s">
        <v>1052</v>
      </c>
      <c r="N949" s="30" t="s">
        <v>1055</v>
      </c>
    </row>
    <row r="950" spans="1:14" customFormat="1" x14ac:dyDescent="0.25">
      <c r="A950" s="7">
        <v>949</v>
      </c>
      <c r="B950" s="11" t="s">
        <v>964</v>
      </c>
      <c r="C950" s="7" t="s">
        <v>1039</v>
      </c>
      <c r="D950" s="7">
        <v>949</v>
      </c>
      <c r="E950" s="7">
        <v>949</v>
      </c>
      <c r="F950" s="7">
        <v>949</v>
      </c>
      <c r="G950" s="11" t="s">
        <v>1016</v>
      </c>
      <c r="H950" s="20">
        <v>24804</v>
      </c>
      <c r="I950" s="12">
        <v>44822</v>
      </c>
      <c r="J950" s="12">
        <v>45553</v>
      </c>
      <c r="K950" s="25">
        <v>24545</v>
      </c>
      <c r="L950" s="23">
        <v>259</v>
      </c>
      <c r="M950" s="30" t="s">
        <v>1052</v>
      </c>
      <c r="N950" s="30" t="s">
        <v>1055</v>
      </c>
    </row>
    <row r="951" spans="1:14" customFormat="1" x14ac:dyDescent="0.25">
      <c r="A951" s="7">
        <v>950</v>
      </c>
      <c r="B951" s="11" t="s">
        <v>965</v>
      </c>
      <c r="C951" s="7" t="s">
        <v>1039</v>
      </c>
      <c r="D951" s="7">
        <v>950</v>
      </c>
      <c r="E951" s="7">
        <v>950</v>
      </c>
      <c r="F951" s="7">
        <v>950</v>
      </c>
      <c r="G951" s="11" t="s">
        <v>1026</v>
      </c>
      <c r="H951" s="20">
        <v>1914611</v>
      </c>
      <c r="I951" s="12">
        <v>45710</v>
      </c>
      <c r="J951" s="12">
        <v>45891</v>
      </c>
      <c r="K951" s="25">
        <v>1715198</v>
      </c>
      <c r="L951" s="23">
        <v>199413</v>
      </c>
      <c r="M951" s="30" t="s">
        <v>1052</v>
      </c>
      <c r="N951" s="30" t="s">
        <v>1055</v>
      </c>
    </row>
    <row r="952" spans="1:14" customFormat="1" x14ac:dyDescent="0.25">
      <c r="A952" s="7">
        <v>951</v>
      </c>
      <c r="B952" s="11" t="s">
        <v>966</v>
      </c>
      <c r="C952" s="7" t="s">
        <v>1039</v>
      </c>
      <c r="D952" s="7">
        <v>951</v>
      </c>
      <c r="E952" s="9">
        <v>951</v>
      </c>
      <c r="F952" s="7">
        <v>951</v>
      </c>
      <c r="G952" s="11" t="s">
        <v>1023</v>
      </c>
      <c r="H952" s="20">
        <v>676</v>
      </c>
      <c r="I952" s="12">
        <v>44690</v>
      </c>
      <c r="J952" s="12">
        <v>44904</v>
      </c>
      <c r="K952" s="25">
        <v>484</v>
      </c>
      <c r="L952" s="23">
        <v>192</v>
      </c>
      <c r="M952" s="30" t="s">
        <v>1052</v>
      </c>
      <c r="N952" s="30" t="s">
        <v>1055</v>
      </c>
    </row>
    <row r="953" spans="1:14" customFormat="1" x14ac:dyDescent="0.25">
      <c r="A953" s="7">
        <v>952</v>
      </c>
      <c r="B953" s="11" t="s">
        <v>967</v>
      </c>
      <c r="C953" s="7" t="s">
        <v>1039</v>
      </c>
      <c r="D953" s="7">
        <v>952</v>
      </c>
      <c r="E953" s="7">
        <v>952</v>
      </c>
      <c r="F953" s="7">
        <v>952</v>
      </c>
      <c r="G953" s="11" t="s">
        <v>1020</v>
      </c>
      <c r="H953" s="20">
        <v>22630</v>
      </c>
      <c r="I953" s="12">
        <v>45708</v>
      </c>
      <c r="J953" s="12">
        <v>46101</v>
      </c>
      <c r="K953" s="25">
        <v>18116</v>
      </c>
      <c r="L953" s="23">
        <v>4514</v>
      </c>
      <c r="M953" s="30" t="s">
        <v>1052</v>
      </c>
      <c r="N953" s="30" t="s">
        <v>1055</v>
      </c>
    </row>
    <row r="954" spans="1:14" customFormat="1" x14ac:dyDescent="0.25">
      <c r="A954" s="7">
        <v>953</v>
      </c>
      <c r="B954" s="11" t="s">
        <v>968</v>
      </c>
      <c r="C954" s="7" t="s">
        <v>1039</v>
      </c>
      <c r="D954" s="7">
        <v>953</v>
      </c>
      <c r="E954" s="7">
        <v>953</v>
      </c>
      <c r="F954" s="7">
        <v>953</v>
      </c>
      <c r="G954" s="11" t="s">
        <v>1022</v>
      </c>
      <c r="H954" s="20">
        <v>33498</v>
      </c>
      <c r="I954" s="12">
        <v>45417</v>
      </c>
      <c r="J954" s="12">
        <v>45693</v>
      </c>
      <c r="K954" s="25">
        <v>24364</v>
      </c>
      <c r="L954" s="23">
        <v>9134</v>
      </c>
      <c r="M954" s="30" t="s">
        <v>1052</v>
      </c>
      <c r="N954" s="30" t="s">
        <v>1055</v>
      </c>
    </row>
    <row r="955" spans="1:14" customFormat="1" x14ac:dyDescent="0.25">
      <c r="A955" s="7">
        <v>954</v>
      </c>
      <c r="B955" s="11" t="s">
        <v>969</v>
      </c>
      <c r="C955" s="7" t="s">
        <v>1039</v>
      </c>
      <c r="D955" s="7">
        <v>954</v>
      </c>
      <c r="E955" s="9">
        <v>954</v>
      </c>
      <c r="F955" s="7">
        <v>954</v>
      </c>
      <c r="G955" s="11" t="s">
        <v>1025</v>
      </c>
      <c r="H955" s="20">
        <v>402463</v>
      </c>
      <c r="I955" s="12">
        <v>44360</v>
      </c>
      <c r="J955" s="12">
        <v>44755</v>
      </c>
      <c r="K955" s="25">
        <v>145018</v>
      </c>
      <c r="L955" s="23">
        <v>257445</v>
      </c>
      <c r="M955" s="30" t="s">
        <v>1052</v>
      </c>
      <c r="N955" s="30" t="s">
        <v>1055</v>
      </c>
    </row>
    <row r="956" spans="1:14" customFormat="1" x14ac:dyDescent="0.25">
      <c r="A956" s="7">
        <v>955</v>
      </c>
      <c r="B956" s="11" t="s">
        <v>970</v>
      </c>
      <c r="C956" s="7" t="s">
        <v>1039</v>
      </c>
      <c r="D956" s="7">
        <v>955</v>
      </c>
      <c r="E956" s="7">
        <v>955</v>
      </c>
      <c r="F956" s="7">
        <v>955</v>
      </c>
      <c r="G956" s="11" t="s">
        <v>1021</v>
      </c>
      <c r="H956" s="20">
        <v>44777</v>
      </c>
      <c r="I956" s="12">
        <v>45252</v>
      </c>
      <c r="J956" s="12">
        <v>45799</v>
      </c>
      <c r="K956" s="25">
        <v>26483</v>
      </c>
      <c r="L956" s="23">
        <v>18294</v>
      </c>
      <c r="M956" s="30" t="s">
        <v>1052</v>
      </c>
      <c r="N956" s="30" t="s">
        <v>1055</v>
      </c>
    </row>
    <row r="957" spans="1:14" customFormat="1" x14ac:dyDescent="0.25">
      <c r="A957" s="7">
        <v>956</v>
      </c>
      <c r="B957" s="11" t="s">
        <v>971</v>
      </c>
      <c r="C957" s="7" t="s">
        <v>1039</v>
      </c>
      <c r="D957" s="7">
        <v>956</v>
      </c>
      <c r="E957" s="7">
        <v>956</v>
      </c>
      <c r="F957" s="7">
        <v>956</v>
      </c>
      <c r="G957" s="11" t="s">
        <v>1023</v>
      </c>
      <c r="H957" s="20">
        <v>1382</v>
      </c>
      <c r="I957" s="12">
        <v>44954</v>
      </c>
      <c r="J957" s="12">
        <v>45532</v>
      </c>
      <c r="K957" s="25">
        <v>517</v>
      </c>
      <c r="L957" s="23">
        <v>865</v>
      </c>
      <c r="M957" s="30" t="s">
        <v>1052</v>
      </c>
      <c r="N957" s="30" t="s">
        <v>1055</v>
      </c>
    </row>
    <row r="958" spans="1:14" customFormat="1" x14ac:dyDescent="0.25">
      <c r="A958" s="7">
        <v>957</v>
      </c>
      <c r="B958" s="11" t="s">
        <v>972</v>
      </c>
      <c r="C958" s="7" t="s">
        <v>1039</v>
      </c>
      <c r="D958" s="7">
        <v>957</v>
      </c>
      <c r="E958" s="9">
        <v>957</v>
      </c>
      <c r="F958" s="7">
        <v>957</v>
      </c>
      <c r="G958" s="11" t="s">
        <v>1020</v>
      </c>
      <c r="H958" s="20">
        <v>25748</v>
      </c>
      <c r="I958" s="12">
        <v>44957</v>
      </c>
      <c r="J958" s="12">
        <v>45657</v>
      </c>
      <c r="K958" s="25">
        <v>17177</v>
      </c>
      <c r="L958" s="23">
        <v>8571</v>
      </c>
      <c r="M958" s="30" t="s">
        <v>1052</v>
      </c>
      <c r="N958" s="30" t="s">
        <v>1055</v>
      </c>
    </row>
    <row r="959" spans="1:14" customFormat="1" x14ac:dyDescent="0.25">
      <c r="A959" s="7">
        <v>958</v>
      </c>
      <c r="B959" s="11" t="s">
        <v>973</v>
      </c>
      <c r="C959" s="7" t="s">
        <v>1039</v>
      </c>
      <c r="D959" s="7">
        <v>958</v>
      </c>
      <c r="E959" s="7">
        <v>958</v>
      </c>
      <c r="F959" s="7">
        <v>958</v>
      </c>
      <c r="G959" s="11" t="s">
        <v>1026</v>
      </c>
      <c r="H959" s="20">
        <v>4418343</v>
      </c>
      <c r="I959" s="12">
        <v>44826</v>
      </c>
      <c r="J959" s="12">
        <v>45344</v>
      </c>
      <c r="K959" s="25">
        <v>1740966</v>
      </c>
      <c r="L959" s="23">
        <v>2677377</v>
      </c>
      <c r="M959" s="30" t="s">
        <v>1052</v>
      </c>
      <c r="N959" s="30" t="s">
        <v>1055</v>
      </c>
    </row>
    <row r="960" spans="1:14" customFormat="1" x14ac:dyDescent="0.25">
      <c r="A960" s="7">
        <v>959</v>
      </c>
      <c r="B960" s="11" t="s">
        <v>974</v>
      </c>
      <c r="C960" s="7" t="s">
        <v>1039</v>
      </c>
      <c r="D960" s="7">
        <v>959</v>
      </c>
      <c r="E960" s="7">
        <v>959</v>
      </c>
      <c r="F960" s="7">
        <v>959</v>
      </c>
      <c r="G960" s="11" t="s">
        <v>1024</v>
      </c>
      <c r="H960" s="20">
        <v>948369</v>
      </c>
      <c r="I960" s="12">
        <v>45036</v>
      </c>
      <c r="J960" s="12">
        <v>45736</v>
      </c>
      <c r="K960" s="25">
        <v>639938</v>
      </c>
      <c r="L960" s="23">
        <v>308431</v>
      </c>
      <c r="M960" s="30" t="s">
        <v>1052</v>
      </c>
      <c r="N960" s="30" t="s">
        <v>1055</v>
      </c>
    </row>
    <row r="961" spans="1:14" customFormat="1" x14ac:dyDescent="0.25">
      <c r="A961" s="7">
        <v>960</v>
      </c>
      <c r="B961" s="11" t="s">
        <v>975</v>
      </c>
      <c r="C961" s="7" t="s">
        <v>1039</v>
      </c>
      <c r="D961" s="7">
        <v>960</v>
      </c>
      <c r="E961" s="9">
        <v>960</v>
      </c>
      <c r="F961" s="7">
        <v>960</v>
      </c>
      <c r="G961" s="11" t="s">
        <v>1022</v>
      </c>
      <c r="H961" s="20">
        <v>24155</v>
      </c>
      <c r="I961" s="12">
        <v>45010</v>
      </c>
      <c r="J961" s="12">
        <v>45498</v>
      </c>
      <c r="K961" s="25">
        <v>4982</v>
      </c>
      <c r="L961" s="23">
        <v>19173</v>
      </c>
      <c r="M961" s="30" t="s">
        <v>1052</v>
      </c>
      <c r="N961" s="30" t="s">
        <v>1055</v>
      </c>
    </row>
    <row r="962" spans="1:14" customFormat="1" x14ac:dyDescent="0.25">
      <c r="A962" s="7">
        <v>961</v>
      </c>
      <c r="B962" s="11" t="s">
        <v>976</v>
      </c>
      <c r="C962" s="7" t="s">
        <v>1039</v>
      </c>
      <c r="D962" s="7">
        <v>961</v>
      </c>
      <c r="E962" s="7">
        <v>961</v>
      </c>
      <c r="F962" s="7">
        <v>961</v>
      </c>
      <c r="G962" s="11" t="s">
        <v>1021</v>
      </c>
      <c r="H962" s="20">
        <v>71133</v>
      </c>
      <c r="I962" s="12">
        <v>45524</v>
      </c>
      <c r="J962" s="12">
        <v>45555</v>
      </c>
      <c r="K962" s="25">
        <v>65810</v>
      </c>
      <c r="L962" s="23">
        <v>5323</v>
      </c>
      <c r="M962" s="30" t="s">
        <v>1052</v>
      </c>
      <c r="N962" s="30" t="s">
        <v>1055</v>
      </c>
    </row>
    <row r="963" spans="1:14" customFormat="1" x14ac:dyDescent="0.25">
      <c r="A963" s="7">
        <v>962</v>
      </c>
      <c r="B963" s="11" t="s">
        <v>977</v>
      </c>
      <c r="C963" s="7" t="s">
        <v>1039</v>
      </c>
      <c r="D963" s="7">
        <v>962</v>
      </c>
      <c r="E963" s="7">
        <v>962</v>
      </c>
      <c r="F963" s="7">
        <v>962</v>
      </c>
      <c r="G963" s="11" t="s">
        <v>1021</v>
      </c>
      <c r="H963" s="20">
        <v>22150</v>
      </c>
      <c r="I963" s="12">
        <v>45093</v>
      </c>
      <c r="J963" s="12">
        <v>45185</v>
      </c>
      <c r="K963" s="25">
        <v>12378</v>
      </c>
      <c r="L963" s="23">
        <v>9772</v>
      </c>
      <c r="M963" s="30" t="s">
        <v>1052</v>
      </c>
      <c r="N963" s="30" t="s">
        <v>1055</v>
      </c>
    </row>
    <row r="964" spans="1:14" customFormat="1" x14ac:dyDescent="0.25">
      <c r="A964" s="7">
        <v>963</v>
      </c>
      <c r="B964" s="11" t="s">
        <v>978</v>
      </c>
      <c r="C964" s="7" t="s">
        <v>1039</v>
      </c>
      <c r="D964" s="7">
        <v>963</v>
      </c>
      <c r="E964" s="9">
        <v>963</v>
      </c>
      <c r="F964" s="7">
        <v>963</v>
      </c>
      <c r="G964" s="11" t="s">
        <v>1020</v>
      </c>
      <c r="H964" s="20">
        <v>429201</v>
      </c>
      <c r="I964" s="12">
        <v>44334</v>
      </c>
      <c r="J964" s="12">
        <v>44426</v>
      </c>
      <c r="K964" s="25">
        <v>245644</v>
      </c>
      <c r="L964" s="23">
        <v>183557</v>
      </c>
      <c r="M964" s="30" t="s">
        <v>1052</v>
      </c>
      <c r="N964" s="30" t="s">
        <v>1055</v>
      </c>
    </row>
    <row r="965" spans="1:14" customFormat="1" x14ac:dyDescent="0.25">
      <c r="A965" s="7">
        <v>964</v>
      </c>
      <c r="B965" s="11" t="s">
        <v>979</v>
      </c>
      <c r="C965" s="7" t="s">
        <v>1039</v>
      </c>
      <c r="D965" s="7">
        <v>964</v>
      </c>
      <c r="E965" s="7">
        <v>964</v>
      </c>
      <c r="F965" s="7">
        <v>964</v>
      </c>
      <c r="G965" s="11" t="s">
        <v>1027</v>
      </c>
      <c r="H965" s="20">
        <v>52669</v>
      </c>
      <c r="I965" s="12">
        <v>45188</v>
      </c>
      <c r="J965" s="12">
        <v>45857</v>
      </c>
      <c r="K965" s="25">
        <v>46247</v>
      </c>
      <c r="L965" s="23">
        <v>6422</v>
      </c>
      <c r="M965" s="30" t="s">
        <v>1052</v>
      </c>
      <c r="N965" s="30" t="s">
        <v>1055</v>
      </c>
    </row>
    <row r="966" spans="1:14" customFormat="1" x14ac:dyDescent="0.25">
      <c r="A966" s="7">
        <v>965</v>
      </c>
      <c r="B966" s="11" t="s">
        <v>980</v>
      </c>
      <c r="C966" s="7" t="s">
        <v>1039</v>
      </c>
      <c r="D966" s="7">
        <v>965</v>
      </c>
      <c r="E966" s="7">
        <v>965</v>
      </c>
      <c r="F966" s="7">
        <v>965</v>
      </c>
      <c r="G966" s="11" t="s">
        <v>1026</v>
      </c>
      <c r="H966" s="20">
        <v>2557049</v>
      </c>
      <c r="I966" s="12">
        <v>44793</v>
      </c>
      <c r="J966" s="12">
        <v>45280</v>
      </c>
      <c r="K966" s="25">
        <v>227991</v>
      </c>
      <c r="L966" s="23">
        <v>2329058</v>
      </c>
      <c r="M966" s="30" t="s">
        <v>1052</v>
      </c>
      <c r="N966" s="30" t="s">
        <v>1055</v>
      </c>
    </row>
    <row r="967" spans="1:14" customFormat="1" x14ac:dyDescent="0.25">
      <c r="A967" s="7">
        <v>966</v>
      </c>
      <c r="B967" s="11" t="s">
        <v>981</v>
      </c>
      <c r="C967" s="7" t="s">
        <v>1039</v>
      </c>
      <c r="D967" s="7">
        <v>966</v>
      </c>
      <c r="E967" s="9">
        <v>966</v>
      </c>
      <c r="F967" s="7">
        <v>966</v>
      </c>
      <c r="G967" s="11" t="s">
        <v>1027</v>
      </c>
      <c r="H967" s="20">
        <v>20118</v>
      </c>
      <c r="I967" s="12">
        <v>44824</v>
      </c>
      <c r="J967" s="12">
        <v>45524</v>
      </c>
      <c r="K967" s="25">
        <v>12846</v>
      </c>
      <c r="L967" s="23">
        <v>7272</v>
      </c>
      <c r="M967" s="30" t="s">
        <v>1052</v>
      </c>
      <c r="N967" s="30" t="s">
        <v>1055</v>
      </c>
    </row>
    <row r="968" spans="1:14" customFormat="1" x14ac:dyDescent="0.25">
      <c r="A968" s="7">
        <v>967</v>
      </c>
      <c r="B968" s="11" t="s">
        <v>982</v>
      </c>
      <c r="C968" s="7" t="s">
        <v>1039</v>
      </c>
      <c r="D968" s="7">
        <v>967</v>
      </c>
      <c r="E968" s="7">
        <v>967</v>
      </c>
      <c r="F968" s="7">
        <v>967</v>
      </c>
      <c r="G968" s="11" t="s">
        <v>1024</v>
      </c>
      <c r="H968" s="20">
        <v>495367</v>
      </c>
      <c r="I968" s="12">
        <v>45268</v>
      </c>
      <c r="J968" s="12">
        <v>45999</v>
      </c>
      <c r="K968" s="25">
        <v>322823</v>
      </c>
      <c r="L968" s="23">
        <v>172544</v>
      </c>
      <c r="M968" s="30" t="s">
        <v>1052</v>
      </c>
      <c r="N968" s="30" t="s">
        <v>1055</v>
      </c>
    </row>
    <row r="969" spans="1:14" customFormat="1" x14ac:dyDescent="0.25">
      <c r="A969" s="7">
        <v>968</v>
      </c>
      <c r="B969" s="11" t="s">
        <v>983</v>
      </c>
      <c r="C969" s="7" t="s">
        <v>1039</v>
      </c>
      <c r="D969" s="7">
        <v>968</v>
      </c>
      <c r="E969" s="7">
        <v>968</v>
      </c>
      <c r="F969" s="7">
        <v>968</v>
      </c>
      <c r="G969" s="11" t="s">
        <v>1026</v>
      </c>
      <c r="H969" s="20">
        <v>277096</v>
      </c>
      <c r="I969" s="12">
        <v>45665</v>
      </c>
      <c r="J969" s="12">
        <v>45816</v>
      </c>
      <c r="K969" s="25">
        <v>237398</v>
      </c>
      <c r="L969" s="23">
        <v>39698</v>
      </c>
      <c r="M969" s="30" t="s">
        <v>1052</v>
      </c>
      <c r="N969" s="30" t="s">
        <v>1055</v>
      </c>
    </row>
    <row r="970" spans="1:14" customFormat="1" x14ac:dyDescent="0.25">
      <c r="A970" s="7">
        <v>969</v>
      </c>
      <c r="B970" s="11" t="s">
        <v>984</v>
      </c>
      <c r="C970" s="7" t="s">
        <v>1039</v>
      </c>
      <c r="D970" s="7">
        <v>969</v>
      </c>
      <c r="E970" s="9">
        <v>969</v>
      </c>
      <c r="F970" s="7">
        <v>969</v>
      </c>
      <c r="G970" s="11" t="s">
        <v>1021</v>
      </c>
      <c r="H970" s="20">
        <v>45058</v>
      </c>
      <c r="I970" s="12">
        <v>45597</v>
      </c>
      <c r="J970" s="12">
        <v>45809</v>
      </c>
      <c r="K970" s="25">
        <v>17845</v>
      </c>
      <c r="L970" s="23">
        <v>27213</v>
      </c>
      <c r="M970" s="30" t="s">
        <v>1052</v>
      </c>
      <c r="N970" s="30" t="s">
        <v>1055</v>
      </c>
    </row>
    <row r="971" spans="1:14" customFormat="1" x14ac:dyDescent="0.25">
      <c r="A971" s="7">
        <v>970</v>
      </c>
      <c r="B971" s="11" t="s">
        <v>985</v>
      </c>
      <c r="C971" s="7" t="s">
        <v>1039</v>
      </c>
      <c r="D971" s="7">
        <v>970</v>
      </c>
      <c r="E971" s="7">
        <v>970</v>
      </c>
      <c r="F971" s="7">
        <v>970</v>
      </c>
      <c r="G971" s="11" t="s">
        <v>1024</v>
      </c>
      <c r="H971" s="20">
        <v>110972</v>
      </c>
      <c r="I971" s="12">
        <v>45506</v>
      </c>
      <c r="J971" s="12">
        <v>46114</v>
      </c>
      <c r="K971" s="25">
        <v>110054</v>
      </c>
      <c r="L971" s="23">
        <v>918</v>
      </c>
      <c r="M971" s="30" t="s">
        <v>1052</v>
      </c>
      <c r="N971" s="30" t="s">
        <v>1055</v>
      </c>
    </row>
    <row r="972" spans="1:14" customFormat="1" x14ac:dyDescent="0.25">
      <c r="A972" s="7">
        <v>971</v>
      </c>
      <c r="B972" s="11" t="s">
        <v>986</v>
      </c>
      <c r="C972" s="7" t="s">
        <v>1039</v>
      </c>
      <c r="D972" s="7">
        <v>971</v>
      </c>
      <c r="E972" s="7">
        <v>971</v>
      </c>
      <c r="F972" s="7">
        <v>971</v>
      </c>
      <c r="G972" s="11" t="s">
        <v>1021</v>
      </c>
      <c r="H972" s="20">
        <v>89366</v>
      </c>
      <c r="I972" s="12">
        <v>44088</v>
      </c>
      <c r="J972" s="12">
        <v>44118</v>
      </c>
      <c r="K972" s="25">
        <v>11197</v>
      </c>
      <c r="L972" s="23">
        <v>78169</v>
      </c>
      <c r="M972" s="30" t="s">
        <v>1052</v>
      </c>
      <c r="N972" s="30" t="s">
        <v>1055</v>
      </c>
    </row>
    <row r="973" spans="1:14" customFormat="1" x14ac:dyDescent="0.25">
      <c r="A973" s="7">
        <v>972</v>
      </c>
      <c r="B973" s="11" t="s">
        <v>987</v>
      </c>
      <c r="C973" s="7" t="s">
        <v>1039</v>
      </c>
      <c r="D973" s="7">
        <v>972</v>
      </c>
      <c r="E973" s="9">
        <v>972</v>
      </c>
      <c r="F973" s="7">
        <v>972</v>
      </c>
      <c r="G973" s="11" t="s">
        <v>1016</v>
      </c>
      <c r="H973" s="20">
        <v>5202</v>
      </c>
      <c r="I973" s="12">
        <v>43860</v>
      </c>
      <c r="J973" s="12">
        <v>43920</v>
      </c>
      <c r="K973" s="25">
        <v>2702</v>
      </c>
      <c r="L973" s="23">
        <v>2500</v>
      </c>
      <c r="M973" s="30" t="s">
        <v>1052</v>
      </c>
      <c r="N973" s="30" t="s">
        <v>1055</v>
      </c>
    </row>
    <row r="974" spans="1:14" customFormat="1" x14ac:dyDescent="0.25">
      <c r="A974" s="7">
        <v>973</v>
      </c>
      <c r="B974" s="11" t="s">
        <v>988</v>
      </c>
      <c r="C974" s="7" t="s">
        <v>1039</v>
      </c>
      <c r="D974" s="7">
        <v>973</v>
      </c>
      <c r="E974" s="7">
        <v>973</v>
      </c>
      <c r="F974" s="7">
        <v>973</v>
      </c>
      <c r="G974" s="11" t="s">
        <v>1024</v>
      </c>
      <c r="H974" s="20">
        <v>377752</v>
      </c>
      <c r="I974" s="12">
        <v>45498</v>
      </c>
      <c r="J974" s="12">
        <v>46198</v>
      </c>
      <c r="K974" s="25">
        <v>253836</v>
      </c>
      <c r="L974" s="23">
        <v>123916</v>
      </c>
      <c r="M974" s="30" t="s">
        <v>1052</v>
      </c>
      <c r="N974" s="30" t="s">
        <v>1055</v>
      </c>
    </row>
    <row r="975" spans="1:14" customFormat="1" x14ac:dyDescent="0.25">
      <c r="A975" s="7">
        <v>974</v>
      </c>
      <c r="B975" s="11" t="s">
        <v>989</v>
      </c>
      <c r="C975" s="7" t="s">
        <v>1039</v>
      </c>
      <c r="D975" s="7">
        <v>974</v>
      </c>
      <c r="E975" s="7">
        <v>974</v>
      </c>
      <c r="F975" s="7">
        <v>974</v>
      </c>
      <c r="G975" s="11" t="s">
        <v>1016</v>
      </c>
      <c r="H975" s="20">
        <v>9594</v>
      </c>
      <c r="I975" s="12">
        <v>44273</v>
      </c>
      <c r="J975" s="12">
        <v>44669</v>
      </c>
      <c r="K975" s="25">
        <v>4702</v>
      </c>
      <c r="L975" s="23">
        <v>4892</v>
      </c>
      <c r="M975" s="30" t="s">
        <v>1052</v>
      </c>
      <c r="N975" s="30" t="s">
        <v>1055</v>
      </c>
    </row>
    <row r="976" spans="1:14" customFormat="1" x14ac:dyDescent="0.25">
      <c r="A976" s="7">
        <v>975</v>
      </c>
      <c r="B976" s="11" t="s">
        <v>990</v>
      </c>
      <c r="C976" s="7" t="s">
        <v>1039</v>
      </c>
      <c r="D976" s="7">
        <v>975</v>
      </c>
      <c r="E976" s="9">
        <v>975</v>
      </c>
      <c r="F976" s="7">
        <v>975</v>
      </c>
      <c r="G976" s="11" t="s">
        <v>1020</v>
      </c>
      <c r="H976" s="20">
        <v>78812</v>
      </c>
      <c r="I976" s="12">
        <v>44553</v>
      </c>
      <c r="J976" s="12">
        <v>45039</v>
      </c>
      <c r="K976" s="25">
        <v>3806</v>
      </c>
      <c r="L976" s="23">
        <v>75006</v>
      </c>
      <c r="M976" s="30" t="s">
        <v>1052</v>
      </c>
      <c r="N976" s="30" t="s">
        <v>1055</v>
      </c>
    </row>
    <row r="977" spans="1:14" customFormat="1" x14ac:dyDescent="0.25">
      <c r="A977" s="7">
        <v>976</v>
      </c>
      <c r="B977" s="11" t="s">
        <v>991</v>
      </c>
      <c r="C977" s="7" t="s">
        <v>1039</v>
      </c>
      <c r="D977" s="7">
        <v>976</v>
      </c>
      <c r="E977" s="7">
        <v>976</v>
      </c>
      <c r="F977" s="7">
        <v>976</v>
      </c>
      <c r="G977" s="11" t="s">
        <v>1023</v>
      </c>
      <c r="H977" s="20">
        <v>282</v>
      </c>
      <c r="I977" s="12">
        <v>44016</v>
      </c>
      <c r="J977" s="12">
        <v>44412</v>
      </c>
      <c r="K977" s="25">
        <v>162</v>
      </c>
      <c r="L977" s="23">
        <v>120</v>
      </c>
      <c r="M977" s="30" t="s">
        <v>1052</v>
      </c>
      <c r="N977" s="30" t="s">
        <v>1055</v>
      </c>
    </row>
    <row r="978" spans="1:14" customFormat="1" x14ac:dyDescent="0.25">
      <c r="A978" s="7">
        <v>977</v>
      </c>
      <c r="B978" s="11" t="s">
        <v>992</v>
      </c>
      <c r="C978" s="7" t="s">
        <v>1039</v>
      </c>
      <c r="D978" s="7">
        <v>977</v>
      </c>
      <c r="E978" s="7">
        <v>977</v>
      </c>
      <c r="F978" s="7">
        <v>977</v>
      </c>
      <c r="G978" s="11" t="s">
        <v>1025</v>
      </c>
      <c r="H978" s="20">
        <v>119705</v>
      </c>
      <c r="I978" s="12">
        <v>45462</v>
      </c>
      <c r="J978" s="12">
        <v>45949</v>
      </c>
      <c r="K978" s="25">
        <v>79972</v>
      </c>
      <c r="L978" s="23">
        <v>39733</v>
      </c>
      <c r="M978" s="30" t="s">
        <v>1052</v>
      </c>
      <c r="N978" s="30" t="s">
        <v>1055</v>
      </c>
    </row>
    <row r="979" spans="1:14" customFormat="1" x14ac:dyDescent="0.25">
      <c r="A979" s="7">
        <v>978</v>
      </c>
      <c r="B979" s="11" t="s">
        <v>993</v>
      </c>
      <c r="C979" s="7" t="s">
        <v>1039</v>
      </c>
      <c r="D979" s="7">
        <v>978</v>
      </c>
      <c r="E979" s="9">
        <v>978</v>
      </c>
      <c r="F979" s="7">
        <v>978</v>
      </c>
      <c r="G979" s="11" t="s">
        <v>1027</v>
      </c>
      <c r="H979" s="20">
        <v>23996</v>
      </c>
      <c r="I979" s="12">
        <v>44393</v>
      </c>
      <c r="J979" s="12">
        <v>44546</v>
      </c>
      <c r="K979" s="25">
        <v>20963</v>
      </c>
      <c r="L979" s="23">
        <v>3033</v>
      </c>
      <c r="M979" s="30" t="s">
        <v>1052</v>
      </c>
      <c r="N979" s="30" t="s">
        <v>1055</v>
      </c>
    </row>
    <row r="980" spans="1:14" customFormat="1" x14ac:dyDescent="0.25">
      <c r="A980" s="7">
        <v>979</v>
      </c>
      <c r="B980" s="11" t="s">
        <v>994</v>
      </c>
      <c r="C980" s="7" t="s">
        <v>1039</v>
      </c>
      <c r="D980" s="7">
        <v>979</v>
      </c>
      <c r="E980" s="7">
        <v>979</v>
      </c>
      <c r="F980" s="7">
        <v>979</v>
      </c>
      <c r="G980" s="11" t="s">
        <v>1024</v>
      </c>
      <c r="H980" s="20">
        <v>297844</v>
      </c>
      <c r="I980" s="12">
        <v>44064</v>
      </c>
      <c r="J980" s="12">
        <v>44307</v>
      </c>
      <c r="K980" s="25">
        <v>90665</v>
      </c>
      <c r="L980" s="23">
        <v>207179</v>
      </c>
      <c r="M980" s="30" t="s">
        <v>1052</v>
      </c>
      <c r="N980" s="30" t="s">
        <v>1055</v>
      </c>
    </row>
    <row r="981" spans="1:14" customFormat="1" x14ac:dyDescent="0.25">
      <c r="A981" s="7">
        <v>980</v>
      </c>
      <c r="B981" s="11" t="s">
        <v>995</v>
      </c>
      <c r="C981" s="7" t="s">
        <v>1039</v>
      </c>
      <c r="D981" s="7">
        <v>980</v>
      </c>
      <c r="E981" s="7">
        <v>980</v>
      </c>
      <c r="F981" s="7">
        <v>980</v>
      </c>
      <c r="G981" s="11" t="s">
        <v>1027</v>
      </c>
      <c r="H981" s="20">
        <v>19645</v>
      </c>
      <c r="I981" s="12">
        <v>44851</v>
      </c>
      <c r="J981" s="12">
        <v>45339</v>
      </c>
      <c r="K981" s="25">
        <v>2544</v>
      </c>
      <c r="L981" s="23">
        <v>17101</v>
      </c>
      <c r="M981" s="30" t="s">
        <v>1052</v>
      </c>
      <c r="N981" s="30" t="s">
        <v>1055</v>
      </c>
    </row>
    <row r="982" spans="1:14" customFormat="1" x14ac:dyDescent="0.25">
      <c r="A982" s="7">
        <v>981</v>
      </c>
      <c r="B982" s="11" t="s">
        <v>996</v>
      </c>
      <c r="C982" s="7" t="s">
        <v>1039</v>
      </c>
      <c r="D982" s="7">
        <v>981</v>
      </c>
      <c r="E982" s="9">
        <v>981</v>
      </c>
      <c r="F982" s="7">
        <v>981</v>
      </c>
      <c r="G982" s="11" t="s">
        <v>1022</v>
      </c>
      <c r="H982" s="20">
        <v>21868</v>
      </c>
      <c r="I982" s="12">
        <v>43929</v>
      </c>
      <c r="J982" s="12">
        <v>44600</v>
      </c>
      <c r="K982" s="25">
        <v>9558</v>
      </c>
      <c r="L982" s="23">
        <v>12310</v>
      </c>
      <c r="M982" s="30" t="s">
        <v>1052</v>
      </c>
      <c r="N982" s="30" t="s">
        <v>1055</v>
      </c>
    </row>
    <row r="983" spans="1:14" customFormat="1" x14ac:dyDescent="0.25">
      <c r="A983" s="7">
        <v>982</v>
      </c>
      <c r="B983" s="11" t="s">
        <v>997</v>
      </c>
      <c r="C983" s="7" t="s">
        <v>1039</v>
      </c>
      <c r="D983" s="7">
        <v>982</v>
      </c>
      <c r="E983" s="7">
        <v>982</v>
      </c>
      <c r="F983" s="7">
        <v>982</v>
      </c>
      <c r="G983" s="11" t="s">
        <v>1016</v>
      </c>
      <c r="H983" s="20">
        <v>33076</v>
      </c>
      <c r="I983" s="12">
        <v>45242</v>
      </c>
      <c r="J983" s="12">
        <v>45303</v>
      </c>
      <c r="K983" s="25">
        <v>9595</v>
      </c>
      <c r="L983" s="23">
        <v>23481</v>
      </c>
      <c r="M983" s="30" t="s">
        <v>1052</v>
      </c>
      <c r="N983" s="30" t="s">
        <v>1055</v>
      </c>
    </row>
    <row r="984" spans="1:14" customFormat="1" x14ac:dyDescent="0.25">
      <c r="A984" s="7">
        <v>983</v>
      </c>
      <c r="B984" s="11" t="s">
        <v>998</v>
      </c>
      <c r="C984" s="7" t="s">
        <v>1039</v>
      </c>
      <c r="D984" s="7">
        <v>983</v>
      </c>
      <c r="E984" s="7">
        <v>983</v>
      </c>
      <c r="F984" s="7">
        <v>983</v>
      </c>
      <c r="G984" s="11" t="s">
        <v>1020</v>
      </c>
      <c r="H984" s="20">
        <v>237718</v>
      </c>
      <c r="I984" s="12">
        <v>44540</v>
      </c>
      <c r="J984" s="12">
        <v>44875</v>
      </c>
      <c r="K984" s="25">
        <v>3439</v>
      </c>
      <c r="L984" s="23">
        <v>234279</v>
      </c>
      <c r="M984" s="30" t="s">
        <v>1052</v>
      </c>
      <c r="N984" s="30" t="s">
        <v>1055</v>
      </c>
    </row>
    <row r="985" spans="1:14" customFormat="1" x14ac:dyDescent="0.25">
      <c r="A985" s="7">
        <v>984</v>
      </c>
      <c r="B985" s="11" t="s">
        <v>999</v>
      </c>
      <c r="C985" s="7" t="s">
        <v>1039</v>
      </c>
      <c r="D985" s="7">
        <v>984</v>
      </c>
      <c r="E985" s="9">
        <v>984</v>
      </c>
      <c r="F985" s="7">
        <v>984</v>
      </c>
      <c r="G985" s="11" t="s">
        <v>1027</v>
      </c>
      <c r="H985" s="20">
        <v>28368</v>
      </c>
      <c r="I985" s="12">
        <v>45572</v>
      </c>
      <c r="J985" s="12">
        <v>45695</v>
      </c>
      <c r="K985" s="25">
        <v>20209</v>
      </c>
      <c r="L985" s="23">
        <v>8159</v>
      </c>
      <c r="M985" s="30" t="s">
        <v>1052</v>
      </c>
      <c r="N985" s="30" t="s">
        <v>1055</v>
      </c>
    </row>
    <row r="986" spans="1:14" customFormat="1" x14ac:dyDescent="0.25">
      <c r="A986" s="7">
        <v>985</v>
      </c>
      <c r="B986" s="11" t="s">
        <v>1000</v>
      </c>
      <c r="C986" s="7" t="s">
        <v>1039</v>
      </c>
      <c r="D986" s="7">
        <v>985</v>
      </c>
      <c r="E986" s="7">
        <v>985</v>
      </c>
      <c r="F986" s="7">
        <v>985</v>
      </c>
      <c r="G986" s="11" t="s">
        <v>1027</v>
      </c>
      <c r="H986" s="20">
        <v>25117</v>
      </c>
      <c r="I986" s="12">
        <v>45315</v>
      </c>
      <c r="J986" s="12">
        <v>46015</v>
      </c>
      <c r="K986" s="25">
        <v>17612</v>
      </c>
      <c r="L986" s="23">
        <v>7505</v>
      </c>
      <c r="M986" s="30" t="s">
        <v>1052</v>
      </c>
      <c r="N986" s="30" t="s">
        <v>1055</v>
      </c>
    </row>
    <row r="987" spans="1:14" customFormat="1" x14ac:dyDescent="0.25">
      <c r="A987" s="7">
        <v>986</v>
      </c>
      <c r="B987" s="11" t="s">
        <v>1001</v>
      </c>
      <c r="C987" s="7" t="s">
        <v>1039</v>
      </c>
      <c r="D987" s="7">
        <v>986</v>
      </c>
      <c r="E987" s="7">
        <v>986</v>
      </c>
      <c r="F987" s="7">
        <v>986</v>
      </c>
      <c r="G987" s="11" t="s">
        <v>1027</v>
      </c>
      <c r="H987" s="20">
        <v>33921</v>
      </c>
      <c r="I987" s="12">
        <v>45463</v>
      </c>
      <c r="J987" s="12">
        <v>45889</v>
      </c>
      <c r="K987" s="25">
        <v>25451</v>
      </c>
      <c r="L987" s="23">
        <v>8470</v>
      </c>
      <c r="M987" s="30" t="s">
        <v>1052</v>
      </c>
      <c r="N987" s="30" t="s">
        <v>1055</v>
      </c>
    </row>
    <row r="988" spans="1:14" customFormat="1" x14ac:dyDescent="0.25">
      <c r="A988" s="7">
        <v>987</v>
      </c>
      <c r="B988" s="11" t="s">
        <v>1002</v>
      </c>
      <c r="C988" s="7" t="s">
        <v>1039</v>
      </c>
      <c r="D988" s="7">
        <v>987</v>
      </c>
      <c r="E988" s="9">
        <v>987</v>
      </c>
      <c r="F988" s="7">
        <v>987</v>
      </c>
      <c r="G988" s="11" t="s">
        <v>1020</v>
      </c>
      <c r="H988" s="20">
        <v>185205</v>
      </c>
      <c r="I988" s="12">
        <v>45229</v>
      </c>
      <c r="J988" s="12">
        <v>45412</v>
      </c>
      <c r="K988" s="25">
        <v>105795</v>
      </c>
      <c r="L988" s="23">
        <v>79410</v>
      </c>
      <c r="M988" s="30" t="s">
        <v>1052</v>
      </c>
      <c r="N988" s="30" t="s">
        <v>1055</v>
      </c>
    </row>
    <row r="989" spans="1:14" customFormat="1" x14ac:dyDescent="0.25">
      <c r="A989" s="7">
        <v>988</v>
      </c>
      <c r="B989" s="11" t="s">
        <v>1003</v>
      </c>
      <c r="C989" s="7" t="s">
        <v>1039</v>
      </c>
      <c r="D989" s="7">
        <v>988</v>
      </c>
      <c r="E989" s="7">
        <v>988</v>
      </c>
      <c r="F989" s="7">
        <v>988</v>
      </c>
      <c r="G989" s="11" t="s">
        <v>1024</v>
      </c>
      <c r="H989" s="20">
        <v>895194</v>
      </c>
      <c r="I989" s="12">
        <v>45080</v>
      </c>
      <c r="J989" s="12">
        <v>45141</v>
      </c>
      <c r="K989" s="25">
        <v>794986</v>
      </c>
      <c r="L989" s="23">
        <v>100208</v>
      </c>
      <c r="M989" s="30" t="s">
        <v>1052</v>
      </c>
      <c r="N989" s="30" t="s">
        <v>1055</v>
      </c>
    </row>
    <row r="990" spans="1:14" customFormat="1" x14ac:dyDescent="0.25">
      <c r="A990" s="7">
        <v>989</v>
      </c>
      <c r="B990" s="11" t="s">
        <v>1004</v>
      </c>
      <c r="C990" s="7" t="s">
        <v>1039</v>
      </c>
      <c r="D990" s="7">
        <v>989</v>
      </c>
      <c r="E990" s="7">
        <v>989</v>
      </c>
      <c r="F990" s="7">
        <v>989</v>
      </c>
      <c r="G990" s="11" t="s">
        <v>1027</v>
      </c>
      <c r="H990" s="20">
        <v>32417</v>
      </c>
      <c r="I990" s="12">
        <v>45005</v>
      </c>
      <c r="J990" s="12">
        <v>45311</v>
      </c>
      <c r="K990" s="25">
        <v>15488</v>
      </c>
      <c r="L990" s="23">
        <v>16929</v>
      </c>
      <c r="M990" s="30" t="s">
        <v>1052</v>
      </c>
      <c r="N990" s="30" t="s">
        <v>1055</v>
      </c>
    </row>
    <row r="991" spans="1:14" customFormat="1" x14ac:dyDescent="0.25">
      <c r="A991" s="7">
        <v>990</v>
      </c>
      <c r="B991" s="11" t="s">
        <v>1005</v>
      </c>
      <c r="C991" s="7" t="s">
        <v>1039</v>
      </c>
      <c r="D991" s="7">
        <v>990</v>
      </c>
      <c r="E991" s="9">
        <v>990</v>
      </c>
      <c r="F991" s="7">
        <v>990</v>
      </c>
      <c r="G991" s="11" t="s">
        <v>1026</v>
      </c>
      <c r="H991" s="20">
        <v>1301526</v>
      </c>
      <c r="I991" s="12">
        <v>44138</v>
      </c>
      <c r="J991" s="12">
        <v>44319</v>
      </c>
      <c r="K991" s="25">
        <v>441110</v>
      </c>
      <c r="L991" s="23">
        <v>860416</v>
      </c>
      <c r="M991" s="30" t="s">
        <v>1052</v>
      </c>
      <c r="N991" s="30" t="s">
        <v>1055</v>
      </c>
    </row>
    <row r="992" spans="1:14" customFormat="1" x14ac:dyDescent="0.25">
      <c r="A992" s="7">
        <v>991</v>
      </c>
      <c r="B992" s="11" t="s">
        <v>1006</v>
      </c>
      <c r="C992" s="7" t="s">
        <v>1039</v>
      </c>
      <c r="D992" s="7">
        <v>991</v>
      </c>
      <c r="E992" s="7">
        <v>991</v>
      </c>
      <c r="F992" s="7">
        <v>991</v>
      </c>
      <c r="G992" s="11" t="s">
        <v>1016</v>
      </c>
      <c r="H992" s="20">
        <v>4121</v>
      </c>
      <c r="I992" s="12">
        <v>44363</v>
      </c>
      <c r="J992" s="12">
        <v>44546</v>
      </c>
      <c r="K992" s="25">
        <v>664</v>
      </c>
      <c r="L992" s="23">
        <v>3457</v>
      </c>
      <c r="M992" s="30" t="s">
        <v>1052</v>
      </c>
      <c r="N992" s="30" t="s">
        <v>1055</v>
      </c>
    </row>
    <row r="993" spans="1:14" customFormat="1" x14ac:dyDescent="0.25">
      <c r="A993" s="7">
        <v>992</v>
      </c>
      <c r="B993" s="11" t="s">
        <v>1007</v>
      </c>
      <c r="C993" s="7" t="s">
        <v>1039</v>
      </c>
      <c r="D993" s="7">
        <v>992</v>
      </c>
      <c r="E993" s="7">
        <v>992</v>
      </c>
      <c r="F993" s="7">
        <v>992</v>
      </c>
      <c r="G993" s="11" t="s">
        <v>1025</v>
      </c>
      <c r="H993" s="20">
        <v>216411</v>
      </c>
      <c r="I993" s="12">
        <v>44970</v>
      </c>
      <c r="J993" s="12">
        <v>45486</v>
      </c>
      <c r="K993" s="25">
        <v>111153</v>
      </c>
      <c r="L993" s="23">
        <v>105258</v>
      </c>
      <c r="M993" s="30" t="s">
        <v>1052</v>
      </c>
      <c r="N993" s="30" t="s">
        <v>1055</v>
      </c>
    </row>
    <row r="994" spans="1:14" customFormat="1" x14ac:dyDescent="0.25">
      <c r="A994" s="7">
        <v>993</v>
      </c>
      <c r="B994" s="11" t="s">
        <v>1008</v>
      </c>
      <c r="C994" s="7" t="s">
        <v>1039</v>
      </c>
      <c r="D994" s="7">
        <v>993</v>
      </c>
      <c r="E994" s="9">
        <v>993</v>
      </c>
      <c r="F994" s="7">
        <v>993</v>
      </c>
      <c r="G994" s="11" t="s">
        <v>1025</v>
      </c>
      <c r="H994" s="20">
        <v>400824</v>
      </c>
      <c r="I994" s="12">
        <v>45360</v>
      </c>
      <c r="J994" s="12">
        <v>45817</v>
      </c>
      <c r="K994" s="25">
        <v>304609</v>
      </c>
      <c r="L994" s="23">
        <v>96215</v>
      </c>
      <c r="M994" s="30" t="s">
        <v>1052</v>
      </c>
      <c r="N994" s="30" t="s">
        <v>1055</v>
      </c>
    </row>
    <row r="995" spans="1:14" customFormat="1" x14ac:dyDescent="0.25">
      <c r="A995" s="7">
        <v>994</v>
      </c>
      <c r="B995" s="11" t="s">
        <v>1009</v>
      </c>
      <c r="C995" s="7" t="s">
        <v>1039</v>
      </c>
      <c r="D995" s="7">
        <v>994</v>
      </c>
      <c r="E995" s="7">
        <v>994</v>
      </c>
      <c r="F995" s="7">
        <v>994</v>
      </c>
      <c r="G995" s="11" t="s">
        <v>1023</v>
      </c>
      <c r="H995" s="20">
        <v>1292</v>
      </c>
      <c r="I995" s="12">
        <v>44668</v>
      </c>
      <c r="J995" s="12">
        <v>45308</v>
      </c>
      <c r="K995" s="25">
        <v>620</v>
      </c>
      <c r="L995" s="23">
        <v>672</v>
      </c>
      <c r="M995" s="30" t="s">
        <v>1052</v>
      </c>
      <c r="N995" s="30" t="s">
        <v>1055</v>
      </c>
    </row>
    <row r="996" spans="1:14" customFormat="1" x14ac:dyDescent="0.25">
      <c r="A996" s="7">
        <v>995</v>
      </c>
      <c r="B996" s="11" t="s">
        <v>1010</v>
      </c>
      <c r="C996" s="7" t="s">
        <v>1039</v>
      </c>
      <c r="D996" s="7">
        <v>995</v>
      </c>
      <c r="E996" s="7">
        <v>995</v>
      </c>
      <c r="F996" s="7">
        <v>995</v>
      </c>
      <c r="G996" s="11" t="s">
        <v>1021</v>
      </c>
      <c r="H996" s="20">
        <v>54348</v>
      </c>
      <c r="I996" s="12">
        <v>43907</v>
      </c>
      <c r="J996" s="12">
        <v>44547</v>
      </c>
      <c r="K996" s="25">
        <v>3786</v>
      </c>
      <c r="L996" s="23">
        <v>50562</v>
      </c>
      <c r="M996" s="30" t="s">
        <v>1052</v>
      </c>
      <c r="N996" s="30" t="s">
        <v>1055</v>
      </c>
    </row>
    <row r="997" spans="1:14" customFormat="1" x14ac:dyDescent="0.25">
      <c r="A997" s="7">
        <v>996</v>
      </c>
      <c r="B997" s="11" t="s">
        <v>1011</v>
      </c>
      <c r="C997" s="7" t="s">
        <v>1039</v>
      </c>
      <c r="D997" s="7">
        <v>996</v>
      </c>
      <c r="E997" s="9">
        <v>996</v>
      </c>
      <c r="F997" s="7">
        <v>996</v>
      </c>
      <c r="G997" s="11" t="s">
        <v>1016</v>
      </c>
      <c r="H997" s="20">
        <v>3904</v>
      </c>
      <c r="I997" s="12">
        <v>44495</v>
      </c>
      <c r="J997" s="12">
        <v>44799</v>
      </c>
      <c r="K997" s="25">
        <v>2821</v>
      </c>
      <c r="L997" s="23">
        <v>1083</v>
      </c>
      <c r="M997" s="30" t="s">
        <v>1052</v>
      </c>
      <c r="N997" s="30" t="s">
        <v>1055</v>
      </c>
    </row>
    <row r="998" spans="1:14" customFormat="1" x14ac:dyDescent="0.25">
      <c r="A998" s="7">
        <v>997</v>
      </c>
      <c r="B998" s="11" t="s">
        <v>1012</v>
      </c>
      <c r="C998" s="7" t="s">
        <v>1039</v>
      </c>
      <c r="D998" s="7">
        <v>997</v>
      </c>
      <c r="E998" s="7">
        <v>997</v>
      </c>
      <c r="F998" s="7">
        <v>997</v>
      </c>
      <c r="G998" s="11" t="s">
        <v>1022</v>
      </c>
      <c r="H998" s="20">
        <v>15944</v>
      </c>
      <c r="I998" s="12">
        <v>44535</v>
      </c>
      <c r="J998" s="12">
        <v>45021</v>
      </c>
      <c r="K998" s="25">
        <v>10724</v>
      </c>
      <c r="L998" s="23">
        <v>5220</v>
      </c>
      <c r="M998" s="30" t="s">
        <v>1052</v>
      </c>
      <c r="N998" s="30" t="s">
        <v>1055</v>
      </c>
    </row>
    <row r="999" spans="1:14" customFormat="1" x14ac:dyDescent="0.25">
      <c r="A999" s="7">
        <v>998</v>
      </c>
      <c r="B999" s="11" t="s">
        <v>1013</v>
      </c>
      <c r="C999" s="7" t="s">
        <v>1039</v>
      </c>
      <c r="D999" s="7">
        <v>998</v>
      </c>
      <c r="E999" s="7">
        <v>998</v>
      </c>
      <c r="F999" s="7">
        <v>998</v>
      </c>
      <c r="G999" s="11" t="s">
        <v>1027</v>
      </c>
      <c r="H999" s="20">
        <v>37006</v>
      </c>
      <c r="I999" s="12">
        <v>43899</v>
      </c>
      <c r="J999" s="12">
        <v>44295</v>
      </c>
      <c r="K999" s="25">
        <v>44</v>
      </c>
      <c r="L999" s="23">
        <v>36962</v>
      </c>
      <c r="M999" s="30" t="s">
        <v>1052</v>
      </c>
      <c r="N999" s="30" t="s">
        <v>1055</v>
      </c>
    </row>
    <row r="1000" spans="1:14" customFormat="1" x14ac:dyDescent="0.25">
      <c r="A1000" s="7">
        <v>999</v>
      </c>
      <c r="B1000" s="11" t="s">
        <v>1014</v>
      </c>
      <c r="C1000" s="7" t="s">
        <v>1039</v>
      </c>
      <c r="D1000" s="7">
        <v>999</v>
      </c>
      <c r="E1000" s="9">
        <v>999</v>
      </c>
      <c r="F1000" s="7">
        <v>999</v>
      </c>
      <c r="G1000" s="11" t="s">
        <v>1025</v>
      </c>
      <c r="H1000" s="20">
        <v>307867</v>
      </c>
      <c r="I1000" s="12">
        <v>45378</v>
      </c>
      <c r="J1000" s="12">
        <v>45531</v>
      </c>
      <c r="K1000" s="25">
        <v>216158</v>
      </c>
      <c r="L1000" s="23">
        <v>91709</v>
      </c>
      <c r="M1000" s="30" t="s">
        <v>1052</v>
      </c>
      <c r="N1000" s="30" t="s">
        <v>1055</v>
      </c>
    </row>
    <row r="1001" spans="1:14" customFormat="1" x14ac:dyDescent="0.25">
      <c r="A1001" s="7">
        <v>1000</v>
      </c>
      <c r="B1001" s="11" t="s">
        <v>1015</v>
      </c>
      <c r="C1001" s="7" t="s">
        <v>1039</v>
      </c>
      <c r="D1001" s="7">
        <v>1000</v>
      </c>
      <c r="E1001" s="7">
        <v>1000</v>
      </c>
      <c r="F1001" s="7">
        <v>1000</v>
      </c>
      <c r="G1001" s="11" t="s">
        <v>1024</v>
      </c>
      <c r="H1001" s="20">
        <v>524340</v>
      </c>
      <c r="I1001" s="12">
        <v>45391</v>
      </c>
      <c r="J1001" s="12">
        <v>45513</v>
      </c>
      <c r="K1001" s="25">
        <v>291147</v>
      </c>
      <c r="L1001" s="23">
        <v>233193</v>
      </c>
      <c r="M1001" s="30" t="s">
        <v>1052</v>
      </c>
      <c r="N1001" s="30" t="s">
        <v>1055</v>
      </c>
    </row>
  </sheetData>
  <autoFilter ref="G1:G1001" xr:uid="{1572920C-6411-46B0-A345-9734CC8CD1A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3C18F-FAE7-4630-B3C1-57037D38B134}">
  <dimension ref="A3:B6"/>
  <sheetViews>
    <sheetView zoomScale="86" workbookViewId="0">
      <selection activeCell="A3" sqref="A3"/>
    </sheetView>
  </sheetViews>
  <sheetFormatPr defaultRowHeight="15.75" x14ac:dyDescent="0.25"/>
  <cols>
    <col min="1" max="1" width="12.875" bestFit="1" customWidth="1"/>
    <col min="2" max="2" width="13.75" bestFit="1" customWidth="1"/>
  </cols>
  <sheetData>
    <row r="3" spans="1:2" x14ac:dyDescent="0.25">
      <c r="A3" s="32" t="s">
        <v>1047</v>
      </c>
      <c r="B3" t="s">
        <v>1060</v>
      </c>
    </row>
    <row r="4" spans="1:2" x14ac:dyDescent="0.25">
      <c r="A4" s="33" t="s">
        <v>1053</v>
      </c>
      <c r="B4" s="34">
        <v>2</v>
      </c>
    </row>
    <row r="5" spans="1:2" x14ac:dyDescent="0.25">
      <c r="A5" s="33" t="s">
        <v>1054</v>
      </c>
      <c r="B5" s="34">
        <v>4</v>
      </c>
    </row>
    <row r="6" spans="1:2" x14ac:dyDescent="0.25">
      <c r="A6" s="33" t="s">
        <v>1049</v>
      </c>
      <c r="B6" s="34">
        <v>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680B3-7F06-45A0-8DFE-C9EE8224F9ED}">
  <dimension ref="A1:R24"/>
  <sheetViews>
    <sheetView showGridLines="0" tabSelected="1" zoomScale="104" workbookViewId="0">
      <selection activeCell="E19" sqref="E19"/>
    </sheetView>
  </sheetViews>
  <sheetFormatPr defaultRowHeight="15.75" x14ac:dyDescent="0.25"/>
  <sheetData>
    <row r="1" spans="1:18" ht="21" x14ac:dyDescent="0.35">
      <c r="A1" s="39" t="s">
        <v>1061</v>
      </c>
      <c r="B1" s="39"/>
      <c r="C1" s="39"/>
      <c r="D1" s="39"/>
      <c r="E1" s="39"/>
      <c r="F1" s="39"/>
      <c r="G1" s="39"/>
      <c r="H1" s="39"/>
      <c r="I1" s="39"/>
      <c r="J1" s="39"/>
      <c r="K1" s="39"/>
      <c r="L1" s="39"/>
      <c r="M1" s="39"/>
      <c r="N1" s="39"/>
      <c r="O1" s="39"/>
      <c r="P1" s="39"/>
      <c r="Q1" s="39"/>
      <c r="R1" s="39"/>
    </row>
    <row r="2" spans="1:18" x14ac:dyDescent="0.25">
      <c r="A2" s="40"/>
      <c r="B2" s="40"/>
      <c r="C2" s="40"/>
      <c r="D2" s="40"/>
      <c r="E2" s="40"/>
      <c r="F2" s="40"/>
      <c r="G2" s="40"/>
      <c r="H2" s="40"/>
      <c r="I2" s="40"/>
      <c r="J2" s="40"/>
      <c r="K2" s="40"/>
      <c r="L2" s="40"/>
      <c r="M2" s="40"/>
      <c r="N2" s="40"/>
      <c r="O2" s="40"/>
      <c r="P2" s="40"/>
      <c r="Q2" s="40"/>
      <c r="R2" s="40"/>
    </row>
    <row r="3" spans="1:18" x14ac:dyDescent="0.25">
      <c r="A3" s="40"/>
      <c r="B3" s="40"/>
      <c r="C3" s="40"/>
      <c r="D3" s="40"/>
      <c r="E3" s="40"/>
      <c r="F3" s="40"/>
      <c r="G3" s="40"/>
      <c r="H3" s="40"/>
      <c r="I3" s="40"/>
      <c r="J3" s="40"/>
      <c r="K3" s="40"/>
      <c r="L3" s="40"/>
      <c r="M3" s="40"/>
      <c r="N3" s="40"/>
      <c r="O3" s="40"/>
      <c r="P3" s="40"/>
      <c r="Q3" s="40"/>
      <c r="R3" s="40"/>
    </row>
    <row r="4" spans="1:18" x14ac:dyDescent="0.25">
      <c r="A4" s="40"/>
      <c r="B4" s="40"/>
      <c r="C4" s="40"/>
      <c r="D4" s="40"/>
      <c r="E4" s="40"/>
      <c r="F4" s="40"/>
      <c r="G4" s="40"/>
      <c r="H4" s="40"/>
      <c r="I4" s="40"/>
      <c r="J4" s="40"/>
      <c r="K4" s="40"/>
      <c r="L4" s="40"/>
      <c r="M4" s="40"/>
      <c r="N4" s="40"/>
      <c r="O4" s="40"/>
      <c r="P4" s="40"/>
      <c r="Q4" s="40"/>
      <c r="R4" s="40"/>
    </row>
    <row r="5" spans="1:18" x14ac:dyDescent="0.25">
      <c r="A5" s="40"/>
      <c r="B5" s="40"/>
      <c r="C5" s="40"/>
      <c r="D5" s="40"/>
      <c r="E5" s="40"/>
      <c r="F5" s="40"/>
      <c r="G5" s="40"/>
      <c r="H5" s="40"/>
      <c r="I5" s="40"/>
      <c r="J5" s="40"/>
      <c r="K5" s="40"/>
      <c r="L5" s="40"/>
      <c r="M5" s="40"/>
      <c r="N5" s="40"/>
      <c r="O5" s="40"/>
      <c r="P5" s="40"/>
      <c r="Q5" s="40"/>
      <c r="R5" s="40"/>
    </row>
    <row r="6" spans="1:18" x14ac:dyDescent="0.25">
      <c r="A6" s="40"/>
      <c r="B6" s="40"/>
      <c r="C6" s="40"/>
      <c r="D6" s="40"/>
      <c r="E6" s="40"/>
      <c r="F6" s="40"/>
      <c r="G6" s="40"/>
      <c r="H6" s="40"/>
      <c r="I6" s="40"/>
      <c r="J6" s="40"/>
      <c r="K6" s="40"/>
      <c r="L6" s="40"/>
      <c r="M6" s="40"/>
      <c r="N6" s="40"/>
      <c r="O6" s="40"/>
      <c r="P6" s="40"/>
      <c r="Q6" s="40"/>
      <c r="R6" s="40"/>
    </row>
    <row r="7" spans="1:18" x14ac:dyDescent="0.25">
      <c r="A7" s="40"/>
      <c r="B7" s="40"/>
      <c r="C7" s="40"/>
      <c r="D7" s="40"/>
      <c r="E7" s="40"/>
      <c r="F7" s="40"/>
      <c r="G7" s="40"/>
      <c r="H7" s="40"/>
      <c r="I7" s="40"/>
      <c r="J7" s="40"/>
      <c r="K7" s="40"/>
      <c r="L7" s="40"/>
      <c r="M7" s="40"/>
      <c r="N7" s="40"/>
      <c r="O7" s="40"/>
      <c r="P7" s="40"/>
      <c r="Q7" s="40"/>
      <c r="R7" s="40"/>
    </row>
    <row r="8" spans="1:18" x14ac:dyDescent="0.25">
      <c r="A8" s="40"/>
      <c r="B8" s="40"/>
      <c r="C8" s="40"/>
      <c r="D8" s="40"/>
      <c r="E8" s="40"/>
      <c r="F8" s="40"/>
      <c r="G8" s="40"/>
      <c r="H8" s="40"/>
      <c r="I8" s="40"/>
      <c r="J8" s="40"/>
      <c r="K8" s="40"/>
      <c r="L8" s="40"/>
      <c r="M8" s="40"/>
      <c r="N8" s="40"/>
      <c r="O8" s="40"/>
      <c r="P8" s="40"/>
      <c r="Q8" s="40"/>
      <c r="R8" s="40"/>
    </row>
    <row r="9" spans="1:18" x14ac:dyDescent="0.25">
      <c r="A9" s="40"/>
      <c r="B9" s="40"/>
      <c r="C9" s="40"/>
      <c r="D9" s="40"/>
      <c r="E9" s="40"/>
      <c r="F9" s="40"/>
      <c r="G9" s="40"/>
      <c r="H9" s="40"/>
      <c r="I9" s="40"/>
      <c r="J9" s="40"/>
      <c r="K9" s="40"/>
      <c r="L9" s="40"/>
      <c r="M9" s="40"/>
      <c r="N9" s="40"/>
      <c r="O9" s="40"/>
      <c r="P9" s="40"/>
      <c r="Q9" s="40"/>
      <c r="R9" s="40"/>
    </row>
    <row r="10" spans="1:18" x14ac:dyDescent="0.25">
      <c r="A10" s="40"/>
      <c r="B10" s="40"/>
      <c r="C10" s="40"/>
      <c r="D10" s="40"/>
      <c r="E10" s="40"/>
      <c r="F10" s="40"/>
      <c r="G10" s="40"/>
      <c r="H10" s="40"/>
      <c r="I10" s="40"/>
      <c r="J10" s="40"/>
      <c r="K10" s="40"/>
      <c r="L10" s="40"/>
      <c r="M10" s="40"/>
      <c r="N10" s="40"/>
      <c r="O10" s="40"/>
      <c r="P10" s="40"/>
      <c r="Q10" s="40"/>
      <c r="R10" s="40"/>
    </row>
    <row r="11" spans="1:18" x14ac:dyDescent="0.25">
      <c r="A11" s="40"/>
      <c r="B11" s="40"/>
      <c r="C11" s="40"/>
      <c r="D11" s="40"/>
      <c r="E11" s="40"/>
      <c r="F11" s="40"/>
      <c r="G11" s="40"/>
      <c r="H11" s="40"/>
      <c r="I11" s="40"/>
      <c r="J11" s="40"/>
      <c r="K11" s="40"/>
      <c r="L11" s="40"/>
      <c r="M11" s="40"/>
      <c r="N11" s="40"/>
      <c r="O11" s="40"/>
      <c r="P11" s="40"/>
      <c r="Q11" s="40"/>
      <c r="R11" s="40"/>
    </row>
    <row r="12" spans="1:18" x14ac:dyDescent="0.25">
      <c r="A12" s="40"/>
      <c r="B12" s="40"/>
      <c r="C12" s="40"/>
      <c r="D12" s="40"/>
      <c r="E12" s="40"/>
      <c r="F12" s="40"/>
      <c r="G12" s="40"/>
      <c r="H12" s="40"/>
      <c r="I12" s="40"/>
      <c r="J12" s="40"/>
      <c r="K12" s="40"/>
      <c r="L12" s="40"/>
      <c r="M12" s="40"/>
      <c r="N12" s="40"/>
      <c r="O12" s="40"/>
      <c r="P12" s="40"/>
      <c r="Q12" s="40"/>
      <c r="R12" s="40"/>
    </row>
    <row r="13" spans="1:18" x14ac:dyDescent="0.25">
      <c r="A13" s="40"/>
      <c r="B13" s="40"/>
      <c r="C13" s="40"/>
      <c r="D13" s="40"/>
      <c r="E13" s="40"/>
      <c r="F13" s="40"/>
      <c r="G13" s="40"/>
      <c r="H13" s="40"/>
      <c r="I13" s="40"/>
      <c r="J13" s="40"/>
      <c r="K13" s="40"/>
      <c r="L13" s="40"/>
      <c r="M13" s="40"/>
      <c r="N13" s="40"/>
      <c r="O13" s="40"/>
      <c r="P13" s="40"/>
      <c r="Q13" s="40"/>
      <c r="R13" s="40"/>
    </row>
    <row r="14" spans="1:18" x14ac:dyDescent="0.25">
      <c r="A14" s="40"/>
      <c r="B14" s="40"/>
      <c r="C14" s="40"/>
      <c r="D14" s="40"/>
      <c r="E14" s="40"/>
      <c r="F14" s="40"/>
      <c r="G14" s="40"/>
      <c r="H14" s="40"/>
      <c r="I14" s="40"/>
      <c r="J14" s="40"/>
      <c r="K14" s="40"/>
      <c r="L14" s="40"/>
      <c r="M14" s="40"/>
      <c r="N14" s="40"/>
      <c r="O14" s="40"/>
      <c r="P14" s="40"/>
      <c r="Q14" s="40"/>
      <c r="R14" s="40"/>
    </row>
    <row r="15" spans="1:18" x14ac:dyDescent="0.25">
      <c r="A15" s="40"/>
      <c r="B15" s="40"/>
      <c r="C15" s="40"/>
      <c r="D15" s="40"/>
      <c r="E15" s="40"/>
      <c r="F15" s="40"/>
      <c r="G15" s="40"/>
      <c r="H15" s="40"/>
      <c r="I15" s="40"/>
      <c r="J15" s="40"/>
      <c r="K15" s="40"/>
      <c r="L15" s="40"/>
      <c r="M15" s="40"/>
      <c r="N15" s="40"/>
      <c r="O15" s="40"/>
      <c r="P15" s="40"/>
      <c r="Q15" s="40"/>
      <c r="R15" s="40"/>
    </row>
    <row r="16" spans="1:18" x14ac:dyDescent="0.25">
      <c r="A16" s="40"/>
      <c r="B16" s="40"/>
      <c r="C16" s="40"/>
      <c r="D16" s="40"/>
      <c r="E16" s="40"/>
      <c r="F16" s="40"/>
      <c r="G16" s="40"/>
      <c r="H16" s="40"/>
      <c r="I16" s="40"/>
      <c r="J16" s="40"/>
      <c r="K16" s="40"/>
      <c r="L16" s="40"/>
      <c r="M16" s="40"/>
      <c r="N16" s="40"/>
      <c r="O16" s="40"/>
      <c r="P16" s="40"/>
      <c r="Q16" s="40"/>
      <c r="R16" s="40"/>
    </row>
    <row r="17" spans="1:18" x14ac:dyDescent="0.25">
      <c r="A17" s="40"/>
      <c r="B17" s="40"/>
      <c r="C17" s="40"/>
      <c r="D17" s="40"/>
      <c r="E17" s="40"/>
      <c r="F17" s="40" t="s">
        <v>1061</v>
      </c>
      <c r="G17" s="40"/>
      <c r="H17" s="40"/>
      <c r="I17" s="40"/>
      <c r="J17" s="40"/>
      <c r="K17" s="40"/>
      <c r="L17" s="40"/>
      <c r="M17" s="40"/>
      <c r="N17" s="40"/>
      <c r="O17" s="40"/>
      <c r="P17" s="40"/>
      <c r="Q17" s="40"/>
      <c r="R17" s="40"/>
    </row>
    <row r="18" spans="1:18" x14ac:dyDescent="0.25">
      <c r="A18" s="40"/>
      <c r="B18" s="40"/>
      <c r="C18" s="40"/>
      <c r="D18" s="40"/>
      <c r="E18" s="40"/>
      <c r="F18" s="40"/>
      <c r="G18" s="40"/>
      <c r="H18" s="40"/>
      <c r="I18" s="40"/>
      <c r="J18" s="40"/>
      <c r="K18" s="40"/>
      <c r="L18" s="40"/>
      <c r="M18" s="40"/>
      <c r="N18" s="40"/>
      <c r="O18" s="40"/>
      <c r="P18" s="40"/>
      <c r="Q18" s="40"/>
      <c r="R18" s="40"/>
    </row>
    <row r="19" spans="1:18" x14ac:dyDescent="0.25">
      <c r="A19" s="40"/>
      <c r="B19" s="40"/>
      <c r="C19" s="40"/>
      <c r="D19" s="40"/>
      <c r="E19" s="40"/>
      <c r="F19" s="40"/>
      <c r="G19" s="40"/>
      <c r="H19" s="40"/>
      <c r="I19" s="40"/>
      <c r="J19" s="40"/>
      <c r="K19" s="40"/>
      <c r="L19" s="40"/>
      <c r="M19" s="40"/>
      <c r="N19" s="40"/>
      <c r="O19" s="40"/>
      <c r="P19" s="40"/>
      <c r="Q19" s="40"/>
      <c r="R19" s="40"/>
    </row>
    <row r="20" spans="1:18" x14ac:dyDescent="0.25">
      <c r="A20" s="40"/>
      <c r="B20" s="40"/>
      <c r="C20" s="40"/>
      <c r="D20" s="40"/>
      <c r="E20" s="40"/>
      <c r="F20" s="40"/>
      <c r="G20" s="40"/>
      <c r="H20" s="40"/>
      <c r="I20" s="40"/>
      <c r="J20" s="40"/>
      <c r="K20" s="40"/>
      <c r="L20" s="40"/>
      <c r="M20" s="40"/>
      <c r="N20" s="40"/>
      <c r="O20" s="40"/>
      <c r="P20" s="40"/>
      <c r="Q20" s="40"/>
      <c r="R20" s="40"/>
    </row>
    <row r="21" spans="1:18" x14ac:dyDescent="0.25">
      <c r="A21" s="40"/>
      <c r="B21" s="40"/>
      <c r="C21" s="40"/>
      <c r="D21" s="40"/>
      <c r="E21" s="40"/>
      <c r="F21" s="40"/>
      <c r="G21" s="40"/>
      <c r="H21" s="40"/>
      <c r="I21" s="40"/>
      <c r="J21" s="40"/>
      <c r="K21" s="40"/>
      <c r="L21" s="40"/>
      <c r="M21" s="40"/>
      <c r="N21" s="40"/>
      <c r="O21" s="40"/>
      <c r="P21" s="40"/>
      <c r="Q21" s="40"/>
      <c r="R21" s="40"/>
    </row>
    <row r="22" spans="1:18" x14ac:dyDescent="0.25">
      <c r="A22" s="40"/>
      <c r="B22" s="40"/>
      <c r="C22" s="40"/>
      <c r="D22" s="40"/>
      <c r="E22" s="40"/>
      <c r="F22" s="40"/>
      <c r="G22" s="40"/>
      <c r="H22" s="40"/>
      <c r="I22" s="40"/>
      <c r="J22" s="40"/>
      <c r="K22" s="40"/>
      <c r="L22" s="40"/>
      <c r="M22" s="40"/>
      <c r="N22" s="40"/>
      <c r="O22" s="40"/>
      <c r="P22" s="40"/>
      <c r="Q22" s="40"/>
      <c r="R22" s="40"/>
    </row>
    <row r="23" spans="1:18" x14ac:dyDescent="0.25">
      <c r="A23" s="40"/>
      <c r="B23" s="40"/>
      <c r="C23" s="40"/>
      <c r="D23" s="40"/>
      <c r="E23" s="40"/>
      <c r="F23" s="40"/>
      <c r="G23" s="40"/>
      <c r="H23" s="40"/>
      <c r="I23" s="40"/>
      <c r="J23" s="40"/>
      <c r="K23" s="40"/>
      <c r="L23" s="40"/>
      <c r="M23" s="40"/>
      <c r="N23" s="40"/>
      <c r="O23" s="40"/>
      <c r="P23" s="40"/>
      <c r="Q23" s="40"/>
      <c r="R23" s="40"/>
    </row>
    <row r="24" spans="1:18" x14ac:dyDescent="0.25">
      <c r="A24" s="40"/>
      <c r="B24" s="40"/>
      <c r="C24" s="40"/>
      <c r="D24" s="40"/>
      <c r="E24" s="40"/>
      <c r="F24" s="40"/>
      <c r="G24" s="40"/>
      <c r="H24" s="40"/>
      <c r="I24" s="40"/>
      <c r="J24" s="40"/>
      <c r="K24" s="40"/>
      <c r="L24" s="40"/>
      <c r="M24" s="40"/>
      <c r="N24" s="40"/>
      <c r="O24" s="40"/>
      <c r="P24" s="40"/>
      <c r="Q24" s="40"/>
      <c r="R24" s="40"/>
    </row>
  </sheetData>
  <mergeCells count="1">
    <mergeCell ref="A1:R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C53"/>
  <sheetViews>
    <sheetView workbookViewId="0">
      <selection activeCell="C14" sqref="C14"/>
    </sheetView>
  </sheetViews>
  <sheetFormatPr defaultRowHeight="15.75" x14ac:dyDescent="0.25"/>
  <cols>
    <col min="1" max="1" width="14.25" bestFit="1" customWidth="1"/>
    <col min="2" max="2" width="20.125" bestFit="1" customWidth="1"/>
    <col min="3" max="3" width="7.5" bestFit="1" customWidth="1"/>
  </cols>
  <sheetData>
    <row r="1" spans="1:3" x14ac:dyDescent="0.25">
      <c r="A1" t="s">
        <v>11</v>
      </c>
      <c r="B1" t="s">
        <v>0</v>
      </c>
      <c r="C1" t="s">
        <v>10</v>
      </c>
    </row>
    <row r="2" spans="1:3" x14ac:dyDescent="0.25">
      <c r="A2" s="1">
        <v>45733.861273148148</v>
      </c>
      <c r="B2" t="s">
        <v>31</v>
      </c>
      <c r="C2" t="s">
        <v>1040</v>
      </c>
    </row>
    <row r="3" spans="1:3" x14ac:dyDescent="0.25">
      <c r="A3" s="1">
        <v>45733.73170138889</v>
      </c>
      <c r="B3" t="s">
        <v>20</v>
      </c>
      <c r="C3" t="s">
        <v>1038</v>
      </c>
    </row>
    <row r="4" spans="1:3" x14ac:dyDescent="0.25">
      <c r="A4" s="1">
        <v>45733.730949074074</v>
      </c>
      <c r="B4" t="s">
        <v>20</v>
      </c>
      <c r="C4" t="s">
        <v>1029</v>
      </c>
    </row>
    <row r="5" spans="1:3" x14ac:dyDescent="0.25">
      <c r="A5" s="1">
        <v>45733.72960648148</v>
      </c>
      <c r="B5" t="s">
        <v>21</v>
      </c>
      <c r="C5" t="s">
        <v>1037</v>
      </c>
    </row>
    <row r="6" spans="1:3" x14ac:dyDescent="0.25">
      <c r="A6" s="1">
        <v>45733.729189814818</v>
      </c>
      <c r="B6" t="s">
        <v>20</v>
      </c>
      <c r="C6" t="s">
        <v>1036</v>
      </c>
    </row>
    <row r="7" spans="1:3" x14ac:dyDescent="0.25">
      <c r="A7" s="1">
        <v>45733.728738425925</v>
      </c>
      <c r="B7" t="s">
        <v>19</v>
      </c>
      <c r="C7" t="s">
        <v>1035</v>
      </c>
    </row>
    <row r="8" spans="1:3" x14ac:dyDescent="0.25">
      <c r="A8" s="1">
        <v>45733.728321759256</v>
      </c>
      <c r="B8" t="s">
        <v>18</v>
      </c>
      <c r="C8" t="s">
        <v>1034</v>
      </c>
    </row>
    <row r="9" spans="1:3" x14ac:dyDescent="0.25">
      <c r="A9" s="1">
        <v>45733.727847222224</v>
      </c>
      <c r="B9" t="s">
        <v>18</v>
      </c>
      <c r="C9" t="s">
        <v>1033</v>
      </c>
    </row>
    <row r="10" spans="1:3" x14ac:dyDescent="0.25">
      <c r="A10" s="1">
        <v>45733.727083333331</v>
      </c>
      <c r="B10" t="s">
        <v>1018</v>
      </c>
      <c r="C10" t="s">
        <v>1032</v>
      </c>
    </row>
    <row r="11" spans="1:3" x14ac:dyDescent="0.25">
      <c r="A11" s="1">
        <v>45733.726504629631</v>
      </c>
      <c r="B11" t="s">
        <v>1018</v>
      </c>
      <c r="C11" t="s">
        <v>1031</v>
      </c>
    </row>
    <row r="12" spans="1:3" x14ac:dyDescent="0.25">
      <c r="A12" s="1">
        <v>45733.726273148146</v>
      </c>
      <c r="B12" t="s">
        <v>1018</v>
      </c>
      <c r="C12" t="s">
        <v>1030</v>
      </c>
    </row>
    <row r="13" spans="1:3" x14ac:dyDescent="0.25">
      <c r="A13" s="1">
        <v>45733.726018518515</v>
      </c>
      <c r="B13" t="s">
        <v>1018</v>
      </c>
      <c r="C13" t="s">
        <v>1029</v>
      </c>
    </row>
    <row r="14" spans="1:3" x14ac:dyDescent="0.25">
      <c r="A14" s="1"/>
    </row>
    <row r="15" spans="1:3" x14ac:dyDescent="0.25">
      <c r="A15" s="1"/>
    </row>
    <row r="16" spans="1:3"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F5001"/>
  <sheetViews>
    <sheetView workbookViewId="0">
      <selection activeCell="D16" sqref="D16"/>
    </sheetView>
  </sheetViews>
  <sheetFormatPr defaultRowHeight="15.75" x14ac:dyDescent="0.25"/>
  <cols>
    <col min="1" max="1" width="6.25" customWidth="1"/>
    <col min="2" max="2" width="15.375" bestFit="1" customWidth="1"/>
    <col min="3" max="3" width="5.5" customWidth="1"/>
    <col min="5" max="5" width="25.625" bestFit="1" customWidth="1"/>
    <col min="6" max="6" width="14.125" bestFit="1" customWidth="1"/>
  </cols>
  <sheetData>
    <row r="1" spans="1:6" s="4" customFormat="1" x14ac:dyDescent="0.25">
      <c r="A1" s="4" t="s">
        <v>15</v>
      </c>
      <c r="B1" s="5" t="s">
        <v>11</v>
      </c>
      <c r="C1" s="5" t="s">
        <v>16</v>
      </c>
      <c r="D1" s="4" t="s">
        <v>0</v>
      </c>
      <c r="E1" s="4" t="s">
        <v>17</v>
      </c>
      <c r="F1" s="4" t="s">
        <v>10</v>
      </c>
    </row>
    <row r="2" spans="1:6" x14ac:dyDescent="0.25">
      <c r="A2">
        <v>1</v>
      </c>
      <c r="B2" s="6">
        <f ca="1">INDIRECT("LogSheet!$A$" &amp; ROW(A2))</f>
        <v>45733.861273148148</v>
      </c>
      <c r="C2">
        <f ca="1">COUNTIF(D$2:D2,D2)</f>
        <v>1</v>
      </c>
      <c r="D2" t="str">
        <f ca="1">INDIRECT("LogSheet!$b$" &amp; ROW(B2))</f>
        <v>Rosalia Hinton</v>
      </c>
      <c r="E2" t="str">
        <f ca="1">C2&amp;""&amp;D2</f>
        <v>1Rosalia Hinton</v>
      </c>
      <c r="F2" t="str">
        <f t="shared" ref="F2:F65" ca="1" si="0">INDIRECT("LogSheet!$C$" &amp; ROW(D2))</f>
        <v>She shall make a substantial payment in April 2025</v>
      </c>
    </row>
    <row r="3" spans="1:6" x14ac:dyDescent="0.25">
      <c r="A3">
        <v>2</v>
      </c>
      <c r="B3" s="6">
        <f t="shared" ref="B3:B66" ca="1" si="1">INDIRECT("LogSheet!$A$" &amp; ROW(A3))</f>
        <v>45733.73170138889</v>
      </c>
      <c r="C3">
        <f ca="1">COUNTIF(D$2:D3,D3)</f>
        <v>1</v>
      </c>
      <c r="D3" t="str">
        <f t="shared" ref="D3:D66" ca="1" si="2">INDIRECT("LogSheet!$b$" &amp; ROW(B3))</f>
        <v>Colson Gallegos</v>
      </c>
      <c r="E3" t="str">
        <f t="shared" ref="E3:E66" ca="1" si="3">C3&amp;""&amp;D3</f>
        <v>1Colson Gallegos</v>
      </c>
      <c r="F3" t="str">
        <f t="shared" ca="1" si="0"/>
        <v>He was not audible enough</v>
      </c>
    </row>
    <row r="4" spans="1:6" x14ac:dyDescent="0.25">
      <c r="A4">
        <v>3</v>
      </c>
      <c r="B4" s="6">
        <f t="shared" ca="1" si="1"/>
        <v>45733.730949074074</v>
      </c>
      <c r="C4">
        <f ca="1">COUNTIF(D$2:D4,D4)</f>
        <v>2</v>
      </c>
      <c r="D4" t="str">
        <f t="shared" ca="1" si="2"/>
        <v>Colson Gallegos</v>
      </c>
      <c r="E4" t="str">
        <f t="shared" ca="1" si="3"/>
        <v>2Colson Gallegos</v>
      </c>
      <c r="F4" t="str">
        <f t="shared" ca="1" si="0"/>
        <v>Promised to pay</v>
      </c>
    </row>
    <row r="5" spans="1:6" x14ac:dyDescent="0.25">
      <c r="A5">
        <v>4</v>
      </c>
      <c r="B5" s="6">
        <f t="shared" ca="1" si="1"/>
        <v>45733.72960648148</v>
      </c>
      <c r="C5">
        <f ca="1">COUNTIF(D$2:D5,D5)</f>
        <v>1</v>
      </c>
      <c r="D5" t="str">
        <f t="shared" ca="1" si="2"/>
        <v>Ari Bernard</v>
      </c>
      <c r="E5" t="str">
        <f t="shared" ca="1" si="3"/>
        <v>1Ari Bernard</v>
      </c>
      <c r="F5" t="str">
        <f t="shared" ca="1" si="0"/>
        <v>Thankful for the call, will pay at the end of March</v>
      </c>
    </row>
    <row r="6" spans="1:6" x14ac:dyDescent="0.25">
      <c r="A6">
        <v>5</v>
      </c>
      <c r="B6" s="6">
        <f t="shared" ca="1" si="1"/>
        <v>45733.729189814818</v>
      </c>
      <c r="C6">
        <f ca="1">COUNTIF(D$2:D6,D6)</f>
        <v>3</v>
      </c>
      <c r="D6" t="str">
        <f t="shared" ca="1" si="2"/>
        <v>Colson Gallegos</v>
      </c>
      <c r="E6" t="str">
        <f t="shared" ca="1" si="3"/>
        <v>3Colson Gallegos</v>
      </c>
      <c r="F6" t="str">
        <f t="shared" ca="1" si="0"/>
        <v>Lost his job, but able to pay once employed</v>
      </c>
    </row>
    <row r="7" spans="1:6" x14ac:dyDescent="0.25">
      <c r="A7">
        <v>6</v>
      </c>
      <c r="B7" s="6">
        <f t="shared" ca="1" si="1"/>
        <v>45733.728738425925</v>
      </c>
      <c r="C7">
        <f ca="1">COUNTIF(D$2:D7,D7)</f>
        <v>1</v>
      </c>
      <c r="D7" t="str">
        <f t="shared" ca="1" si="2"/>
        <v>Frances Walters</v>
      </c>
      <c r="E7" t="str">
        <f t="shared" ca="1" si="3"/>
        <v>1Frances Walters</v>
      </c>
      <c r="F7" t="str">
        <f t="shared" ca="1" si="0"/>
        <v>Happy with our service</v>
      </c>
    </row>
    <row r="8" spans="1:6" x14ac:dyDescent="0.25">
      <c r="A8">
        <v>7</v>
      </c>
      <c r="B8" s="6">
        <f t="shared" ca="1" si="1"/>
        <v>45733.728321759256</v>
      </c>
      <c r="C8">
        <f ca="1">COUNTIF(D$2:D8,D8)</f>
        <v>1</v>
      </c>
      <c r="D8" t="str">
        <f t="shared" ca="1" si="2"/>
        <v>Tadeo Blair</v>
      </c>
      <c r="E8" t="str">
        <f t="shared" ca="1" si="3"/>
        <v>1Tadeo Blair</v>
      </c>
      <c r="F8" t="str">
        <f t="shared" ca="1" si="0"/>
        <v>The Client intends to complete the loan soon</v>
      </c>
    </row>
    <row r="9" spans="1:6" x14ac:dyDescent="0.25">
      <c r="A9">
        <v>8</v>
      </c>
      <c r="B9" s="6">
        <f t="shared" ca="1" si="1"/>
        <v>45733.727847222224</v>
      </c>
      <c r="C9">
        <f ca="1">COUNTIF(D$2:D9,D9)</f>
        <v>2</v>
      </c>
      <c r="D9" t="str">
        <f t="shared" ca="1" si="2"/>
        <v>Tadeo Blair</v>
      </c>
      <c r="E9" t="str">
        <f t="shared" ca="1" si="3"/>
        <v>2Tadeo Blair</v>
      </c>
      <c r="F9" t="str">
        <f t="shared" ca="1" si="0"/>
        <v>Client is willing to proceed with repayments</v>
      </c>
    </row>
    <row r="10" spans="1:6" x14ac:dyDescent="0.25">
      <c r="A10">
        <v>9</v>
      </c>
      <c r="B10" s="6">
        <f t="shared" ca="1" si="1"/>
        <v>45733.727083333331</v>
      </c>
      <c r="C10">
        <f ca="1">COUNTIF(D$2:D10,D10)</f>
        <v>1</v>
      </c>
      <c r="D10" t="str">
        <f t="shared" ca="1" si="2"/>
        <v>Paris Ware</v>
      </c>
      <c r="E10" t="str">
        <f t="shared" ca="1" si="3"/>
        <v>1Paris Ware</v>
      </c>
      <c r="F10" t="str">
        <f t="shared" ca="1" si="0"/>
        <v>Did not pick the call</v>
      </c>
    </row>
    <row r="11" spans="1:6" x14ac:dyDescent="0.25">
      <c r="A11">
        <v>10</v>
      </c>
      <c r="B11" s="6">
        <f t="shared" ca="1" si="1"/>
        <v>45733.726504629631</v>
      </c>
      <c r="C11">
        <f ca="1">COUNTIF(D$2:D11,D11)</f>
        <v>2</v>
      </c>
      <c r="D11" t="str">
        <f t="shared" ca="1" si="2"/>
        <v>Paris Ware</v>
      </c>
      <c r="E11" t="str">
        <f t="shared" ca="1" si="3"/>
        <v>2Paris Ware</v>
      </c>
      <c r="F11" t="str">
        <f t="shared" ca="1" si="0"/>
        <v>Is not committed, but promises to pay</v>
      </c>
    </row>
    <row r="12" spans="1:6" x14ac:dyDescent="0.25">
      <c r="A12">
        <v>11</v>
      </c>
      <c r="B12" s="6">
        <f t="shared" ca="1" si="1"/>
        <v>45733.726273148146</v>
      </c>
      <c r="C12">
        <f ca="1">COUNTIF(D$2:D12,D12)</f>
        <v>3</v>
      </c>
      <c r="D12" t="str">
        <f t="shared" ca="1" si="2"/>
        <v>Paris Ware</v>
      </c>
      <c r="E12" t="str">
        <f t="shared" ca="1" si="3"/>
        <v>3Paris Ware</v>
      </c>
      <c r="F12" t="str">
        <f t="shared" ca="1" si="0"/>
        <v>Will repay more despite owing</v>
      </c>
    </row>
    <row r="13" spans="1:6" x14ac:dyDescent="0.25">
      <c r="A13">
        <v>12</v>
      </c>
      <c r="B13" s="6">
        <f t="shared" ca="1" si="1"/>
        <v>45733.726018518515</v>
      </c>
      <c r="C13">
        <f ca="1">COUNTIF(D$2:D13,D13)</f>
        <v>4</v>
      </c>
      <c r="D13" t="str">
        <f t="shared" ca="1" si="2"/>
        <v>Paris Ware</v>
      </c>
      <c r="E13" t="str">
        <f t="shared" ca="1" si="3"/>
        <v>4Paris Ware</v>
      </c>
      <c r="F13" t="str">
        <f t="shared" ca="1" si="0"/>
        <v>Promised to pay</v>
      </c>
    </row>
    <row r="14" spans="1:6" x14ac:dyDescent="0.25">
      <c r="B14" s="6"/>
    </row>
    <row r="15" spans="1:6" x14ac:dyDescent="0.25">
      <c r="B15" s="6"/>
    </row>
    <row r="16" spans="1:6" x14ac:dyDescent="0.25">
      <c r="B16" s="6"/>
    </row>
    <row r="17" spans="2:2" x14ac:dyDescent="0.25">
      <c r="B17" s="6"/>
    </row>
    <row r="18" spans="2:2" x14ac:dyDescent="0.25">
      <c r="B18" s="6"/>
    </row>
    <row r="19" spans="2:2" x14ac:dyDescent="0.25">
      <c r="B19" s="6"/>
    </row>
    <row r="20" spans="2:2" x14ac:dyDescent="0.25">
      <c r="B20" s="6"/>
    </row>
    <row r="21" spans="2:2" x14ac:dyDescent="0.25">
      <c r="B21" s="6"/>
    </row>
    <row r="22" spans="2:2" x14ac:dyDescent="0.25">
      <c r="B22" s="6"/>
    </row>
    <row r="23" spans="2:2" x14ac:dyDescent="0.25">
      <c r="B23" s="6"/>
    </row>
    <row r="24" spans="2:2" x14ac:dyDescent="0.25">
      <c r="B24" s="6"/>
    </row>
    <row r="25" spans="2:2" x14ac:dyDescent="0.25">
      <c r="B25" s="6"/>
    </row>
    <row r="26" spans="2:2" x14ac:dyDescent="0.25">
      <c r="B26" s="6"/>
    </row>
    <row r="27" spans="2:2" x14ac:dyDescent="0.25">
      <c r="B27" s="6"/>
    </row>
    <row r="28" spans="2:2" x14ac:dyDescent="0.25">
      <c r="B28" s="6"/>
    </row>
    <row r="29" spans="2:2" x14ac:dyDescent="0.25">
      <c r="B29" s="6"/>
    </row>
    <row r="30" spans="2:2" x14ac:dyDescent="0.25">
      <c r="B30" s="6"/>
    </row>
    <row r="31" spans="2:2" x14ac:dyDescent="0.25">
      <c r="B31" s="6"/>
    </row>
    <row r="32" spans="2:2" x14ac:dyDescent="0.25">
      <c r="B32" s="6"/>
    </row>
    <row r="33" spans="2:2" x14ac:dyDescent="0.25">
      <c r="B33" s="6"/>
    </row>
    <row r="34" spans="2:2" x14ac:dyDescent="0.25">
      <c r="B34" s="6"/>
    </row>
    <row r="35" spans="2:2" x14ac:dyDescent="0.25">
      <c r="B35" s="6"/>
    </row>
    <row r="36" spans="2:2" x14ac:dyDescent="0.25">
      <c r="B36" s="6"/>
    </row>
    <row r="37" spans="2:2" x14ac:dyDescent="0.25">
      <c r="B37" s="6"/>
    </row>
    <row r="38" spans="2:2" x14ac:dyDescent="0.25">
      <c r="B38" s="6"/>
    </row>
    <row r="39" spans="2:2" x14ac:dyDescent="0.25">
      <c r="B39" s="6"/>
    </row>
    <row r="40" spans="2:2" x14ac:dyDescent="0.25">
      <c r="B40" s="6"/>
    </row>
    <row r="41" spans="2:2" x14ac:dyDescent="0.25">
      <c r="B41" s="6"/>
    </row>
    <row r="42" spans="2:2" x14ac:dyDescent="0.25">
      <c r="B42" s="6"/>
    </row>
    <row r="43" spans="2:2" x14ac:dyDescent="0.25">
      <c r="B43" s="6"/>
    </row>
    <row r="44" spans="2:2" x14ac:dyDescent="0.25">
      <c r="B44" s="6"/>
    </row>
    <row r="45" spans="2:2" x14ac:dyDescent="0.25">
      <c r="B45" s="6"/>
    </row>
    <row r="46" spans="2:2" x14ac:dyDescent="0.25">
      <c r="B46" s="6"/>
    </row>
    <row r="47" spans="2:2" x14ac:dyDescent="0.25">
      <c r="B47" s="6"/>
    </row>
    <row r="48" spans="2:2" x14ac:dyDescent="0.25">
      <c r="B48" s="6"/>
    </row>
    <row r="49" spans="2:2" x14ac:dyDescent="0.25">
      <c r="B49" s="6"/>
    </row>
    <row r="50" spans="2:2" x14ac:dyDescent="0.25">
      <c r="B50" s="6"/>
    </row>
    <row r="51" spans="2:2" x14ac:dyDescent="0.25">
      <c r="B51" s="6"/>
    </row>
    <row r="52" spans="2:2" x14ac:dyDescent="0.25">
      <c r="B52" s="6"/>
    </row>
    <row r="53" spans="2:2" x14ac:dyDescent="0.25">
      <c r="B53" s="6"/>
    </row>
    <row r="54" spans="2:2" x14ac:dyDescent="0.25">
      <c r="B54" s="6"/>
    </row>
    <row r="55" spans="2:2" x14ac:dyDescent="0.25">
      <c r="B55" s="6"/>
    </row>
    <row r="56" spans="2:2" x14ac:dyDescent="0.25">
      <c r="B56" s="6"/>
    </row>
    <row r="57" spans="2:2" x14ac:dyDescent="0.25">
      <c r="B57" s="6"/>
    </row>
    <row r="58" spans="2:2" x14ac:dyDescent="0.25">
      <c r="B58" s="6"/>
    </row>
    <row r="59" spans="2:2" x14ac:dyDescent="0.25">
      <c r="B59" s="6"/>
    </row>
    <row r="60" spans="2:2" x14ac:dyDescent="0.25">
      <c r="B60" s="6"/>
    </row>
    <row r="61" spans="2:2" x14ac:dyDescent="0.25">
      <c r="B61" s="6"/>
    </row>
    <row r="62" spans="2:2" x14ac:dyDescent="0.25">
      <c r="B62" s="6"/>
    </row>
    <row r="63" spans="2:2" x14ac:dyDescent="0.25">
      <c r="B63" s="6"/>
    </row>
    <row r="64" spans="2:2" x14ac:dyDescent="0.25">
      <c r="B64" s="6"/>
    </row>
    <row r="65" spans="2:2" x14ac:dyDescent="0.25">
      <c r="B65" s="6"/>
    </row>
    <row r="66" spans="2:2" x14ac:dyDescent="0.25">
      <c r="B66" s="6"/>
    </row>
    <row r="67" spans="2:2" x14ac:dyDescent="0.25">
      <c r="B67" s="6"/>
    </row>
    <row r="68" spans="2:2" x14ac:dyDescent="0.25">
      <c r="B68" s="6"/>
    </row>
    <row r="69" spans="2:2" x14ac:dyDescent="0.25">
      <c r="B69" s="6"/>
    </row>
    <row r="70" spans="2:2" x14ac:dyDescent="0.25">
      <c r="B70" s="6"/>
    </row>
    <row r="71" spans="2:2" x14ac:dyDescent="0.25">
      <c r="B71" s="6"/>
    </row>
    <row r="72" spans="2:2" x14ac:dyDescent="0.25">
      <c r="B72" s="6"/>
    </row>
    <row r="73" spans="2:2" x14ac:dyDescent="0.25">
      <c r="B73" s="6"/>
    </row>
    <row r="74" spans="2:2" x14ac:dyDescent="0.25">
      <c r="B74" s="6"/>
    </row>
    <row r="75" spans="2:2" x14ac:dyDescent="0.25">
      <c r="B75" s="6"/>
    </row>
    <row r="76" spans="2:2" x14ac:dyDescent="0.25">
      <c r="B76" s="6"/>
    </row>
    <row r="77" spans="2:2" x14ac:dyDescent="0.25">
      <c r="B77" s="6"/>
    </row>
    <row r="78" spans="2:2" x14ac:dyDescent="0.25">
      <c r="B78" s="6"/>
    </row>
    <row r="79" spans="2:2" x14ac:dyDescent="0.25">
      <c r="B79" s="6"/>
    </row>
    <row r="80" spans="2:2" x14ac:dyDescent="0.25">
      <c r="B80" s="6"/>
    </row>
    <row r="81" spans="2:2" x14ac:dyDescent="0.25">
      <c r="B81" s="6"/>
    </row>
    <row r="82" spans="2:2" x14ac:dyDescent="0.25">
      <c r="B82" s="6"/>
    </row>
    <row r="83" spans="2:2" x14ac:dyDescent="0.25">
      <c r="B83" s="6"/>
    </row>
    <row r="84" spans="2:2" x14ac:dyDescent="0.25">
      <c r="B84" s="6"/>
    </row>
    <row r="85" spans="2:2" x14ac:dyDescent="0.25">
      <c r="B85" s="6"/>
    </row>
    <row r="86" spans="2:2" x14ac:dyDescent="0.25">
      <c r="B86" s="6"/>
    </row>
    <row r="87" spans="2:2" x14ac:dyDescent="0.25">
      <c r="B87" s="6"/>
    </row>
    <row r="88" spans="2:2" x14ac:dyDescent="0.25">
      <c r="B88" s="6"/>
    </row>
    <row r="89" spans="2:2" x14ac:dyDescent="0.25">
      <c r="B89" s="6"/>
    </row>
    <row r="90" spans="2:2" x14ac:dyDescent="0.25">
      <c r="B90" s="6"/>
    </row>
    <row r="91" spans="2:2" x14ac:dyDescent="0.25">
      <c r="B91" s="6"/>
    </row>
    <row r="92" spans="2:2" x14ac:dyDescent="0.25">
      <c r="B92" s="6"/>
    </row>
    <row r="93" spans="2:2" x14ac:dyDescent="0.25">
      <c r="B93" s="6"/>
    </row>
    <row r="94" spans="2:2" x14ac:dyDescent="0.25">
      <c r="B94" s="6"/>
    </row>
    <row r="95" spans="2:2" x14ac:dyDescent="0.25">
      <c r="B95" s="6"/>
    </row>
    <row r="96" spans="2:2"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6"/>
    </row>
    <row r="132" spans="2:2" x14ac:dyDescent="0.25">
      <c r="B132" s="6"/>
    </row>
    <row r="133" spans="2:2" x14ac:dyDescent="0.25">
      <c r="B133" s="6"/>
    </row>
    <row r="134" spans="2:2" x14ac:dyDescent="0.25">
      <c r="B134" s="6"/>
    </row>
    <row r="135" spans="2:2" x14ac:dyDescent="0.25">
      <c r="B135" s="6"/>
    </row>
    <row r="136" spans="2:2" x14ac:dyDescent="0.25">
      <c r="B136" s="6"/>
    </row>
    <row r="137" spans="2:2" x14ac:dyDescent="0.25">
      <c r="B137" s="6"/>
    </row>
    <row r="138" spans="2:2" x14ac:dyDescent="0.25">
      <c r="B138" s="6"/>
    </row>
    <row r="139" spans="2:2" x14ac:dyDescent="0.25">
      <c r="B139" s="6"/>
    </row>
    <row r="140" spans="2:2" x14ac:dyDescent="0.25">
      <c r="B140" s="6"/>
    </row>
    <row r="141" spans="2:2" x14ac:dyDescent="0.25">
      <c r="B141" s="6"/>
    </row>
    <row r="142" spans="2:2" x14ac:dyDescent="0.25">
      <c r="B142" s="6"/>
    </row>
    <row r="143" spans="2:2" x14ac:dyDescent="0.25">
      <c r="B143" s="6"/>
    </row>
    <row r="144" spans="2:2" x14ac:dyDescent="0.25">
      <c r="B144" s="6"/>
    </row>
    <row r="145" spans="2:2" x14ac:dyDescent="0.25">
      <c r="B145" s="6"/>
    </row>
    <row r="146" spans="2:2" x14ac:dyDescent="0.25">
      <c r="B146" s="6"/>
    </row>
    <row r="147" spans="2:2" x14ac:dyDescent="0.25">
      <c r="B147" s="6"/>
    </row>
    <row r="148" spans="2:2" x14ac:dyDescent="0.25">
      <c r="B148" s="6"/>
    </row>
    <row r="149" spans="2:2" x14ac:dyDescent="0.25">
      <c r="B149" s="6"/>
    </row>
    <row r="150" spans="2:2" x14ac:dyDescent="0.25">
      <c r="B150" s="6"/>
    </row>
    <row r="151" spans="2:2" x14ac:dyDescent="0.25">
      <c r="B151" s="6"/>
    </row>
    <row r="152" spans="2:2" x14ac:dyDescent="0.25">
      <c r="B152" s="6"/>
    </row>
    <row r="153" spans="2:2" x14ac:dyDescent="0.25">
      <c r="B153" s="6"/>
    </row>
    <row r="154" spans="2:2" x14ac:dyDescent="0.25">
      <c r="B154" s="6"/>
    </row>
    <row r="155" spans="2:2" x14ac:dyDescent="0.25">
      <c r="B155" s="6"/>
    </row>
    <row r="156" spans="2:2" x14ac:dyDescent="0.25">
      <c r="B156" s="6"/>
    </row>
    <row r="157" spans="2:2" x14ac:dyDescent="0.25">
      <c r="B157" s="6"/>
    </row>
    <row r="158" spans="2:2" x14ac:dyDescent="0.25">
      <c r="B158" s="6"/>
    </row>
    <row r="159" spans="2:2" x14ac:dyDescent="0.25">
      <c r="B159" s="6"/>
    </row>
    <row r="160" spans="2:2" x14ac:dyDescent="0.25">
      <c r="B160" s="6"/>
    </row>
    <row r="161" spans="2:2" x14ac:dyDescent="0.25">
      <c r="B161" s="6"/>
    </row>
    <row r="162" spans="2:2" x14ac:dyDescent="0.25">
      <c r="B162" s="6"/>
    </row>
    <row r="163" spans="2:2" x14ac:dyDescent="0.25">
      <c r="B163" s="6"/>
    </row>
    <row r="164" spans="2:2" x14ac:dyDescent="0.25">
      <c r="B164" s="6"/>
    </row>
    <row r="165" spans="2:2" x14ac:dyDescent="0.25">
      <c r="B165" s="6"/>
    </row>
    <row r="166" spans="2:2" x14ac:dyDescent="0.25">
      <c r="B166" s="6"/>
    </row>
    <row r="167" spans="2:2" x14ac:dyDescent="0.25">
      <c r="B167" s="6"/>
    </row>
    <row r="168" spans="2:2" x14ac:dyDescent="0.25">
      <c r="B168" s="6"/>
    </row>
    <row r="169" spans="2:2" x14ac:dyDescent="0.25">
      <c r="B169" s="6"/>
    </row>
    <row r="170" spans="2:2" x14ac:dyDescent="0.25">
      <c r="B170" s="6"/>
    </row>
    <row r="171" spans="2:2" x14ac:dyDescent="0.25">
      <c r="B171" s="6"/>
    </row>
    <row r="172" spans="2:2" x14ac:dyDescent="0.25">
      <c r="B172" s="6"/>
    </row>
    <row r="173" spans="2:2" x14ac:dyDescent="0.25">
      <c r="B173" s="6"/>
    </row>
    <row r="174" spans="2:2" x14ac:dyDescent="0.25">
      <c r="B174" s="6"/>
    </row>
    <row r="175" spans="2:2" x14ac:dyDescent="0.25">
      <c r="B175" s="6"/>
    </row>
    <row r="176" spans="2:2" x14ac:dyDescent="0.25">
      <c r="B176" s="6"/>
    </row>
    <row r="177" spans="2:2" x14ac:dyDescent="0.25">
      <c r="B177" s="6"/>
    </row>
    <row r="178" spans="2:2" x14ac:dyDescent="0.25">
      <c r="B178" s="6"/>
    </row>
    <row r="179" spans="2:2" x14ac:dyDescent="0.25">
      <c r="B179" s="6"/>
    </row>
    <row r="180" spans="2:2" x14ac:dyDescent="0.25">
      <c r="B180" s="6"/>
    </row>
    <row r="181" spans="2:2" x14ac:dyDescent="0.25">
      <c r="B181" s="6"/>
    </row>
    <row r="182" spans="2:2" x14ac:dyDescent="0.25">
      <c r="B182" s="6"/>
    </row>
    <row r="183" spans="2:2" x14ac:dyDescent="0.25">
      <c r="B183" s="6"/>
    </row>
    <row r="184" spans="2:2" x14ac:dyDescent="0.25">
      <c r="B184" s="6"/>
    </row>
    <row r="185" spans="2:2" x14ac:dyDescent="0.25">
      <c r="B185" s="6"/>
    </row>
    <row r="186" spans="2:2" x14ac:dyDescent="0.25">
      <c r="B186" s="6"/>
    </row>
    <row r="187" spans="2:2" x14ac:dyDescent="0.25">
      <c r="B187" s="6"/>
    </row>
    <row r="188" spans="2:2" x14ac:dyDescent="0.25">
      <c r="B188" s="6"/>
    </row>
    <row r="189" spans="2:2" x14ac:dyDescent="0.25">
      <c r="B189" s="6"/>
    </row>
    <row r="190" spans="2:2" x14ac:dyDescent="0.25">
      <c r="B190" s="6"/>
    </row>
    <row r="191" spans="2:2" x14ac:dyDescent="0.25">
      <c r="B191" s="6"/>
    </row>
    <row r="192" spans="2:2" x14ac:dyDescent="0.25">
      <c r="B192" s="6"/>
    </row>
    <row r="193" spans="2:2" x14ac:dyDescent="0.25">
      <c r="B193" s="6"/>
    </row>
    <row r="194" spans="2:2" x14ac:dyDescent="0.25">
      <c r="B194" s="6"/>
    </row>
    <row r="195" spans="2:2" x14ac:dyDescent="0.25">
      <c r="B195" s="6"/>
    </row>
    <row r="196" spans="2:2" x14ac:dyDescent="0.25">
      <c r="B196" s="6"/>
    </row>
    <row r="197" spans="2:2" x14ac:dyDescent="0.25">
      <c r="B197" s="6"/>
    </row>
    <row r="198" spans="2:2" x14ac:dyDescent="0.25">
      <c r="B198" s="6"/>
    </row>
    <row r="199" spans="2:2" x14ac:dyDescent="0.25">
      <c r="B199" s="6"/>
    </row>
    <row r="200" spans="2:2" x14ac:dyDescent="0.25">
      <c r="B200" s="6"/>
    </row>
    <row r="201" spans="2:2" x14ac:dyDescent="0.25">
      <c r="B201" s="6"/>
    </row>
    <row r="202" spans="2:2" x14ac:dyDescent="0.25">
      <c r="B202" s="6"/>
    </row>
    <row r="203" spans="2:2" x14ac:dyDescent="0.25">
      <c r="B203" s="6"/>
    </row>
    <row r="204" spans="2:2" x14ac:dyDescent="0.25">
      <c r="B204" s="6"/>
    </row>
    <row r="205" spans="2:2" x14ac:dyDescent="0.25">
      <c r="B205" s="6"/>
    </row>
    <row r="206" spans="2:2" x14ac:dyDescent="0.25">
      <c r="B206" s="6"/>
    </row>
    <row r="207" spans="2:2" x14ac:dyDescent="0.25">
      <c r="B207" s="6"/>
    </row>
    <row r="208" spans="2:2" x14ac:dyDescent="0.25">
      <c r="B208" s="6"/>
    </row>
    <row r="209" spans="2:2" x14ac:dyDescent="0.25">
      <c r="B209" s="6"/>
    </row>
    <row r="210" spans="2:2" x14ac:dyDescent="0.25">
      <c r="B210" s="6"/>
    </row>
    <row r="211" spans="2:2" x14ac:dyDescent="0.25">
      <c r="B211" s="6"/>
    </row>
    <row r="212" spans="2:2" x14ac:dyDescent="0.25">
      <c r="B212" s="6"/>
    </row>
    <row r="213" spans="2:2" x14ac:dyDescent="0.25">
      <c r="B213" s="6"/>
    </row>
    <row r="214" spans="2:2" x14ac:dyDescent="0.25">
      <c r="B214" s="6"/>
    </row>
    <row r="215" spans="2:2" x14ac:dyDescent="0.25">
      <c r="B215" s="6"/>
    </row>
    <row r="216" spans="2:2" x14ac:dyDescent="0.25">
      <c r="B216" s="6"/>
    </row>
    <row r="217" spans="2:2" x14ac:dyDescent="0.25">
      <c r="B217" s="6"/>
    </row>
    <row r="218" spans="2:2" x14ac:dyDescent="0.25">
      <c r="B218" s="6"/>
    </row>
    <row r="219" spans="2:2" x14ac:dyDescent="0.25">
      <c r="B219" s="6"/>
    </row>
    <row r="220" spans="2:2" x14ac:dyDescent="0.25">
      <c r="B220" s="6"/>
    </row>
    <row r="221" spans="2:2" x14ac:dyDescent="0.25">
      <c r="B221" s="6"/>
    </row>
    <row r="222" spans="2:2" x14ac:dyDescent="0.25">
      <c r="B222" s="6"/>
    </row>
    <row r="223" spans="2:2" x14ac:dyDescent="0.25">
      <c r="B223" s="6"/>
    </row>
    <row r="224" spans="2:2" x14ac:dyDescent="0.25">
      <c r="B224" s="6"/>
    </row>
    <row r="225" spans="2:2" x14ac:dyDescent="0.25">
      <c r="B225" s="6"/>
    </row>
    <row r="226" spans="2:2" x14ac:dyDescent="0.25">
      <c r="B226" s="6"/>
    </row>
    <row r="227" spans="2:2" x14ac:dyDescent="0.25">
      <c r="B227" s="6"/>
    </row>
    <row r="228" spans="2:2" x14ac:dyDescent="0.25">
      <c r="B228" s="6"/>
    </row>
    <row r="229" spans="2:2" x14ac:dyDescent="0.25">
      <c r="B229" s="6"/>
    </row>
    <row r="230" spans="2:2" x14ac:dyDescent="0.25">
      <c r="B230" s="6"/>
    </row>
    <row r="231" spans="2:2" x14ac:dyDescent="0.25">
      <c r="B231" s="6"/>
    </row>
    <row r="232" spans="2:2" x14ac:dyDescent="0.25">
      <c r="B232" s="6"/>
    </row>
    <row r="233" spans="2:2" x14ac:dyDescent="0.25">
      <c r="B233" s="6"/>
    </row>
    <row r="234" spans="2:2" x14ac:dyDescent="0.25">
      <c r="B234" s="6"/>
    </row>
    <row r="235" spans="2:2" x14ac:dyDescent="0.25">
      <c r="B235" s="6"/>
    </row>
    <row r="236" spans="2:2" x14ac:dyDescent="0.25">
      <c r="B236" s="6"/>
    </row>
    <row r="237" spans="2:2" x14ac:dyDescent="0.25">
      <c r="B237" s="6"/>
    </row>
    <row r="238" spans="2:2" x14ac:dyDescent="0.25">
      <c r="B238" s="6"/>
    </row>
    <row r="239" spans="2:2" x14ac:dyDescent="0.25">
      <c r="B239" s="6"/>
    </row>
    <row r="240" spans="2:2" x14ac:dyDescent="0.25">
      <c r="B240" s="6"/>
    </row>
    <row r="241" spans="2:2" x14ac:dyDescent="0.25">
      <c r="B241" s="6"/>
    </row>
    <row r="242" spans="2:2" x14ac:dyDescent="0.25">
      <c r="B242" s="6"/>
    </row>
    <row r="243" spans="2:2" x14ac:dyDescent="0.25">
      <c r="B243" s="6"/>
    </row>
    <row r="244" spans="2:2" x14ac:dyDescent="0.25">
      <c r="B244" s="6"/>
    </row>
    <row r="245" spans="2:2" x14ac:dyDescent="0.25">
      <c r="B245" s="6"/>
    </row>
    <row r="246" spans="2:2" x14ac:dyDescent="0.25">
      <c r="B246" s="6"/>
    </row>
    <row r="247" spans="2:2" x14ac:dyDescent="0.25">
      <c r="B247" s="6"/>
    </row>
    <row r="248" spans="2:2" x14ac:dyDescent="0.25">
      <c r="B248" s="6"/>
    </row>
    <row r="249" spans="2:2" x14ac:dyDescent="0.25">
      <c r="B249" s="6"/>
    </row>
    <row r="250" spans="2:2" x14ac:dyDescent="0.25">
      <c r="B250" s="6"/>
    </row>
    <row r="251" spans="2:2" x14ac:dyDescent="0.25">
      <c r="B251" s="6"/>
    </row>
    <row r="252" spans="2:2" x14ac:dyDescent="0.25">
      <c r="B252" s="6"/>
    </row>
    <row r="253" spans="2:2" x14ac:dyDescent="0.25">
      <c r="B253" s="6"/>
    </row>
    <row r="254" spans="2:2" x14ac:dyDescent="0.25">
      <c r="B254" s="6"/>
    </row>
    <row r="255" spans="2:2" x14ac:dyDescent="0.25">
      <c r="B255" s="6"/>
    </row>
    <row r="256" spans="2:2" x14ac:dyDescent="0.25">
      <c r="B256" s="6"/>
    </row>
    <row r="257" spans="2:2" x14ac:dyDescent="0.25">
      <c r="B257" s="6"/>
    </row>
    <row r="258" spans="2:2" x14ac:dyDescent="0.25">
      <c r="B258" s="6"/>
    </row>
    <row r="259" spans="2:2" x14ac:dyDescent="0.25">
      <c r="B259" s="6"/>
    </row>
    <row r="260" spans="2:2" x14ac:dyDescent="0.25">
      <c r="B260" s="6"/>
    </row>
    <row r="261" spans="2:2" x14ac:dyDescent="0.25">
      <c r="B261" s="6"/>
    </row>
    <row r="262" spans="2:2" x14ac:dyDescent="0.25">
      <c r="B262" s="6"/>
    </row>
    <row r="263" spans="2:2" x14ac:dyDescent="0.25">
      <c r="B263" s="6"/>
    </row>
    <row r="264" spans="2:2" x14ac:dyDescent="0.25">
      <c r="B264" s="6"/>
    </row>
    <row r="265" spans="2:2" x14ac:dyDescent="0.25">
      <c r="B265" s="6"/>
    </row>
    <row r="266" spans="2:2" x14ac:dyDescent="0.25">
      <c r="B266" s="6"/>
    </row>
    <row r="267" spans="2:2" x14ac:dyDescent="0.25">
      <c r="B267" s="6"/>
    </row>
    <row r="268" spans="2:2" x14ac:dyDescent="0.25">
      <c r="B268" s="6"/>
    </row>
    <row r="269" spans="2:2" x14ac:dyDescent="0.25">
      <c r="B269" s="6"/>
    </row>
    <row r="270" spans="2:2" x14ac:dyDescent="0.25">
      <c r="B270" s="6"/>
    </row>
    <row r="271" spans="2:2" x14ac:dyDescent="0.25">
      <c r="B271" s="6"/>
    </row>
    <row r="272" spans="2:2" x14ac:dyDescent="0.25">
      <c r="B272" s="6"/>
    </row>
    <row r="273" spans="2:2" x14ac:dyDescent="0.25">
      <c r="B273" s="6"/>
    </row>
    <row r="274" spans="2:2" x14ac:dyDescent="0.25">
      <c r="B274" s="6"/>
    </row>
    <row r="275" spans="2:2" x14ac:dyDescent="0.25">
      <c r="B275" s="6"/>
    </row>
    <row r="276" spans="2:2" x14ac:dyDescent="0.25">
      <c r="B276" s="6"/>
    </row>
    <row r="277" spans="2:2" x14ac:dyDescent="0.25">
      <c r="B277" s="6"/>
    </row>
    <row r="278" spans="2:2" x14ac:dyDescent="0.25">
      <c r="B278" s="6"/>
    </row>
    <row r="279" spans="2:2" x14ac:dyDescent="0.25">
      <c r="B279" s="6"/>
    </row>
    <row r="280" spans="2:2" x14ac:dyDescent="0.25">
      <c r="B280" s="6"/>
    </row>
    <row r="281" spans="2:2" x14ac:dyDescent="0.25">
      <c r="B281" s="6"/>
    </row>
    <row r="282" spans="2:2" x14ac:dyDescent="0.25">
      <c r="B282" s="6"/>
    </row>
    <row r="283" spans="2:2" x14ac:dyDescent="0.25">
      <c r="B283" s="6"/>
    </row>
    <row r="284" spans="2:2" x14ac:dyDescent="0.25">
      <c r="B284" s="6"/>
    </row>
    <row r="285" spans="2:2" x14ac:dyDescent="0.25">
      <c r="B285" s="6"/>
    </row>
    <row r="286" spans="2:2" x14ac:dyDescent="0.25">
      <c r="B286" s="6"/>
    </row>
    <row r="287" spans="2:2" x14ac:dyDescent="0.25">
      <c r="B287" s="6"/>
    </row>
    <row r="288" spans="2:2" x14ac:dyDescent="0.25">
      <c r="B288" s="6"/>
    </row>
    <row r="289" spans="2:2" x14ac:dyDescent="0.25">
      <c r="B289" s="6"/>
    </row>
    <row r="290" spans="2:2" x14ac:dyDescent="0.25">
      <c r="B290" s="6"/>
    </row>
    <row r="291" spans="2:2" x14ac:dyDescent="0.25">
      <c r="B291" s="6"/>
    </row>
    <row r="292" spans="2:2" x14ac:dyDescent="0.25">
      <c r="B292" s="6"/>
    </row>
    <row r="293" spans="2:2" x14ac:dyDescent="0.25">
      <c r="B293" s="6"/>
    </row>
    <row r="294" spans="2:2" x14ac:dyDescent="0.25">
      <c r="B294" s="6"/>
    </row>
    <row r="295" spans="2:2" x14ac:dyDescent="0.25">
      <c r="B295" s="6"/>
    </row>
    <row r="296" spans="2:2" x14ac:dyDescent="0.25">
      <c r="B296" s="6"/>
    </row>
    <row r="297" spans="2:2" x14ac:dyDescent="0.25">
      <c r="B297" s="6"/>
    </row>
    <row r="298" spans="2:2" x14ac:dyDescent="0.25">
      <c r="B298" s="6"/>
    </row>
    <row r="299" spans="2:2" x14ac:dyDescent="0.25">
      <c r="B299" s="6"/>
    </row>
    <row r="300" spans="2:2" x14ac:dyDescent="0.25">
      <c r="B300" s="6"/>
    </row>
    <row r="301" spans="2:2" x14ac:dyDescent="0.25">
      <c r="B301" s="6"/>
    </row>
    <row r="302" spans="2:2" x14ac:dyDescent="0.25">
      <c r="B302" s="6"/>
    </row>
    <row r="303" spans="2:2" x14ac:dyDescent="0.25">
      <c r="B303" s="6"/>
    </row>
    <row r="304" spans="2:2" x14ac:dyDescent="0.25">
      <c r="B304" s="6"/>
    </row>
    <row r="305" spans="2:2" x14ac:dyDescent="0.25">
      <c r="B305" s="6"/>
    </row>
    <row r="306" spans="2:2" x14ac:dyDescent="0.25">
      <c r="B306" s="6"/>
    </row>
    <row r="307" spans="2:2" x14ac:dyDescent="0.25">
      <c r="B307" s="6"/>
    </row>
    <row r="308" spans="2:2" x14ac:dyDescent="0.25">
      <c r="B308" s="6"/>
    </row>
    <row r="309" spans="2:2" x14ac:dyDescent="0.25">
      <c r="B309" s="6"/>
    </row>
    <row r="310" spans="2:2" x14ac:dyDescent="0.25">
      <c r="B310" s="6"/>
    </row>
    <row r="311" spans="2:2" x14ac:dyDescent="0.25">
      <c r="B311" s="6"/>
    </row>
    <row r="312" spans="2:2" x14ac:dyDescent="0.25">
      <c r="B312" s="6"/>
    </row>
    <row r="313" spans="2:2" x14ac:dyDescent="0.25">
      <c r="B313" s="6"/>
    </row>
    <row r="314" spans="2:2" x14ac:dyDescent="0.25">
      <c r="B314" s="6"/>
    </row>
    <row r="315" spans="2:2" x14ac:dyDescent="0.25">
      <c r="B315" s="6"/>
    </row>
    <row r="316" spans="2:2" x14ac:dyDescent="0.25">
      <c r="B316" s="6"/>
    </row>
    <row r="317" spans="2:2" x14ac:dyDescent="0.25">
      <c r="B317" s="6"/>
    </row>
    <row r="318" spans="2:2" x14ac:dyDescent="0.25">
      <c r="B318" s="6"/>
    </row>
    <row r="319" spans="2:2" x14ac:dyDescent="0.25">
      <c r="B319" s="6"/>
    </row>
    <row r="320" spans="2:2" x14ac:dyDescent="0.25">
      <c r="B320" s="6"/>
    </row>
    <row r="321" spans="2:2" x14ac:dyDescent="0.25">
      <c r="B321" s="6"/>
    </row>
    <row r="322" spans="2:2" x14ac:dyDescent="0.25">
      <c r="B322" s="6"/>
    </row>
    <row r="323" spans="2:2" x14ac:dyDescent="0.25">
      <c r="B323" s="6"/>
    </row>
    <row r="324" spans="2:2" x14ac:dyDescent="0.25">
      <c r="B324" s="6"/>
    </row>
    <row r="325" spans="2:2" x14ac:dyDescent="0.25">
      <c r="B325" s="6"/>
    </row>
    <row r="326" spans="2:2" x14ac:dyDescent="0.25">
      <c r="B326" s="6"/>
    </row>
    <row r="327" spans="2:2" x14ac:dyDescent="0.25">
      <c r="B327" s="6"/>
    </row>
    <row r="328" spans="2:2" x14ac:dyDescent="0.25">
      <c r="B328" s="6"/>
    </row>
    <row r="329" spans="2:2" x14ac:dyDescent="0.25">
      <c r="B329" s="6"/>
    </row>
    <row r="330" spans="2:2" x14ac:dyDescent="0.25">
      <c r="B330" s="6"/>
    </row>
    <row r="331" spans="2:2" x14ac:dyDescent="0.25">
      <c r="B331" s="6"/>
    </row>
    <row r="332" spans="2:2" x14ac:dyDescent="0.25">
      <c r="B332" s="6"/>
    </row>
    <row r="333" spans="2:2" x14ac:dyDescent="0.25">
      <c r="B333" s="6"/>
    </row>
    <row r="334" spans="2:2" x14ac:dyDescent="0.25">
      <c r="B334" s="6"/>
    </row>
    <row r="335" spans="2:2" x14ac:dyDescent="0.25">
      <c r="B335" s="6"/>
    </row>
    <row r="336" spans="2:2" x14ac:dyDescent="0.25">
      <c r="B336" s="6"/>
    </row>
    <row r="337" spans="2:2" x14ac:dyDescent="0.25">
      <c r="B337" s="6"/>
    </row>
    <row r="338" spans="2:2" x14ac:dyDescent="0.25">
      <c r="B338" s="6"/>
    </row>
    <row r="339" spans="2:2" x14ac:dyDescent="0.25">
      <c r="B339" s="6"/>
    </row>
    <row r="340" spans="2:2" x14ac:dyDescent="0.25">
      <c r="B340" s="6"/>
    </row>
    <row r="341" spans="2:2" x14ac:dyDescent="0.25">
      <c r="B341" s="6"/>
    </row>
    <row r="342" spans="2:2" x14ac:dyDescent="0.25">
      <c r="B342" s="6"/>
    </row>
    <row r="343" spans="2:2" x14ac:dyDescent="0.25">
      <c r="B343" s="6"/>
    </row>
    <row r="344" spans="2:2" x14ac:dyDescent="0.25">
      <c r="B344" s="6"/>
    </row>
    <row r="345" spans="2:2" x14ac:dyDescent="0.25">
      <c r="B345" s="6"/>
    </row>
    <row r="346" spans="2:2" x14ac:dyDescent="0.25">
      <c r="B346" s="6"/>
    </row>
    <row r="347" spans="2:2" x14ac:dyDescent="0.25">
      <c r="B347" s="6"/>
    </row>
    <row r="348" spans="2:2" x14ac:dyDescent="0.25">
      <c r="B348" s="6"/>
    </row>
    <row r="349" spans="2:2" x14ac:dyDescent="0.25">
      <c r="B349" s="6"/>
    </row>
    <row r="350" spans="2:2" x14ac:dyDescent="0.25">
      <c r="B350" s="6"/>
    </row>
    <row r="351" spans="2:2" x14ac:dyDescent="0.25">
      <c r="B351" s="6"/>
    </row>
    <row r="352" spans="2:2" x14ac:dyDescent="0.25">
      <c r="B352" s="6"/>
    </row>
    <row r="353" spans="2:2" x14ac:dyDescent="0.25">
      <c r="B353" s="6"/>
    </row>
    <row r="354" spans="2:2" x14ac:dyDescent="0.25">
      <c r="B354" s="6"/>
    </row>
    <row r="355" spans="2:2" x14ac:dyDescent="0.25">
      <c r="B355" s="6"/>
    </row>
    <row r="356" spans="2:2" x14ac:dyDescent="0.25">
      <c r="B356" s="6"/>
    </row>
    <row r="357" spans="2:2" x14ac:dyDescent="0.25">
      <c r="B357" s="6"/>
    </row>
    <row r="358" spans="2:2" x14ac:dyDescent="0.25">
      <c r="B358" s="6"/>
    </row>
    <row r="359" spans="2:2" x14ac:dyDescent="0.25">
      <c r="B359" s="6"/>
    </row>
    <row r="360" spans="2:2" x14ac:dyDescent="0.25">
      <c r="B360" s="6"/>
    </row>
    <row r="361" spans="2:2" x14ac:dyDescent="0.25">
      <c r="B361" s="6"/>
    </row>
    <row r="362" spans="2:2" x14ac:dyDescent="0.25">
      <c r="B362" s="6"/>
    </row>
    <row r="363" spans="2:2" x14ac:dyDescent="0.25">
      <c r="B363" s="6"/>
    </row>
    <row r="364" spans="2:2" x14ac:dyDescent="0.25">
      <c r="B364" s="6"/>
    </row>
    <row r="365" spans="2:2" x14ac:dyDescent="0.25">
      <c r="B365" s="6"/>
    </row>
    <row r="366" spans="2:2" x14ac:dyDescent="0.25">
      <c r="B366" s="6"/>
    </row>
    <row r="367" spans="2:2" x14ac:dyDescent="0.25">
      <c r="B367" s="6"/>
    </row>
    <row r="368" spans="2:2" x14ac:dyDescent="0.25">
      <c r="B368" s="6"/>
    </row>
    <row r="369" spans="2:2" x14ac:dyDescent="0.25">
      <c r="B369" s="6"/>
    </row>
    <row r="370" spans="2:2" x14ac:dyDescent="0.25">
      <c r="B370" s="6"/>
    </row>
    <row r="371" spans="2:2" x14ac:dyDescent="0.25">
      <c r="B371" s="6"/>
    </row>
    <row r="372" spans="2:2" x14ac:dyDescent="0.25">
      <c r="B372" s="6"/>
    </row>
    <row r="373" spans="2:2" x14ac:dyDescent="0.25">
      <c r="B373" s="6"/>
    </row>
    <row r="374" spans="2:2" x14ac:dyDescent="0.25">
      <c r="B374" s="6"/>
    </row>
    <row r="375" spans="2:2" x14ac:dyDescent="0.25">
      <c r="B375" s="6"/>
    </row>
    <row r="376" spans="2:2" x14ac:dyDescent="0.25">
      <c r="B376" s="6"/>
    </row>
    <row r="377" spans="2:2" x14ac:dyDescent="0.25">
      <c r="B377" s="6"/>
    </row>
    <row r="378" spans="2:2" x14ac:dyDescent="0.25">
      <c r="B378" s="6"/>
    </row>
    <row r="379" spans="2:2" x14ac:dyDescent="0.25">
      <c r="B379" s="6"/>
    </row>
    <row r="380" spans="2:2" x14ac:dyDescent="0.25">
      <c r="B380" s="6"/>
    </row>
    <row r="381" spans="2:2" x14ac:dyDescent="0.25">
      <c r="B381" s="6"/>
    </row>
    <row r="382" spans="2:2" x14ac:dyDescent="0.25">
      <c r="B382" s="6"/>
    </row>
    <row r="383" spans="2:2" x14ac:dyDescent="0.25">
      <c r="B383" s="6"/>
    </row>
    <row r="384" spans="2:2" x14ac:dyDescent="0.25">
      <c r="B384" s="6"/>
    </row>
    <row r="385" spans="2:2" x14ac:dyDescent="0.25">
      <c r="B385" s="6"/>
    </row>
    <row r="386" spans="2:2" x14ac:dyDescent="0.25">
      <c r="B386" s="6"/>
    </row>
    <row r="387" spans="2:2" x14ac:dyDescent="0.25">
      <c r="B387" s="6"/>
    </row>
    <row r="388" spans="2:2" x14ac:dyDescent="0.25">
      <c r="B388" s="6"/>
    </row>
    <row r="389" spans="2:2" x14ac:dyDescent="0.25">
      <c r="B389" s="6"/>
    </row>
    <row r="390" spans="2:2" x14ac:dyDescent="0.25">
      <c r="B390" s="6"/>
    </row>
    <row r="391" spans="2:2" x14ac:dyDescent="0.25">
      <c r="B391" s="6"/>
    </row>
    <row r="392" spans="2:2" x14ac:dyDescent="0.25">
      <c r="B392" s="6"/>
    </row>
    <row r="393" spans="2:2" x14ac:dyDescent="0.25">
      <c r="B393" s="6"/>
    </row>
    <row r="394" spans="2:2" x14ac:dyDescent="0.25">
      <c r="B394" s="6"/>
    </row>
    <row r="395" spans="2:2" x14ac:dyDescent="0.25">
      <c r="B395" s="6"/>
    </row>
    <row r="396" spans="2:2" x14ac:dyDescent="0.25">
      <c r="B396" s="6"/>
    </row>
    <row r="397" spans="2:2" x14ac:dyDescent="0.25">
      <c r="B397" s="6"/>
    </row>
    <row r="398" spans="2:2" x14ac:dyDescent="0.25">
      <c r="B398" s="6"/>
    </row>
    <row r="399" spans="2:2" x14ac:dyDescent="0.25">
      <c r="B399" s="6"/>
    </row>
    <row r="400" spans="2:2" x14ac:dyDescent="0.25">
      <c r="B400" s="6"/>
    </row>
    <row r="401" spans="2:2" x14ac:dyDescent="0.25">
      <c r="B401" s="6"/>
    </row>
    <row r="402" spans="2:2" x14ac:dyDescent="0.25">
      <c r="B402" s="6"/>
    </row>
    <row r="403" spans="2:2" x14ac:dyDescent="0.25">
      <c r="B403" s="6"/>
    </row>
    <row r="404" spans="2:2" x14ac:dyDescent="0.25">
      <c r="B404" s="6"/>
    </row>
    <row r="405" spans="2:2" x14ac:dyDescent="0.25">
      <c r="B405" s="6"/>
    </row>
    <row r="406" spans="2:2" x14ac:dyDescent="0.25">
      <c r="B406" s="6"/>
    </row>
    <row r="407" spans="2:2" x14ac:dyDescent="0.25">
      <c r="B407" s="6"/>
    </row>
    <row r="408" spans="2:2" x14ac:dyDescent="0.25">
      <c r="B408" s="6"/>
    </row>
    <row r="409" spans="2:2" x14ac:dyDescent="0.25">
      <c r="B409" s="6"/>
    </row>
    <row r="410" spans="2:2" x14ac:dyDescent="0.25">
      <c r="B410" s="6"/>
    </row>
    <row r="411" spans="2:2" x14ac:dyDescent="0.25">
      <c r="B411" s="6"/>
    </row>
    <row r="412" spans="2:2" x14ac:dyDescent="0.25">
      <c r="B412" s="6"/>
    </row>
    <row r="413" spans="2:2" x14ac:dyDescent="0.25">
      <c r="B413" s="6"/>
    </row>
    <row r="414" spans="2:2" x14ac:dyDescent="0.25">
      <c r="B414" s="6"/>
    </row>
    <row r="415" spans="2:2" x14ac:dyDescent="0.25">
      <c r="B415" s="6"/>
    </row>
    <row r="416" spans="2:2" x14ac:dyDescent="0.25">
      <c r="B416" s="6"/>
    </row>
    <row r="417" spans="2:2" x14ac:dyDescent="0.25">
      <c r="B417" s="6"/>
    </row>
    <row r="418" spans="2:2" x14ac:dyDescent="0.25">
      <c r="B418" s="6"/>
    </row>
    <row r="419" spans="2:2" x14ac:dyDescent="0.25">
      <c r="B419" s="6"/>
    </row>
    <row r="420" spans="2:2" x14ac:dyDescent="0.25">
      <c r="B420" s="6"/>
    </row>
    <row r="421" spans="2:2" x14ac:dyDescent="0.25">
      <c r="B421" s="6"/>
    </row>
    <row r="422" spans="2:2" x14ac:dyDescent="0.25">
      <c r="B422" s="6"/>
    </row>
    <row r="423" spans="2:2" x14ac:dyDescent="0.25">
      <c r="B423" s="6"/>
    </row>
    <row r="424" spans="2:2" x14ac:dyDescent="0.25">
      <c r="B424" s="6"/>
    </row>
    <row r="425" spans="2:2" x14ac:dyDescent="0.25">
      <c r="B425" s="6"/>
    </row>
    <row r="426" spans="2:2" x14ac:dyDescent="0.25">
      <c r="B426" s="6"/>
    </row>
    <row r="427" spans="2:2" x14ac:dyDescent="0.25">
      <c r="B427" s="6"/>
    </row>
    <row r="428" spans="2:2" x14ac:dyDescent="0.25">
      <c r="B428" s="6"/>
    </row>
    <row r="429" spans="2:2" x14ac:dyDescent="0.25">
      <c r="B429" s="6"/>
    </row>
    <row r="430" spans="2:2" x14ac:dyDescent="0.25">
      <c r="B430" s="6"/>
    </row>
    <row r="431" spans="2:2" x14ac:dyDescent="0.25">
      <c r="B431" s="6"/>
    </row>
    <row r="432" spans="2:2" x14ac:dyDescent="0.25">
      <c r="B432" s="6"/>
    </row>
    <row r="433" spans="2:2" x14ac:dyDescent="0.25">
      <c r="B433" s="6"/>
    </row>
    <row r="434" spans="2:2" x14ac:dyDescent="0.25">
      <c r="B434" s="6"/>
    </row>
    <row r="435" spans="2:2" x14ac:dyDescent="0.25">
      <c r="B435" s="6"/>
    </row>
    <row r="436" spans="2:2" x14ac:dyDescent="0.25">
      <c r="B436" s="6"/>
    </row>
    <row r="437" spans="2:2" x14ac:dyDescent="0.25">
      <c r="B437" s="6"/>
    </row>
    <row r="438" spans="2:2" x14ac:dyDescent="0.25">
      <c r="B438" s="6"/>
    </row>
    <row r="439" spans="2:2" x14ac:dyDescent="0.25">
      <c r="B439" s="6"/>
    </row>
    <row r="440" spans="2:2" x14ac:dyDescent="0.25">
      <c r="B440" s="6"/>
    </row>
    <row r="441" spans="2:2" x14ac:dyDescent="0.25">
      <c r="B441" s="6"/>
    </row>
    <row r="442" spans="2:2" x14ac:dyDescent="0.25">
      <c r="B442" s="6"/>
    </row>
    <row r="443" spans="2:2" x14ac:dyDescent="0.25">
      <c r="B443" s="6"/>
    </row>
    <row r="444" spans="2:2" x14ac:dyDescent="0.25">
      <c r="B444" s="6"/>
    </row>
    <row r="445" spans="2:2" x14ac:dyDescent="0.25">
      <c r="B445" s="6"/>
    </row>
    <row r="446" spans="2:2" x14ac:dyDescent="0.25">
      <c r="B446" s="6"/>
    </row>
    <row r="447" spans="2:2" x14ac:dyDescent="0.25">
      <c r="B447" s="6"/>
    </row>
    <row r="448" spans="2:2" x14ac:dyDescent="0.25">
      <c r="B448" s="6"/>
    </row>
    <row r="449" spans="2:2" x14ac:dyDescent="0.25">
      <c r="B449" s="6"/>
    </row>
    <row r="450" spans="2:2" x14ac:dyDescent="0.25">
      <c r="B450" s="6"/>
    </row>
    <row r="451" spans="2:2" x14ac:dyDescent="0.25">
      <c r="B451" s="6"/>
    </row>
    <row r="452" spans="2:2" x14ac:dyDescent="0.25">
      <c r="B452" s="6"/>
    </row>
    <row r="453" spans="2:2" x14ac:dyDescent="0.25">
      <c r="B453" s="6"/>
    </row>
    <row r="454" spans="2:2" x14ac:dyDescent="0.25">
      <c r="B454" s="6"/>
    </row>
    <row r="455" spans="2:2" x14ac:dyDescent="0.25">
      <c r="B455" s="6"/>
    </row>
    <row r="456" spans="2:2" x14ac:dyDescent="0.25">
      <c r="B456" s="6"/>
    </row>
    <row r="457" spans="2:2" x14ac:dyDescent="0.25">
      <c r="B457" s="6"/>
    </row>
    <row r="458" spans="2:2" x14ac:dyDescent="0.25">
      <c r="B458" s="6"/>
    </row>
    <row r="459" spans="2:2" x14ac:dyDescent="0.25">
      <c r="B459" s="6"/>
    </row>
    <row r="460" spans="2:2" x14ac:dyDescent="0.25">
      <c r="B460" s="6"/>
    </row>
    <row r="461" spans="2:2" x14ac:dyDescent="0.25">
      <c r="B461" s="6"/>
    </row>
    <row r="462" spans="2:2" x14ac:dyDescent="0.25">
      <c r="B462" s="6"/>
    </row>
    <row r="463" spans="2:2" x14ac:dyDescent="0.25">
      <c r="B463" s="6"/>
    </row>
    <row r="464" spans="2:2" x14ac:dyDescent="0.25">
      <c r="B464" s="6"/>
    </row>
    <row r="465" spans="2:2" x14ac:dyDescent="0.25">
      <c r="B465" s="6"/>
    </row>
    <row r="466" spans="2:2" x14ac:dyDescent="0.25">
      <c r="B466" s="6"/>
    </row>
    <row r="467" spans="2:2" x14ac:dyDescent="0.25">
      <c r="B467" s="6"/>
    </row>
    <row r="468" spans="2:2" x14ac:dyDescent="0.25">
      <c r="B468" s="6"/>
    </row>
    <row r="469" spans="2:2" x14ac:dyDescent="0.25">
      <c r="B469" s="6"/>
    </row>
    <row r="470" spans="2:2" x14ac:dyDescent="0.25">
      <c r="B470" s="6"/>
    </row>
    <row r="471" spans="2:2" x14ac:dyDescent="0.25">
      <c r="B471" s="6"/>
    </row>
    <row r="472" spans="2:2" x14ac:dyDescent="0.25">
      <c r="B472" s="6"/>
    </row>
    <row r="473" spans="2:2" x14ac:dyDescent="0.25">
      <c r="B473" s="6"/>
    </row>
    <row r="474" spans="2:2" x14ac:dyDescent="0.25">
      <c r="B474" s="6"/>
    </row>
    <row r="475" spans="2:2" x14ac:dyDescent="0.25">
      <c r="B475" s="6"/>
    </row>
    <row r="476" spans="2:2" x14ac:dyDescent="0.25">
      <c r="B476" s="6"/>
    </row>
    <row r="477" spans="2:2" x14ac:dyDescent="0.25">
      <c r="B477" s="6"/>
    </row>
    <row r="478" spans="2:2" x14ac:dyDescent="0.25">
      <c r="B478" s="6"/>
    </row>
    <row r="479" spans="2:2" x14ac:dyDescent="0.25">
      <c r="B479" s="6"/>
    </row>
    <row r="480" spans="2:2" x14ac:dyDescent="0.25">
      <c r="B480" s="6"/>
    </row>
    <row r="481" spans="2:2" x14ac:dyDescent="0.25">
      <c r="B481" s="6"/>
    </row>
    <row r="482" spans="2:2" x14ac:dyDescent="0.25">
      <c r="B482" s="6"/>
    </row>
    <row r="483" spans="2:2" x14ac:dyDescent="0.25">
      <c r="B483" s="6"/>
    </row>
    <row r="484" spans="2:2" x14ac:dyDescent="0.25">
      <c r="B484" s="6"/>
    </row>
    <row r="485" spans="2:2" x14ac:dyDescent="0.25">
      <c r="B485" s="6"/>
    </row>
    <row r="486" spans="2:2" x14ac:dyDescent="0.25">
      <c r="B486" s="6"/>
    </row>
    <row r="487" spans="2:2" x14ac:dyDescent="0.25">
      <c r="B487" s="6"/>
    </row>
    <row r="488" spans="2:2" x14ac:dyDescent="0.25">
      <c r="B488" s="6"/>
    </row>
    <row r="489" spans="2:2" x14ac:dyDescent="0.25">
      <c r="B489" s="6"/>
    </row>
    <row r="490" spans="2:2" x14ac:dyDescent="0.25">
      <c r="B490" s="6"/>
    </row>
    <row r="491" spans="2:2" x14ac:dyDescent="0.25">
      <c r="B491" s="6"/>
    </row>
    <row r="492" spans="2:2" x14ac:dyDescent="0.25">
      <c r="B492" s="6"/>
    </row>
    <row r="493" spans="2:2" x14ac:dyDescent="0.25">
      <c r="B493" s="6"/>
    </row>
    <row r="494" spans="2:2" x14ac:dyDescent="0.25">
      <c r="B494" s="6"/>
    </row>
    <row r="495" spans="2:2" x14ac:dyDescent="0.25">
      <c r="B495" s="6"/>
    </row>
    <row r="496" spans="2:2"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6"/>
    </row>
    <row r="532" spans="2:2" x14ac:dyDescent="0.25">
      <c r="B532" s="6"/>
    </row>
    <row r="533" spans="2:2" x14ac:dyDescent="0.25">
      <c r="B533" s="6"/>
    </row>
    <row r="534" spans="2:2" x14ac:dyDescent="0.25">
      <c r="B534" s="6"/>
    </row>
    <row r="535" spans="2:2" x14ac:dyDescent="0.25">
      <c r="B535" s="6"/>
    </row>
    <row r="536" spans="2:2" x14ac:dyDescent="0.25">
      <c r="B536" s="6"/>
    </row>
    <row r="537" spans="2:2" x14ac:dyDescent="0.25">
      <c r="B537" s="6"/>
    </row>
    <row r="538" spans="2:2" x14ac:dyDescent="0.25">
      <c r="B538" s="6"/>
    </row>
    <row r="539" spans="2:2" x14ac:dyDescent="0.25">
      <c r="B539" s="6"/>
    </row>
    <row r="540" spans="2:2" x14ac:dyDescent="0.25">
      <c r="B540" s="6"/>
    </row>
    <row r="541" spans="2:2" x14ac:dyDescent="0.25">
      <c r="B541" s="6"/>
    </row>
    <row r="542" spans="2:2" x14ac:dyDescent="0.25">
      <c r="B542" s="6"/>
    </row>
    <row r="543" spans="2:2" x14ac:dyDescent="0.25">
      <c r="B543" s="6"/>
    </row>
    <row r="544" spans="2:2" x14ac:dyDescent="0.25">
      <c r="B544" s="6"/>
    </row>
    <row r="545" spans="2:2" x14ac:dyDescent="0.25">
      <c r="B545" s="6"/>
    </row>
    <row r="546" spans="2:2" x14ac:dyDescent="0.25">
      <c r="B546" s="6"/>
    </row>
    <row r="547" spans="2:2" x14ac:dyDescent="0.25">
      <c r="B547" s="6"/>
    </row>
    <row r="548" spans="2:2" x14ac:dyDescent="0.25">
      <c r="B548" s="6"/>
    </row>
    <row r="549" spans="2:2" x14ac:dyDescent="0.25">
      <c r="B549" s="6"/>
    </row>
    <row r="550" spans="2:2" x14ac:dyDescent="0.25">
      <c r="B550" s="6"/>
    </row>
    <row r="551" spans="2:2" x14ac:dyDescent="0.25">
      <c r="B551" s="6"/>
    </row>
    <row r="552" spans="2:2" x14ac:dyDescent="0.25">
      <c r="B552" s="6"/>
    </row>
    <row r="553" spans="2:2" x14ac:dyDescent="0.25">
      <c r="B553" s="6"/>
    </row>
    <row r="554" spans="2:2" x14ac:dyDescent="0.25">
      <c r="B554" s="6"/>
    </row>
    <row r="555" spans="2:2" x14ac:dyDescent="0.25">
      <c r="B555" s="6"/>
    </row>
    <row r="556" spans="2:2" x14ac:dyDescent="0.25">
      <c r="B556" s="6"/>
    </row>
    <row r="557" spans="2:2" x14ac:dyDescent="0.25">
      <c r="B557" s="6"/>
    </row>
    <row r="558" spans="2:2" x14ac:dyDescent="0.25">
      <c r="B558" s="6"/>
    </row>
    <row r="559" spans="2:2" x14ac:dyDescent="0.25">
      <c r="B559" s="6"/>
    </row>
    <row r="560" spans="2:2" x14ac:dyDescent="0.25">
      <c r="B560" s="6"/>
    </row>
    <row r="561" spans="2:2" x14ac:dyDescent="0.25">
      <c r="B561" s="6"/>
    </row>
    <row r="562" spans="2:2" x14ac:dyDescent="0.25">
      <c r="B562" s="6"/>
    </row>
    <row r="563" spans="2:2" x14ac:dyDescent="0.25">
      <c r="B563" s="6"/>
    </row>
    <row r="564" spans="2:2" x14ac:dyDescent="0.25">
      <c r="B564" s="6"/>
    </row>
    <row r="565" spans="2:2" x14ac:dyDescent="0.25">
      <c r="B565" s="6"/>
    </row>
    <row r="566" spans="2:2" x14ac:dyDescent="0.25">
      <c r="B566" s="6"/>
    </row>
    <row r="567" spans="2:2" x14ac:dyDescent="0.25">
      <c r="B567" s="6"/>
    </row>
    <row r="568" spans="2:2" x14ac:dyDescent="0.25">
      <c r="B568" s="6"/>
    </row>
    <row r="569" spans="2:2" x14ac:dyDescent="0.25">
      <c r="B569" s="6"/>
    </row>
    <row r="570" spans="2:2" x14ac:dyDescent="0.25">
      <c r="B570" s="6"/>
    </row>
    <row r="571" spans="2:2" x14ac:dyDescent="0.25">
      <c r="B571" s="6"/>
    </row>
    <row r="572" spans="2:2" x14ac:dyDescent="0.25">
      <c r="B572" s="6"/>
    </row>
    <row r="573" spans="2:2" x14ac:dyDescent="0.25">
      <c r="B573" s="6"/>
    </row>
    <row r="574" spans="2:2" x14ac:dyDescent="0.25">
      <c r="B574" s="6"/>
    </row>
    <row r="575" spans="2:2" x14ac:dyDescent="0.25">
      <c r="B575" s="6"/>
    </row>
    <row r="576" spans="2:2" x14ac:dyDescent="0.25">
      <c r="B576" s="6"/>
    </row>
    <row r="577" spans="2:2" x14ac:dyDescent="0.25">
      <c r="B577" s="6"/>
    </row>
    <row r="578" spans="2:2" x14ac:dyDescent="0.25">
      <c r="B578" s="6"/>
    </row>
    <row r="579" spans="2:2" x14ac:dyDescent="0.25">
      <c r="B579" s="6"/>
    </row>
    <row r="580" spans="2:2" x14ac:dyDescent="0.25">
      <c r="B580" s="6"/>
    </row>
    <row r="581" spans="2:2" x14ac:dyDescent="0.25">
      <c r="B581" s="6"/>
    </row>
    <row r="582" spans="2:2" x14ac:dyDescent="0.25">
      <c r="B582" s="6"/>
    </row>
    <row r="583" spans="2:2" x14ac:dyDescent="0.25">
      <c r="B583" s="6"/>
    </row>
    <row r="584" spans="2:2" x14ac:dyDescent="0.25">
      <c r="B584" s="6"/>
    </row>
    <row r="585" spans="2:2" x14ac:dyDescent="0.25">
      <c r="B585" s="6"/>
    </row>
    <row r="586" spans="2:2" x14ac:dyDescent="0.25">
      <c r="B586" s="6"/>
    </row>
    <row r="587" spans="2:2" x14ac:dyDescent="0.25">
      <c r="B587" s="6"/>
    </row>
    <row r="588" spans="2:2" x14ac:dyDescent="0.25">
      <c r="B588" s="6"/>
    </row>
    <row r="589" spans="2:2" x14ac:dyDescent="0.25">
      <c r="B589" s="6"/>
    </row>
    <row r="590" spans="2:2" x14ac:dyDescent="0.25">
      <c r="B590" s="6"/>
    </row>
    <row r="591" spans="2:2" x14ac:dyDescent="0.25">
      <c r="B591" s="6"/>
    </row>
    <row r="592" spans="2:2" x14ac:dyDescent="0.25">
      <c r="B592" s="6"/>
    </row>
    <row r="593" spans="2:2" x14ac:dyDescent="0.25">
      <c r="B593" s="6"/>
    </row>
    <row r="594" spans="2:2" x14ac:dyDescent="0.25">
      <c r="B594" s="6"/>
    </row>
    <row r="595" spans="2:2" x14ac:dyDescent="0.25">
      <c r="B595" s="6"/>
    </row>
    <row r="596" spans="2:2" x14ac:dyDescent="0.25">
      <c r="B596" s="6"/>
    </row>
    <row r="597" spans="2:2" x14ac:dyDescent="0.25">
      <c r="B597" s="6"/>
    </row>
    <row r="598" spans="2:2" x14ac:dyDescent="0.25">
      <c r="B598" s="6"/>
    </row>
    <row r="599" spans="2:2" x14ac:dyDescent="0.25">
      <c r="B599" s="6"/>
    </row>
    <row r="600" spans="2:2" x14ac:dyDescent="0.25">
      <c r="B600" s="6"/>
    </row>
    <row r="601" spans="2:2" x14ac:dyDescent="0.25">
      <c r="B601" s="6"/>
    </row>
    <row r="602" spans="2:2" x14ac:dyDescent="0.25">
      <c r="B602" s="6"/>
    </row>
    <row r="603" spans="2:2" x14ac:dyDescent="0.25">
      <c r="B603" s="6"/>
    </row>
    <row r="604" spans="2:2" x14ac:dyDescent="0.25">
      <c r="B604" s="6"/>
    </row>
    <row r="605" spans="2:2" x14ac:dyDescent="0.25">
      <c r="B605" s="6"/>
    </row>
    <row r="606" spans="2:2" x14ac:dyDescent="0.25">
      <c r="B606" s="6"/>
    </row>
    <row r="607" spans="2:2" x14ac:dyDescent="0.25">
      <c r="B607" s="6"/>
    </row>
    <row r="608" spans="2:2" x14ac:dyDescent="0.25">
      <c r="B608" s="6"/>
    </row>
    <row r="609" spans="2:2" x14ac:dyDescent="0.25">
      <c r="B609" s="6"/>
    </row>
    <row r="610" spans="2:2" x14ac:dyDescent="0.25">
      <c r="B610" s="6"/>
    </row>
    <row r="611" spans="2:2" x14ac:dyDescent="0.25">
      <c r="B611" s="6"/>
    </row>
    <row r="612" spans="2:2" x14ac:dyDescent="0.25">
      <c r="B612" s="6"/>
    </row>
    <row r="613" spans="2:2" x14ac:dyDescent="0.25">
      <c r="B613" s="6"/>
    </row>
    <row r="614" spans="2:2" x14ac:dyDescent="0.25">
      <c r="B614" s="6"/>
    </row>
    <row r="615" spans="2:2" x14ac:dyDescent="0.25">
      <c r="B615" s="6"/>
    </row>
    <row r="616" spans="2:2" x14ac:dyDescent="0.25">
      <c r="B616" s="6"/>
    </row>
    <row r="617" spans="2:2" x14ac:dyDescent="0.25">
      <c r="B617" s="6"/>
    </row>
    <row r="618" spans="2:2" x14ac:dyDescent="0.25">
      <c r="B618" s="6"/>
    </row>
    <row r="619" spans="2:2" x14ac:dyDescent="0.25">
      <c r="B619" s="6"/>
    </row>
    <row r="620" spans="2:2" x14ac:dyDescent="0.25">
      <c r="B620" s="6"/>
    </row>
    <row r="621" spans="2:2" x14ac:dyDescent="0.25">
      <c r="B621" s="6"/>
    </row>
    <row r="622" spans="2:2" x14ac:dyDescent="0.25">
      <c r="B622" s="6"/>
    </row>
    <row r="623" spans="2:2" x14ac:dyDescent="0.25">
      <c r="B623" s="6"/>
    </row>
    <row r="624" spans="2:2" x14ac:dyDescent="0.25">
      <c r="B624" s="6"/>
    </row>
    <row r="625" spans="2:2" x14ac:dyDescent="0.25">
      <c r="B625" s="6"/>
    </row>
    <row r="626" spans="2:2" x14ac:dyDescent="0.25">
      <c r="B626" s="6"/>
    </row>
    <row r="627" spans="2:2" x14ac:dyDescent="0.25">
      <c r="B627" s="6"/>
    </row>
    <row r="628" spans="2:2" x14ac:dyDescent="0.25">
      <c r="B628" s="6"/>
    </row>
    <row r="629" spans="2:2" x14ac:dyDescent="0.25">
      <c r="B629" s="6"/>
    </row>
    <row r="630" spans="2:2" x14ac:dyDescent="0.25">
      <c r="B630" s="6"/>
    </row>
    <row r="631" spans="2:2" x14ac:dyDescent="0.25">
      <c r="B631" s="6"/>
    </row>
    <row r="632" spans="2:2" x14ac:dyDescent="0.25">
      <c r="B632" s="6"/>
    </row>
    <row r="633" spans="2:2" x14ac:dyDescent="0.25">
      <c r="B633" s="6"/>
    </row>
    <row r="634" spans="2:2" x14ac:dyDescent="0.25">
      <c r="B634" s="6"/>
    </row>
    <row r="635" spans="2:2" x14ac:dyDescent="0.25">
      <c r="B635" s="6"/>
    </row>
    <row r="636" spans="2:2" x14ac:dyDescent="0.25">
      <c r="B636" s="6"/>
    </row>
    <row r="637" spans="2:2" x14ac:dyDescent="0.25">
      <c r="B637" s="6"/>
    </row>
    <row r="638" spans="2:2" x14ac:dyDescent="0.25">
      <c r="B638" s="6"/>
    </row>
    <row r="639" spans="2:2" x14ac:dyDescent="0.25">
      <c r="B639" s="6"/>
    </row>
    <row r="640" spans="2:2" x14ac:dyDescent="0.25">
      <c r="B640" s="6"/>
    </row>
    <row r="641" spans="2:2" x14ac:dyDescent="0.25">
      <c r="B641" s="6"/>
    </row>
    <row r="642" spans="2:2" x14ac:dyDescent="0.25">
      <c r="B642" s="6"/>
    </row>
    <row r="643" spans="2:2" x14ac:dyDescent="0.25">
      <c r="B643" s="6"/>
    </row>
    <row r="644" spans="2:2" x14ac:dyDescent="0.25">
      <c r="B644" s="6"/>
    </row>
    <row r="645" spans="2:2" x14ac:dyDescent="0.25">
      <c r="B645" s="6"/>
    </row>
    <row r="646" spans="2:2" x14ac:dyDescent="0.25">
      <c r="B646" s="6"/>
    </row>
    <row r="647" spans="2:2" x14ac:dyDescent="0.25">
      <c r="B647" s="6"/>
    </row>
    <row r="648" spans="2:2" x14ac:dyDescent="0.25">
      <c r="B648" s="6"/>
    </row>
    <row r="649" spans="2:2" x14ac:dyDescent="0.25">
      <c r="B649" s="6"/>
    </row>
    <row r="650" spans="2:2" x14ac:dyDescent="0.25">
      <c r="B650" s="6"/>
    </row>
    <row r="651" spans="2:2" x14ac:dyDescent="0.25">
      <c r="B651" s="6"/>
    </row>
    <row r="652" spans="2:2" x14ac:dyDescent="0.25">
      <c r="B652" s="6"/>
    </row>
    <row r="653" spans="2:2" x14ac:dyDescent="0.25">
      <c r="B653" s="6"/>
    </row>
    <row r="654" spans="2:2" x14ac:dyDescent="0.25">
      <c r="B654" s="6"/>
    </row>
    <row r="655" spans="2:2" x14ac:dyDescent="0.25">
      <c r="B655" s="6"/>
    </row>
    <row r="656" spans="2:2" x14ac:dyDescent="0.25">
      <c r="B656" s="6"/>
    </row>
    <row r="657" spans="2:2" x14ac:dyDescent="0.25">
      <c r="B657" s="6"/>
    </row>
    <row r="658" spans="2:2" x14ac:dyDescent="0.25">
      <c r="B658" s="6"/>
    </row>
    <row r="659" spans="2:2" x14ac:dyDescent="0.25">
      <c r="B659" s="6"/>
    </row>
    <row r="660" spans="2:2" x14ac:dyDescent="0.25">
      <c r="B660" s="6"/>
    </row>
    <row r="661" spans="2:2" x14ac:dyDescent="0.25">
      <c r="B661" s="6"/>
    </row>
    <row r="662" spans="2:2" x14ac:dyDescent="0.25">
      <c r="B662" s="6"/>
    </row>
    <row r="663" spans="2:2" x14ac:dyDescent="0.25">
      <c r="B663" s="6"/>
    </row>
    <row r="664" spans="2:2" x14ac:dyDescent="0.25">
      <c r="B664" s="6"/>
    </row>
    <row r="665" spans="2:2" x14ac:dyDescent="0.25">
      <c r="B665" s="6"/>
    </row>
    <row r="666" spans="2:2" x14ac:dyDescent="0.25">
      <c r="B666" s="6"/>
    </row>
    <row r="667" spans="2:2" x14ac:dyDescent="0.25">
      <c r="B667" s="6"/>
    </row>
    <row r="668" spans="2:2" x14ac:dyDescent="0.25">
      <c r="B668" s="6"/>
    </row>
    <row r="669" spans="2:2" x14ac:dyDescent="0.25">
      <c r="B669" s="6"/>
    </row>
    <row r="670" spans="2:2" x14ac:dyDescent="0.25">
      <c r="B670" s="6"/>
    </row>
    <row r="671" spans="2:2" x14ac:dyDescent="0.25">
      <c r="B671" s="6"/>
    </row>
    <row r="672" spans="2:2" x14ac:dyDescent="0.25">
      <c r="B672" s="6"/>
    </row>
    <row r="673" spans="2:2" x14ac:dyDescent="0.25">
      <c r="B673" s="6"/>
    </row>
    <row r="674" spans="2:2" x14ac:dyDescent="0.25">
      <c r="B674" s="6"/>
    </row>
    <row r="675" spans="2:2" x14ac:dyDescent="0.25">
      <c r="B675" s="6"/>
    </row>
    <row r="676" spans="2:2" x14ac:dyDescent="0.25">
      <c r="B676" s="6"/>
    </row>
    <row r="677" spans="2:2" x14ac:dyDescent="0.25">
      <c r="B677" s="6"/>
    </row>
    <row r="678" spans="2:2" x14ac:dyDescent="0.25">
      <c r="B678" s="6"/>
    </row>
    <row r="679" spans="2:2" x14ac:dyDescent="0.25">
      <c r="B679" s="6"/>
    </row>
    <row r="680" spans="2:2" x14ac:dyDescent="0.25">
      <c r="B680" s="6"/>
    </row>
    <row r="681" spans="2:2" x14ac:dyDescent="0.25">
      <c r="B681" s="6"/>
    </row>
    <row r="682" spans="2:2" x14ac:dyDescent="0.25">
      <c r="B682" s="6"/>
    </row>
    <row r="683" spans="2:2" x14ac:dyDescent="0.25">
      <c r="B683" s="6"/>
    </row>
    <row r="684" spans="2:2" x14ac:dyDescent="0.25">
      <c r="B684" s="6"/>
    </row>
    <row r="685" spans="2:2" x14ac:dyDescent="0.25">
      <c r="B685" s="6"/>
    </row>
    <row r="686" spans="2:2" x14ac:dyDescent="0.25">
      <c r="B686" s="6"/>
    </row>
    <row r="687" spans="2:2" x14ac:dyDescent="0.25">
      <c r="B687" s="6"/>
    </row>
    <row r="688" spans="2:2" x14ac:dyDescent="0.25">
      <c r="B688" s="6"/>
    </row>
    <row r="689" spans="2:2" x14ac:dyDescent="0.25">
      <c r="B689" s="6"/>
    </row>
    <row r="690" spans="2:2" x14ac:dyDescent="0.25">
      <c r="B690" s="6"/>
    </row>
    <row r="691" spans="2:2" x14ac:dyDescent="0.25">
      <c r="B691" s="6"/>
    </row>
    <row r="692" spans="2:2" x14ac:dyDescent="0.25">
      <c r="B692" s="6"/>
    </row>
    <row r="693" spans="2:2" x14ac:dyDescent="0.25">
      <c r="B693" s="6"/>
    </row>
    <row r="694" spans="2:2" x14ac:dyDescent="0.25">
      <c r="B694" s="6"/>
    </row>
    <row r="695" spans="2:2" x14ac:dyDescent="0.25">
      <c r="B695" s="6"/>
    </row>
    <row r="696" spans="2:2" x14ac:dyDescent="0.25">
      <c r="B696" s="6"/>
    </row>
    <row r="697" spans="2:2" x14ac:dyDescent="0.25">
      <c r="B697" s="6"/>
    </row>
    <row r="698" spans="2:2" x14ac:dyDescent="0.25">
      <c r="B698" s="6"/>
    </row>
    <row r="699" spans="2:2" x14ac:dyDescent="0.25">
      <c r="B699" s="6"/>
    </row>
    <row r="700" spans="2:2" x14ac:dyDescent="0.25">
      <c r="B700" s="6"/>
    </row>
    <row r="701" spans="2:2" x14ac:dyDescent="0.25">
      <c r="B701" s="6"/>
    </row>
    <row r="702" spans="2:2" x14ac:dyDescent="0.25">
      <c r="B702" s="6"/>
    </row>
    <row r="703" spans="2:2" x14ac:dyDescent="0.25">
      <c r="B703" s="6"/>
    </row>
    <row r="704" spans="2:2" x14ac:dyDescent="0.25">
      <c r="B704" s="6"/>
    </row>
    <row r="705" spans="2:2" x14ac:dyDescent="0.25">
      <c r="B705" s="6"/>
    </row>
    <row r="706" spans="2:2" x14ac:dyDescent="0.25">
      <c r="B706" s="6"/>
    </row>
    <row r="707" spans="2:2" x14ac:dyDescent="0.25">
      <c r="B707" s="6"/>
    </row>
    <row r="708" spans="2:2" x14ac:dyDescent="0.25">
      <c r="B708" s="6"/>
    </row>
    <row r="709" spans="2:2" x14ac:dyDescent="0.25">
      <c r="B709" s="6"/>
    </row>
    <row r="710" spans="2:2" x14ac:dyDescent="0.25">
      <c r="B710" s="6"/>
    </row>
    <row r="711" spans="2:2" x14ac:dyDescent="0.25">
      <c r="B711" s="6"/>
    </row>
    <row r="712" spans="2:2" x14ac:dyDescent="0.25">
      <c r="B712" s="6"/>
    </row>
    <row r="713" spans="2:2" x14ac:dyDescent="0.25">
      <c r="B713" s="6"/>
    </row>
    <row r="714" spans="2:2" x14ac:dyDescent="0.25">
      <c r="B714" s="6"/>
    </row>
    <row r="715" spans="2:2" x14ac:dyDescent="0.25">
      <c r="B715" s="6"/>
    </row>
    <row r="716" spans="2:2" x14ac:dyDescent="0.25">
      <c r="B716" s="6"/>
    </row>
    <row r="717" spans="2:2" x14ac:dyDescent="0.25">
      <c r="B717" s="6"/>
    </row>
    <row r="718" spans="2:2" x14ac:dyDescent="0.25">
      <c r="B718" s="6"/>
    </row>
    <row r="719" spans="2:2" x14ac:dyDescent="0.25">
      <c r="B719" s="6"/>
    </row>
    <row r="720" spans="2:2" x14ac:dyDescent="0.25">
      <c r="B720" s="6"/>
    </row>
    <row r="721" spans="2:2" x14ac:dyDescent="0.25">
      <c r="B721" s="6"/>
    </row>
    <row r="722" spans="2:2" x14ac:dyDescent="0.25">
      <c r="B722" s="6"/>
    </row>
    <row r="723" spans="2:2" x14ac:dyDescent="0.25">
      <c r="B723" s="6"/>
    </row>
    <row r="724" spans="2:2" x14ac:dyDescent="0.25">
      <c r="B724" s="6"/>
    </row>
    <row r="725" spans="2:2" x14ac:dyDescent="0.25">
      <c r="B725" s="6"/>
    </row>
    <row r="726" spans="2:2" x14ac:dyDescent="0.25">
      <c r="B726" s="6"/>
    </row>
    <row r="727" spans="2:2" x14ac:dyDescent="0.25">
      <c r="B727" s="6"/>
    </row>
    <row r="728" spans="2:2" x14ac:dyDescent="0.25">
      <c r="B728" s="6"/>
    </row>
    <row r="729" spans="2:2" x14ac:dyDescent="0.25">
      <c r="B729" s="6"/>
    </row>
    <row r="730" spans="2:2" x14ac:dyDescent="0.25">
      <c r="B730" s="6"/>
    </row>
    <row r="731" spans="2:2" x14ac:dyDescent="0.25">
      <c r="B731" s="6"/>
    </row>
    <row r="732" spans="2:2" x14ac:dyDescent="0.25">
      <c r="B732" s="6"/>
    </row>
    <row r="733" spans="2:2" x14ac:dyDescent="0.25">
      <c r="B733" s="6"/>
    </row>
    <row r="734" spans="2:2" x14ac:dyDescent="0.25">
      <c r="B734" s="6"/>
    </row>
    <row r="735" spans="2:2" x14ac:dyDescent="0.25">
      <c r="B735" s="6"/>
    </row>
    <row r="736" spans="2:2" x14ac:dyDescent="0.25">
      <c r="B736" s="6"/>
    </row>
    <row r="737" spans="2:2" x14ac:dyDescent="0.25">
      <c r="B737" s="6"/>
    </row>
    <row r="738" spans="2:2" x14ac:dyDescent="0.25">
      <c r="B738" s="6"/>
    </row>
    <row r="739" spans="2:2" x14ac:dyDescent="0.25">
      <c r="B739" s="6"/>
    </row>
    <row r="740" spans="2:2" x14ac:dyDescent="0.25">
      <c r="B740" s="6"/>
    </row>
    <row r="741" spans="2:2" x14ac:dyDescent="0.25">
      <c r="B741" s="6"/>
    </row>
    <row r="742" spans="2:2" x14ac:dyDescent="0.25">
      <c r="B742" s="6"/>
    </row>
    <row r="743" spans="2:2" x14ac:dyDescent="0.25">
      <c r="B743" s="6"/>
    </row>
    <row r="744" spans="2:2" x14ac:dyDescent="0.25">
      <c r="B744" s="6"/>
    </row>
    <row r="745" spans="2:2" x14ac:dyDescent="0.25">
      <c r="B745" s="6"/>
    </row>
    <row r="746" spans="2:2" x14ac:dyDescent="0.25">
      <c r="B746" s="6"/>
    </row>
    <row r="747" spans="2:2" x14ac:dyDescent="0.25">
      <c r="B747" s="6"/>
    </row>
    <row r="748" spans="2:2" x14ac:dyDescent="0.25">
      <c r="B748" s="6"/>
    </row>
    <row r="749" spans="2:2" x14ac:dyDescent="0.25">
      <c r="B749" s="6"/>
    </row>
    <row r="750" spans="2:2" x14ac:dyDescent="0.25">
      <c r="B750" s="6"/>
    </row>
    <row r="751" spans="2:2" x14ac:dyDescent="0.25">
      <c r="B751" s="6"/>
    </row>
    <row r="752" spans="2:2" x14ac:dyDescent="0.25">
      <c r="B752" s="6"/>
    </row>
    <row r="753" spans="2:2" x14ac:dyDescent="0.25">
      <c r="B753" s="6"/>
    </row>
    <row r="754" spans="2:2" x14ac:dyDescent="0.25">
      <c r="B754" s="6"/>
    </row>
    <row r="755" spans="2:2" x14ac:dyDescent="0.25">
      <c r="B755" s="6"/>
    </row>
    <row r="756" spans="2:2" x14ac:dyDescent="0.25">
      <c r="B756" s="6"/>
    </row>
    <row r="757" spans="2:2" x14ac:dyDescent="0.25">
      <c r="B757" s="6"/>
    </row>
    <row r="758" spans="2:2" x14ac:dyDescent="0.25">
      <c r="B758" s="6"/>
    </row>
    <row r="759" spans="2:2" x14ac:dyDescent="0.25">
      <c r="B759" s="6"/>
    </row>
    <row r="760" spans="2:2" x14ac:dyDescent="0.25">
      <c r="B760" s="6"/>
    </row>
    <row r="761" spans="2:2" x14ac:dyDescent="0.25">
      <c r="B761" s="6"/>
    </row>
    <row r="762" spans="2:2" x14ac:dyDescent="0.25">
      <c r="B762" s="6"/>
    </row>
    <row r="763" spans="2:2" x14ac:dyDescent="0.25">
      <c r="B763" s="6"/>
    </row>
    <row r="764" spans="2:2" x14ac:dyDescent="0.25">
      <c r="B764" s="6"/>
    </row>
    <row r="765" spans="2:2" x14ac:dyDescent="0.25">
      <c r="B765" s="6"/>
    </row>
    <row r="766" spans="2:2" x14ac:dyDescent="0.25">
      <c r="B766" s="6"/>
    </row>
    <row r="767" spans="2:2" x14ac:dyDescent="0.25">
      <c r="B767" s="6"/>
    </row>
    <row r="768" spans="2:2" x14ac:dyDescent="0.25">
      <c r="B768" s="6"/>
    </row>
    <row r="769" spans="2:2" x14ac:dyDescent="0.25">
      <c r="B769" s="6"/>
    </row>
    <row r="770" spans="2:2" x14ac:dyDescent="0.25">
      <c r="B770" s="6"/>
    </row>
    <row r="771" spans="2:2" x14ac:dyDescent="0.25">
      <c r="B771" s="6"/>
    </row>
    <row r="772" spans="2:2" x14ac:dyDescent="0.25">
      <c r="B772" s="6"/>
    </row>
    <row r="773" spans="2:2" x14ac:dyDescent="0.25">
      <c r="B773" s="6"/>
    </row>
    <row r="774" spans="2:2" x14ac:dyDescent="0.25">
      <c r="B774" s="6"/>
    </row>
    <row r="775" spans="2:2" x14ac:dyDescent="0.25">
      <c r="B775" s="6"/>
    </row>
    <row r="776" spans="2:2" x14ac:dyDescent="0.25">
      <c r="B776" s="6"/>
    </row>
    <row r="777" spans="2:2" x14ac:dyDescent="0.25">
      <c r="B777" s="6"/>
    </row>
    <row r="778" spans="2:2" x14ac:dyDescent="0.25">
      <c r="B778" s="6"/>
    </row>
    <row r="779" spans="2:2" x14ac:dyDescent="0.25">
      <c r="B779" s="6"/>
    </row>
    <row r="780" spans="2:2" x14ac:dyDescent="0.25">
      <c r="B780" s="6"/>
    </row>
    <row r="781" spans="2:2" x14ac:dyDescent="0.25">
      <c r="B781" s="6"/>
    </row>
    <row r="782" spans="2:2" x14ac:dyDescent="0.25">
      <c r="B782" s="6"/>
    </row>
    <row r="783" spans="2:2" x14ac:dyDescent="0.25">
      <c r="B783" s="6"/>
    </row>
    <row r="784" spans="2:2" x14ac:dyDescent="0.25">
      <c r="B784" s="6"/>
    </row>
    <row r="785" spans="2:2" x14ac:dyDescent="0.25">
      <c r="B785" s="6"/>
    </row>
    <row r="786" spans="2:2" x14ac:dyDescent="0.25">
      <c r="B786" s="6"/>
    </row>
    <row r="787" spans="2:2" x14ac:dyDescent="0.25">
      <c r="B787" s="6"/>
    </row>
    <row r="788" spans="2:2" x14ac:dyDescent="0.25">
      <c r="B788" s="6"/>
    </row>
    <row r="789" spans="2:2" x14ac:dyDescent="0.25">
      <c r="B789" s="6"/>
    </row>
    <row r="790" spans="2:2" x14ac:dyDescent="0.25">
      <c r="B790" s="6"/>
    </row>
    <row r="791" spans="2:2" x14ac:dyDescent="0.25">
      <c r="B791" s="6"/>
    </row>
    <row r="792" spans="2:2" x14ac:dyDescent="0.25">
      <c r="B792" s="6"/>
    </row>
    <row r="793" spans="2:2" x14ac:dyDescent="0.25">
      <c r="B793" s="6"/>
    </row>
    <row r="794" spans="2:2" x14ac:dyDescent="0.25">
      <c r="B794" s="6"/>
    </row>
    <row r="795" spans="2:2" x14ac:dyDescent="0.25">
      <c r="B795" s="6"/>
    </row>
    <row r="796" spans="2:2" x14ac:dyDescent="0.25">
      <c r="B796" s="6"/>
    </row>
    <row r="797" spans="2:2" x14ac:dyDescent="0.25">
      <c r="B797" s="6"/>
    </row>
    <row r="798" spans="2:2" x14ac:dyDescent="0.25">
      <c r="B798" s="6"/>
    </row>
    <row r="799" spans="2:2" x14ac:dyDescent="0.25">
      <c r="B799" s="6"/>
    </row>
    <row r="800" spans="2:2" x14ac:dyDescent="0.25">
      <c r="B800" s="6"/>
    </row>
    <row r="801" spans="2:2" x14ac:dyDescent="0.25">
      <c r="B801" s="6"/>
    </row>
    <row r="802" spans="2:2" x14ac:dyDescent="0.25">
      <c r="B802" s="6"/>
    </row>
    <row r="803" spans="2:2" x14ac:dyDescent="0.25">
      <c r="B803" s="6"/>
    </row>
    <row r="804" spans="2:2" x14ac:dyDescent="0.25">
      <c r="B804" s="6"/>
    </row>
    <row r="805" spans="2:2" x14ac:dyDescent="0.25">
      <c r="B805" s="6"/>
    </row>
    <row r="806" spans="2:2" x14ac:dyDescent="0.25">
      <c r="B806" s="6"/>
    </row>
    <row r="807" spans="2:2" x14ac:dyDescent="0.25">
      <c r="B807" s="6"/>
    </row>
    <row r="808" spans="2:2" x14ac:dyDescent="0.25">
      <c r="B808" s="6"/>
    </row>
    <row r="809" spans="2:2" x14ac:dyDescent="0.25">
      <c r="B809" s="6"/>
    </row>
    <row r="810" spans="2:2" x14ac:dyDescent="0.25">
      <c r="B810" s="6"/>
    </row>
    <row r="811" spans="2:2" x14ac:dyDescent="0.25">
      <c r="B811" s="6"/>
    </row>
    <row r="812" spans="2:2" x14ac:dyDescent="0.25">
      <c r="B812" s="6"/>
    </row>
    <row r="813" spans="2:2" x14ac:dyDescent="0.25">
      <c r="B813" s="6"/>
    </row>
    <row r="814" spans="2:2" x14ac:dyDescent="0.25">
      <c r="B814" s="6"/>
    </row>
    <row r="815" spans="2:2" x14ac:dyDescent="0.25">
      <c r="B815" s="6"/>
    </row>
    <row r="816" spans="2:2" x14ac:dyDescent="0.25">
      <c r="B816" s="6"/>
    </row>
    <row r="817" spans="2:2" x14ac:dyDescent="0.25">
      <c r="B817" s="6"/>
    </row>
    <row r="818" spans="2:2" x14ac:dyDescent="0.25">
      <c r="B818" s="6"/>
    </row>
    <row r="819" spans="2:2" x14ac:dyDescent="0.25">
      <c r="B819" s="6"/>
    </row>
    <row r="820" spans="2:2" x14ac:dyDescent="0.25">
      <c r="B820" s="6"/>
    </row>
    <row r="821" spans="2:2" x14ac:dyDescent="0.25">
      <c r="B821" s="6"/>
    </row>
    <row r="822" spans="2:2" x14ac:dyDescent="0.25">
      <c r="B822" s="6"/>
    </row>
    <row r="823" spans="2:2" x14ac:dyDescent="0.25">
      <c r="B823" s="6"/>
    </row>
    <row r="824" spans="2:2" x14ac:dyDescent="0.25">
      <c r="B824" s="6"/>
    </row>
    <row r="825" spans="2:2" x14ac:dyDescent="0.25">
      <c r="B825" s="6"/>
    </row>
    <row r="826" spans="2:2" x14ac:dyDescent="0.25">
      <c r="B826" s="6"/>
    </row>
    <row r="827" spans="2:2" x14ac:dyDescent="0.25">
      <c r="B827" s="6"/>
    </row>
    <row r="828" spans="2:2" x14ac:dyDescent="0.25">
      <c r="B828" s="6"/>
    </row>
    <row r="829" spans="2:2" x14ac:dyDescent="0.25">
      <c r="B829" s="6"/>
    </row>
    <row r="830" spans="2:2" x14ac:dyDescent="0.25">
      <c r="B830" s="6"/>
    </row>
    <row r="831" spans="2:2" x14ac:dyDescent="0.25">
      <c r="B831" s="6"/>
    </row>
    <row r="832" spans="2:2" x14ac:dyDescent="0.25">
      <c r="B832" s="6"/>
    </row>
    <row r="833" spans="2:2" x14ac:dyDescent="0.25">
      <c r="B833" s="6"/>
    </row>
    <row r="834" spans="2:2" x14ac:dyDescent="0.25">
      <c r="B834" s="6"/>
    </row>
    <row r="835" spans="2:2" x14ac:dyDescent="0.25">
      <c r="B835" s="6"/>
    </row>
    <row r="836" spans="2:2" x14ac:dyDescent="0.25">
      <c r="B836" s="6"/>
    </row>
    <row r="837" spans="2:2" x14ac:dyDescent="0.25">
      <c r="B837" s="6"/>
    </row>
    <row r="838" spans="2:2" x14ac:dyDescent="0.25">
      <c r="B838" s="6"/>
    </row>
    <row r="839" spans="2:2" x14ac:dyDescent="0.25">
      <c r="B839" s="6"/>
    </row>
    <row r="840" spans="2:2" x14ac:dyDescent="0.25">
      <c r="B840" s="6"/>
    </row>
    <row r="841" spans="2:2" x14ac:dyDescent="0.25">
      <c r="B841" s="6"/>
    </row>
    <row r="842" spans="2:2" x14ac:dyDescent="0.25">
      <c r="B842" s="6"/>
    </row>
    <row r="843" spans="2:2" x14ac:dyDescent="0.25">
      <c r="B843" s="6"/>
    </row>
    <row r="844" spans="2:2" x14ac:dyDescent="0.25">
      <c r="B844" s="6"/>
    </row>
    <row r="845" spans="2:2" x14ac:dyDescent="0.25">
      <c r="B845" s="6"/>
    </row>
    <row r="846" spans="2:2" x14ac:dyDescent="0.25">
      <c r="B846" s="6"/>
    </row>
    <row r="847" spans="2:2" x14ac:dyDescent="0.25">
      <c r="B847" s="6"/>
    </row>
    <row r="848" spans="2:2" x14ac:dyDescent="0.25">
      <c r="B848" s="6"/>
    </row>
    <row r="849" spans="2:2" x14ac:dyDescent="0.25">
      <c r="B849" s="6"/>
    </row>
    <row r="850" spans="2:2" x14ac:dyDescent="0.25">
      <c r="B850" s="6"/>
    </row>
    <row r="851" spans="2:2" x14ac:dyDescent="0.25">
      <c r="B851" s="6"/>
    </row>
    <row r="852" spans="2:2" x14ac:dyDescent="0.25">
      <c r="B852" s="6"/>
    </row>
    <row r="853" spans="2:2" x14ac:dyDescent="0.25">
      <c r="B853" s="6"/>
    </row>
    <row r="854" spans="2:2" x14ac:dyDescent="0.25">
      <c r="B854" s="6"/>
    </row>
    <row r="855" spans="2:2" x14ac:dyDescent="0.25">
      <c r="B855" s="6"/>
    </row>
    <row r="856" spans="2:2" x14ac:dyDescent="0.25">
      <c r="B856" s="6"/>
    </row>
    <row r="857" spans="2:2" x14ac:dyDescent="0.25">
      <c r="B857" s="6"/>
    </row>
    <row r="858" spans="2:2" x14ac:dyDescent="0.25">
      <c r="B858" s="6"/>
    </row>
    <row r="859" spans="2:2" x14ac:dyDescent="0.25">
      <c r="B859" s="6"/>
    </row>
    <row r="860" spans="2:2" x14ac:dyDescent="0.25">
      <c r="B860" s="6"/>
    </row>
    <row r="861" spans="2:2" x14ac:dyDescent="0.25">
      <c r="B861" s="6"/>
    </row>
    <row r="862" spans="2:2" x14ac:dyDescent="0.25">
      <c r="B862" s="6"/>
    </row>
    <row r="863" spans="2:2" x14ac:dyDescent="0.25">
      <c r="B863" s="6"/>
    </row>
    <row r="864" spans="2:2" x14ac:dyDescent="0.25">
      <c r="B864" s="6"/>
    </row>
    <row r="865" spans="2:2" x14ac:dyDescent="0.25">
      <c r="B865" s="6"/>
    </row>
    <row r="866" spans="2:2" x14ac:dyDescent="0.25">
      <c r="B866" s="6"/>
    </row>
    <row r="867" spans="2:2" x14ac:dyDescent="0.25">
      <c r="B867" s="6"/>
    </row>
    <row r="868" spans="2:2" x14ac:dyDescent="0.25">
      <c r="B868" s="6"/>
    </row>
    <row r="869" spans="2:2" x14ac:dyDescent="0.25">
      <c r="B869" s="6"/>
    </row>
    <row r="870" spans="2:2" x14ac:dyDescent="0.25">
      <c r="B870" s="6"/>
    </row>
    <row r="871" spans="2:2" x14ac:dyDescent="0.25">
      <c r="B871" s="6"/>
    </row>
    <row r="872" spans="2:2" x14ac:dyDescent="0.25">
      <c r="B872" s="6"/>
    </row>
    <row r="873" spans="2:2" x14ac:dyDescent="0.25">
      <c r="B873" s="6"/>
    </row>
    <row r="874" spans="2:2" x14ac:dyDescent="0.25">
      <c r="B874" s="6"/>
    </row>
    <row r="875" spans="2:2" x14ac:dyDescent="0.25">
      <c r="B875" s="6"/>
    </row>
    <row r="876" spans="2:2" x14ac:dyDescent="0.25">
      <c r="B876" s="6"/>
    </row>
    <row r="877" spans="2:2" x14ac:dyDescent="0.25">
      <c r="B877" s="6"/>
    </row>
    <row r="878" spans="2:2" x14ac:dyDescent="0.25">
      <c r="B878" s="6"/>
    </row>
    <row r="879" spans="2:2" x14ac:dyDescent="0.25">
      <c r="B879" s="6"/>
    </row>
    <row r="880" spans="2:2" x14ac:dyDescent="0.25">
      <c r="B880" s="6"/>
    </row>
    <row r="881" spans="2:2" x14ac:dyDescent="0.25">
      <c r="B881" s="6"/>
    </row>
    <row r="882" spans="2:2" x14ac:dyDescent="0.25">
      <c r="B882" s="6"/>
    </row>
    <row r="883" spans="2:2" x14ac:dyDescent="0.25">
      <c r="B883" s="6"/>
    </row>
    <row r="884" spans="2:2" x14ac:dyDescent="0.25">
      <c r="B884" s="6"/>
    </row>
    <row r="885" spans="2:2" x14ac:dyDescent="0.25">
      <c r="B885" s="6"/>
    </row>
    <row r="886" spans="2:2" x14ac:dyDescent="0.25">
      <c r="B886" s="6"/>
    </row>
    <row r="887" spans="2:2" x14ac:dyDescent="0.25">
      <c r="B887" s="6"/>
    </row>
    <row r="888" spans="2:2" x14ac:dyDescent="0.25">
      <c r="B888" s="6"/>
    </row>
    <row r="889" spans="2:2" x14ac:dyDescent="0.25">
      <c r="B889" s="6"/>
    </row>
    <row r="890" spans="2:2" x14ac:dyDescent="0.25">
      <c r="B890" s="6"/>
    </row>
    <row r="891" spans="2:2" x14ac:dyDescent="0.25">
      <c r="B891" s="6"/>
    </row>
    <row r="892" spans="2:2" x14ac:dyDescent="0.25">
      <c r="B892" s="6"/>
    </row>
    <row r="893" spans="2:2" x14ac:dyDescent="0.25">
      <c r="B893" s="6"/>
    </row>
    <row r="894" spans="2:2" x14ac:dyDescent="0.25">
      <c r="B894" s="6"/>
    </row>
    <row r="895" spans="2:2" x14ac:dyDescent="0.25">
      <c r="B895" s="6"/>
    </row>
    <row r="896" spans="2:2" x14ac:dyDescent="0.25">
      <c r="B896" s="6"/>
    </row>
    <row r="897" spans="2:2" x14ac:dyDescent="0.25">
      <c r="B897" s="6"/>
    </row>
    <row r="898" spans="2:2" x14ac:dyDescent="0.25">
      <c r="B898" s="6"/>
    </row>
    <row r="899" spans="2:2" x14ac:dyDescent="0.25">
      <c r="B899" s="6"/>
    </row>
    <row r="900" spans="2:2" x14ac:dyDescent="0.25">
      <c r="B900" s="6"/>
    </row>
    <row r="901" spans="2:2" x14ac:dyDescent="0.25">
      <c r="B901" s="6"/>
    </row>
    <row r="902" spans="2:2" x14ac:dyDescent="0.25">
      <c r="B902" s="6"/>
    </row>
    <row r="903" spans="2:2" x14ac:dyDescent="0.25">
      <c r="B903" s="6"/>
    </row>
    <row r="904" spans="2:2" x14ac:dyDescent="0.25">
      <c r="B904" s="6"/>
    </row>
    <row r="905" spans="2:2" x14ac:dyDescent="0.25">
      <c r="B905" s="6"/>
    </row>
    <row r="906" spans="2:2" x14ac:dyDescent="0.25">
      <c r="B906" s="6"/>
    </row>
    <row r="907" spans="2:2" x14ac:dyDescent="0.25">
      <c r="B907" s="6"/>
    </row>
    <row r="908" spans="2:2" x14ac:dyDescent="0.25">
      <c r="B908" s="6"/>
    </row>
    <row r="909" spans="2:2" x14ac:dyDescent="0.25">
      <c r="B909" s="6"/>
    </row>
    <row r="910" spans="2:2" x14ac:dyDescent="0.25">
      <c r="B910" s="6"/>
    </row>
    <row r="911" spans="2:2" x14ac:dyDescent="0.25">
      <c r="B911" s="6"/>
    </row>
    <row r="912" spans="2:2" x14ac:dyDescent="0.25">
      <c r="B912" s="6"/>
    </row>
    <row r="913" spans="2:2" x14ac:dyDescent="0.25">
      <c r="B913" s="6"/>
    </row>
    <row r="914" spans="2:2" x14ac:dyDescent="0.25">
      <c r="B914" s="6"/>
    </row>
    <row r="915" spans="2:2" x14ac:dyDescent="0.25">
      <c r="B915" s="6"/>
    </row>
    <row r="916" spans="2:2" x14ac:dyDescent="0.25">
      <c r="B916" s="6"/>
    </row>
    <row r="917" spans="2:2" x14ac:dyDescent="0.25">
      <c r="B917" s="6"/>
    </row>
    <row r="918" spans="2:2" x14ac:dyDescent="0.25">
      <c r="B918" s="6"/>
    </row>
    <row r="919" spans="2:2" x14ac:dyDescent="0.25">
      <c r="B919" s="6"/>
    </row>
    <row r="920" spans="2:2" x14ac:dyDescent="0.25">
      <c r="B920" s="6"/>
    </row>
    <row r="921" spans="2:2" x14ac:dyDescent="0.25">
      <c r="B921" s="6"/>
    </row>
    <row r="922" spans="2:2" x14ac:dyDescent="0.25">
      <c r="B922" s="6"/>
    </row>
    <row r="923" spans="2:2" x14ac:dyDescent="0.25">
      <c r="B923" s="6"/>
    </row>
    <row r="924" spans="2:2" x14ac:dyDescent="0.25">
      <c r="B924" s="6"/>
    </row>
    <row r="925" spans="2:2" x14ac:dyDescent="0.25">
      <c r="B925" s="6"/>
    </row>
    <row r="926" spans="2:2" x14ac:dyDescent="0.25">
      <c r="B926" s="6"/>
    </row>
    <row r="927" spans="2:2" x14ac:dyDescent="0.25">
      <c r="B927" s="6"/>
    </row>
    <row r="928" spans="2:2" x14ac:dyDescent="0.25">
      <c r="B928" s="6"/>
    </row>
    <row r="929" spans="2:2" x14ac:dyDescent="0.25">
      <c r="B929" s="6"/>
    </row>
    <row r="930" spans="2:2" x14ac:dyDescent="0.25">
      <c r="B930" s="6"/>
    </row>
    <row r="931" spans="2:2" x14ac:dyDescent="0.25">
      <c r="B931" s="6"/>
    </row>
    <row r="932" spans="2:2" x14ac:dyDescent="0.25">
      <c r="B932" s="6"/>
    </row>
    <row r="933" spans="2:2" x14ac:dyDescent="0.25">
      <c r="B933" s="6"/>
    </row>
    <row r="934" spans="2:2" x14ac:dyDescent="0.25">
      <c r="B934" s="6"/>
    </row>
    <row r="935" spans="2:2" x14ac:dyDescent="0.25">
      <c r="B935" s="6"/>
    </row>
    <row r="936" spans="2:2" x14ac:dyDescent="0.25">
      <c r="B936" s="6"/>
    </row>
    <row r="937" spans="2:2" x14ac:dyDescent="0.25">
      <c r="B937" s="6"/>
    </row>
    <row r="938" spans="2:2" x14ac:dyDescent="0.25">
      <c r="B938" s="6"/>
    </row>
    <row r="939" spans="2:2" x14ac:dyDescent="0.25">
      <c r="B939" s="6"/>
    </row>
    <row r="940" spans="2:2" x14ac:dyDescent="0.25">
      <c r="B940" s="6"/>
    </row>
    <row r="941" spans="2:2" x14ac:dyDescent="0.25">
      <c r="B941" s="6"/>
    </row>
    <row r="942" spans="2:2" x14ac:dyDescent="0.25">
      <c r="B942" s="6"/>
    </row>
    <row r="943" spans="2:2" x14ac:dyDescent="0.25">
      <c r="B943" s="6"/>
    </row>
    <row r="944" spans="2:2" x14ac:dyDescent="0.25">
      <c r="B944" s="6"/>
    </row>
    <row r="945" spans="2:2" x14ac:dyDescent="0.25">
      <c r="B945" s="6"/>
    </row>
    <row r="946" spans="2:2" x14ac:dyDescent="0.25">
      <c r="B946" s="6"/>
    </row>
    <row r="947" spans="2:2" x14ac:dyDescent="0.25">
      <c r="B947" s="6"/>
    </row>
    <row r="948" spans="2:2" x14ac:dyDescent="0.25">
      <c r="B948" s="6"/>
    </row>
    <row r="949" spans="2:2" x14ac:dyDescent="0.25">
      <c r="B949" s="6"/>
    </row>
    <row r="950" spans="2:2" x14ac:dyDescent="0.25">
      <c r="B950" s="6"/>
    </row>
    <row r="951" spans="2:2" x14ac:dyDescent="0.25">
      <c r="B951" s="6"/>
    </row>
    <row r="952" spans="2:2" x14ac:dyDescent="0.25">
      <c r="B952" s="6"/>
    </row>
    <row r="953" spans="2:2" x14ac:dyDescent="0.25">
      <c r="B953" s="6"/>
    </row>
    <row r="954" spans="2:2" x14ac:dyDescent="0.25">
      <c r="B954" s="6"/>
    </row>
    <row r="955" spans="2:2" x14ac:dyDescent="0.25">
      <c r="B955" s="6"/>
    </row>
    <row r="956" spans="2:2" x14ac:dyDescent="0.25">
      <c r="B956" s="6"/>
    </row>
    <row r="957" spans="2:2" x14ac:dyDescent="0.25">
      <c r="B957" s="6"/>
    </row>
    <row r="958" spans="2:2" x14ac:dyDescent="0.25">
      <c r="B958" s="6"/>
    </row>
    <row r="959" spans="2:2" x14ac:dyDescent="0.25">
      <c r="B959" s="6"/>
    </row>
    <row r="960" spans="2:2" x14ac:dyDescent="0.25">
      <c r="B960" s="6"/>
    </row>
    <row r="961" spans="2:2" x14ac:dyDescent="0.25">
      <c r="B961" s="6"/>
    </row>
    <row r="962" spans="2:2" x14ac:dyDescent="0.25">
      <c r="B962" s="6"/>
    </row>
    <row r="963" spans="2:2" x14ac:dyDescent="0.25">
      <c r="B963" s="6"/>
    </row>
    <row r="964" spans="2:2" x14ac:dyDescent="0.25">
      <c r="B964" s="6"/>
    </row>
    <row r="965" spans="2:2" x14ac:dyDescent="0.25">
      <c r="B965" s="6"/>
    </row>
    <row r="966" spans="2:2" x14ac:dyDescent="0.25">
      <c r="B966" s="6"/>
    </row>
    <row r="967" spans="2:2" x14ac:dyDescent="0.25">
      <c r="B967" s="6"/>
    </row>
    <row r="968" spans="2:2" x14ac:dyDescent="0.25">
      <c r="B968" s="6"/>
    </row>
    <row r="969" spans="2:2" x14ac:dyDescent="0.25">
      <c r="B969" s="6"/>
    </row>
    <row r="970" spans="2:2" x14ac:dyDescent="0.25">
      <c r="B970" s="6"/>
    </row>
    <row r="971" spans="2:2" x14ac:dyDescent="0.25">
      <c r="B971" s="6"/>
    </row>
    <row r="972" spans="2:2" x14ac:dyDescent="0.25">
      <c r="B972" s="6"/>
    </row>
    <row r="973" spans="2:2" x14ac:dyDescent="0.25">
      <c r="B973" s="6"/>
    </row>
    <row r="974" spans="2:2" x14ac:dyDescent="0.25">
      <c r="B974" s="6"/>
    </row>
    <row r="975" spans="2:2" x14ac:dyDescent="0.25">
      <c r="B975" s="6"/>
    </row>
    <row r="976" spans="2:2" x14ac:dyDescent="0.25">
      <c r="B976" s="6"/>
    </row>
    <row r="977" spans="2:2" x14ac:dyDescent="0.25">
      <c r="B977" s="6"/>
    </row>
    <row r="978" spans="2:2" x14ac:dyDescent="0.25">
      <c r="B978" s="6"/>
    </row>
    <row r="979" spans="2:2" x14ac:dyDescent="0.25">
      <c r="B979" s="6"/>
    </row>
    <row r="980" spans="2:2" x14ac:dyDescent="0.25">
      <c r="B980" s="6"/>
    </row>
    <row r="981" spans="2:2" x14ac:dyDescent="0.25">
      <c r="B981" s="6"/>
    </row>
    <row r="982" spans="2:2" x14ac:dyDescent="0.25">
      <c r="B982" s="6"/>
    </row>
    <row r="983" spans="2:2" x14ac:dyDescent="0.25">
      <c r="B983" s="6"/>
    </row>
    <row r="984" spans="2:2" x14ac:dyDescent="0.25">
      <c r="B984" s="6"/>
    </row>
    <row r="985" spans="2:2" x14ac:dyDescent="0.25">
      <c r="B985" s="6"/>
    </row>
    <row r="986" spans="2:2" x14ac:dyDescent="0.25">
      <c r="B986" s="6"/>
    </row>
    <row r="987" spans="2:2" x14ac:dyDescent="0.25">
      <c r="B987" s="6"/>
    </row>
    <row r="988" spans="2:2" x14ac:dyDescent="0.25">
      <c r="B988" s="6"/>
    </row>
    <row r="989" spans="2:2" x14ac:dyDescent="0.25">
      <c r="B989" s="6"/>
    </row>
    <row r="990" spans="2:2" x14ac:dyDescent="0.25">
      <c r="B990" s="6"/>
    </row>
    <row r="991" spans="2:2" x14ac:dyDescent="0.25">
      <c r="B991" s="6"/>
    </row>
    <row r="992" spans="2:2" x14ac:dyDescent="0.25">
      <c r="B992" s="6"/>
    </row>
    <row r="993" spans="2:2" x14ac:dyDescent="0.25">
      <c r="B993" s="6"/>
    </row>
    <row r="994" spans="2:2" x14ac:dyDescent="0.25">
      <c r="B994" s="6"/>
    </row>
    <row r="995" spans="2:2" x14ac:dyDescent="0.25">
      <c r="B995" s="6"/>
    </row>
    <row r="996" spans="2:2" x14ac:dyDescent="0.25">
      <c r="B996" s="6"/>
    </row>
    <row r="997" spans="2:2" x14ac:dyDescent="0.25">
      <c r="B997" s="6"/>
    </row>
    <row r="998" spans="2:2" x14ac:dyDescent="0.25">
      <c r="B998" s="6"/>
    </row>
    <row r="999" spans="2:2" x14ac:dyDescent="0.25">
      <c r="B999" s="6"/>
    </row>
    <row r="1000" spans="2:2" x14ac:dyDescent="0.25">
      <c r="B1000" s="6"/>
    </row>
    <row r="1001" spans="2:2" x14ac:dyDescent="0.25">
      <c r="B1001" s="6"/>
    </row>
    <row r="1002" spans="2:2" x14ac:dyDescent="0.25">
      <c r="B1002" s="6"/>
    </row>
    <row r="1003" spans="2:2" x14ac:dyDescent="0.25">
      <c r="B1003" s="6"/>
    </row>
    <row r="1004" spans="2:2" x14ac:dyDescent="0.25">
      <c r="B1004" s="6"/>
    </row>
    <row r="1005" spans="2:2" x14ac:dyDescent="0.25">
      <c r="B1005" s="6"/>
    </row>
    <row r="1006" spans="2:2" x14ac:dyDescent="0.25">
      <c r="B1006" s="6"/>
    </row>
    <row r="1007" spans="2:2" x14ac:dyDescent="0.25">
      <c r="B1007" s="6"/>
    </row>
    <row r="1008" spans="2:2" x14ac:dyDescent="0.25">
      <c r="B1008" s="6"/>
    </row>
    <row r="1009" spans="2:2" x14ac:dyDescent="0.25">
      <c r="B1009" s="6"/>
    </row>
    <row r="1010" spans="2:2" x14ac:dyDescent="0.25">
      <c r="B1010" s="6"/>
    </row>
    <row r="1011" spans="2:2" x14ac:dyDescent="0.25">
      <c r="B1011" s="6"/>
    </row>
    <row r="1012" spans="2:2" x14ac:dyDescent="0.25">
      <c r="B1012" s="6"/>
    </row>
    <row r="1013" spans="2:2" x14ac:dyDescent="0.25">
      <c r="B1013" s="6"/>
    </row>
    <row r="1014" spans="2:2" x14ac:dyDescent="0.25">
      <c r="B1014" s="6"/>
    </row>
    <row r="1015" spans="2:2" x14ac:dyDescent="0.25">
      <c r="B1015" s="6"/>
    </row>
    <row r="1016" spans="2:2" x14ac:dyDescent="0.25">
      <c r="B1016" s="6"/>
    </row>
    <row r="1017" spans="2:2" x14ac:dyDescent="0.25">
      <c r="B1017" s="6"/>
    </row>
    <row r="1018" spans="2:2" x14ac:dyDescent="0.25">
      <c r="B1018" s="6"/>
    </row>
    <row r="1019" spans="2:2" x14ac:dyDescent="0.25">
      <c r="B1019" s="6"/>
    </row>
    <row r="1020" spans="2:2" x14ac:dyDescent="0.25">
      <c r="B1020" s="6"/>
    </row>
    <row r="1021" spans="2:2" x14ac:dyDescent="0.25">
      <c r="B1021" s="6"/>
    </row>
    <row r="1022" spans="2:2" x14ac:dyDescent="0.25">
      <c r="B1022" s="6"/>
    </row>
    <row r="1023" spans="2:2" x14ac:dyDescent="0.25">
      <c r="B1023" s="6"/>
    </row>
    <row r="1024" spans="2:2" x14ac:dyDescent="0.25">
      <c r="B1024" s="6"/>
    </row>
    <row r="1025" spans="2:2" x14ac:dyDescent="0.25">
      <c r="B1025" s="6"/>
    </row>
    <row r="1026" spans="2:2" x14ac:dyDescent="0.25">
      <c r="B1026" s="6"/>
    </row>
    <row r="1027" spans="2:2" x14ac:dyDescent="0.25">
      <c r="B1027" s="6"/>
    </row>
    <row r="1028" spans="2:2" x14ac:dyDescent="0.25">
      <c r="B1028" s="6"/>
    </row>
    <row r="1029" spans="2:2" x14ac:dyDescent="0.25">
      <c r="B1029" s="6"/>
    </row>
    <row r="1030" spans="2:2" x14ac:dyDescent="0.25">
      <c r="B1030" s="6"/>
    </row>
    <row r="1031" spans="2:2" x14ac:dyDescent="0.25">
      <c r="B1031" s="6"/>
    </row>
    <row r="1032" spans="2:2" x14ac:dyDescent="0.25">
      <c r="B1032" s="6"/>
    </row>
    <row r="1033" spans="2:2" x14ac:dyDescent="0.25">
      <c r="B1033" s="6"/>
    </row>
    <row r="1034" spans="2:2" x14ac:dyDescent="0.25">
      <c r="B1034" s="6"/>
    </row>
    <row r="1035" spans="2:2" x14ac:dyDescent="0.25">
      <c r="B1035" s="6"/>
    </row>
    <row r="1036" spans="2:2" x14ac:dyDescent="0.25">
      <c r="B1036" s="6"/>
    </row>
    <row r="1037" spans="2:2" x14ac:dyDescent="0.25">
      <c r="B1037" s="6"/>
    </row>
    <row r="1038" spans="2:2" x14ac:dyDescent="0.25">
      <c r="B1038" s="6"/>
    </row>
    <row r="1039" spans="2:2" x14ac:dyDescent="0.25">
      <c r="B1039" s="6"/>
    </row>
    <row r="1040" spans="2:2" x14ac:dyDescent="0.25">
      <c r="B1040" s="6"/>
    </row>
    <row r="1041" spans="2:2" x14ac:dyDescent="0.25">
      <c r="B1041" s="6"/>
    </row>
    <row r="1042" spans="2:2" x14ac:dyDescent="0.25">
      <c r="B1042" s="6"/>
    </row>
    <row r="1043" spans="2:2" x14ac:dyDescent="0.25">
      <c r="B1043" s="6"/>
    </row>
    <row r="1044" spans="2:2" x14ac:dyDescent="0.25">
      <c r="B1044" s="6"/>
    </row>
    <row r="1045" spans="2:2" x14ac:dyDescent="0.25">
      <c r="B1045" s="6"/>
    </row>
    <row r="1046" spans="2:2" x14ac:dyDescent="0.25">
      <c r="B1046" s="6"/>
    </row>
    <row r="1047" spans="2:2" x14ac:dyDescent="0.25">
      <c r="B1047" s="6"/>
    </row>
    <row r="1048" spans="2:2" x14ac:dyDescent="0.25">
      <c r="B1048" s="6"/>
    </row>
    <row r="1049" spans="2:2" x14ac:dyDescent="0.25">
      <c r="B1049" s="6"/>
    </row>
    <row r="1050" spans="2:2" x14ac:dyDescent="0.25">
      <c r="B1050" s="6"/>
    </row>
    <row r="1051" spans="2:2" x14ac:dyDescent="0.25">
      <c r="B1051" s="6"/>
    </row>
    <row r="1052" spans="2:2" x14ac:dyDescent="0.25">
      <c r="B1052" s="6"/>
    </row>
    <row r="1053" spans="2:2" x14ac:dyDescent="0.25">
      <c r="B1053" s="6"/>
    </row>
    <row r="1054" spans="2:2" x14ac:dyDescent="0.25">
      <c r="B1054" s="6"/>
    </row>
    <row r="1055" spans="2:2" x14ac:dyDescent="0.25">
      <c r="B1055" s="6"/>
    </row>
    <row r="1056" spans="2:2" x14ac:dyDescent="0.25">
      <c r="B1056" s="6"/>
    </row>
    <row r="1057" spans="2:2" x14ac:dyDescent="0.25">
      <c r="B1057" s="6"/>
    </row>
    <row r="1058" spans="2:2" x14ac:dyDescent="0.25">
      <c r="B1058" s="6"/>
    </row>
    <row r="1059" spans="2:2" x14ac:dyDescent="0.25">
      <c r="B1059" s="6"/>
    </row>
    <row r="1060" spans="2:2" x14ac:dyDescent="0.25">
      <c r="B1060" s="6"/>
    </row>
    <row r="1061" spans="2:2" x14ac:dyDescent="0.25">
      <c r="B1061" s="6"/>
    </row>
    <row r="1062" spans="2:2" x14ac:dyDescent="0.25">
      <c r="B1062" s="6"/>
    </row>
    <row r="1063" spans="2:2" x14ac:dyDescent="0.25">
      <c r="B1063" s="6"/>
    </row>
    <row r="1064" spans="2:2" x14ac:dyDescent="0.25">
      <c r="B1064" s="6"/>
    </row>
    <row r="1065" spans="2:2" x14ac:dyDescent="0.25">
      <c r="B1065" s="6"/>
    </row>
    <row r="1066" spans="2:2" x14ac:dyDescent="0.25">
      <c r="B1066" s="6"/>
    </row>
    <row r="1067" spans="2:2" x14ac:dyDescent="0.25">
      <c r="B1067" s="6"/>
    </row>
    <row r="1068" spans="2:2" x14ac:dyDescent="0.25">
      <c r="B1068" s="6"/>
    </row>
    <row r="1069" spans="2:2" x14ac:dyDescent="0.25">
      <c r="B1069" s="6"/>
    </row>
    <row r="1070" spans="2:2" x14ac:dyDescent="0.25">
      <c r="B1070" s="6"/>
    </row>
    <row r="1071" spans="2:2" x14ac:dyDescent="0.25">
      <c r="B1071" s="6"/>
    </row>
    <row r="1072" spans="2:2" x14ac:dyDescent="0.25">
      <c r="B1072" s="6"/>
    </row>
    <row r="1073" spans="2:2" x14ac:dyDescent="0.25">
      <c r="B1073" s="6"/>
    </row>
    <row r="1074" spans="2:2" x14ac:dyDescent="0.25">
      <c r="B1074" s="6"/>
    </row>
    <row r="1075" spans="2:2" x14ac:dyDescent="0.25">
      <c r="B1075" s="6"/>
    </row>
    <row r="1076" spans="2:2" x14ac:dyDescent="0.25">
      <c r="B1076" s="6"/>
    </row>
    <row r="1077" spans="2:2" x14ac:dyDescent="0.25">
      <c r="B1077" s="6"/>
    </row>
    <row r="1078" spans="2:2" x14ac:dyDescent="0.25">
      <c r="B1078" s="6"/>
    </row>
    <row r="1079" spans="2:2" x14ac:dyDescent="0.25">
      <c r="B1079" s="6"/>
    </row>
    <row r="1080" spans="2:2" x14ac:dyDescent="0.25">
      <c r="B1080" s="6"/>
    </row>
    <row r="1081" spans="2:2" x14ac:dyDescent="0.25">
      <c r="B1081" s="6"/>
    </row>
    <row r="1082" spans="2:2" x14ac:dyDescent="0.25">
      <c r="B1082" s="6"/>
    </row>
    <row r="1083" spans="2:2" x14ac:dyDescent="0.25">
      <c r="B1083" s="6"/>
    </row>
    <row r="1084" spans="2:2" x14ac:dyDescent="0.25">
      <c r="B1084" s="6"/>
    </row>
    <row r="1085" spans="2:2" x14ac:dyDescent="0.25">
      <c r="B1085" s="6"/>
    </row>
    <row r="1086" spans="2:2" x14ac:dyDescent="0.25">
      <c r="B1086" s="6"/>
    </row>
    <row r="1087" spans="2:2" x14ac:dyDescent="0.25">
      <c r="B1087" s="6"/>
    </row>
    <row r="1088" spans="2:2" x14ac:dyDescent="0.25">
      <c r="B1088" s="6"/>
    </row>
    <row r="1089" spans="2:2" x14ac:dyDescent="0.25">
      <c r="B1089" s="6"/>
    </row>
    <row r="1090" spans="2:2" x14ac:dyDescent="0.25">
      <c r="B1090" s="6"/>
    </row>
    <row r="1091" spans="2:2" x14ac:dyDescent="0.25">
      <c r="B1091" s="6"/>
    </row>
    <row r="1092" spans="2:2" x14ac:dyDescent="0.25">
      <c r="B1092" s="6"/>
    </row>
    <row r="1093" spans="2:2" x14ac:dyDescent="0.25">
      <c r="B1093" s="6"/>
    </row>
    <row r="1094" spans="2:2" x14ac:dyDescent="0.25">
      <c r="B1094" s="6"/>
    </row>
    <row r="1095" spans="2:2" x14ac:dyDescent="0.25">
      <c r="B1095" s="6"/>
    </row>
    <row r="1096" spans="2:2" x14ac:dyDescent="0.25">
      <c r="B1096" s="6"/>
    </row>
    <row r="1097" spans="2:2" x14ac:dyDescent="0.25">
      <c r="B1097" s="6"/>
    </row>
    <row r="1098" spans="2:2" x14ac:dyDescent="0.25">
      <c r="B1098" s="6"/>
    </row>
    <row r="1099" spans="2:2" x14ac:dyDescent="0.25">
      <c r="B1099" s="6"/>
    </row>
    <row r="1100" spans="2:2" x14ac:dyDescent="0.25">
      <c r="B1100" s="6"/>
    </row>
    <row r="1101" spans="2:2" x14ac:dyDescent="0.25">
      <c r="B1101" s="6"/>
    </row>
    <row r="1102" spans="2:2" x14ac:dyDescent="0.25">
      <c r="B1102" s="6"/>
    </row>
    <row r="1103" spans="2:2" x14ac:dyDescent="0.25">
      <c r="B1103" s="6"/>
    </row>
    <row r="1104" spans="2:2" x14ac:dyDescent="0.25">
      <c r="B1104" s="6"/>
    </row>
    <row r="1105" spans="2:2" x14ac:dyDescent="0.25">
      <c r="B1105" s="6"/>
    </row>
    <row r="1106" spans="2:2" x14ac:dyDescent="0.25">
      <c r="B1106" s="6"/>
    </row>
    <row r="1107" spans="2:2" x14ac:dyDescent="0.25">
      <c r="B1107" s="6"/>
    </row>
    <row r="1108" spans="2:2" x14ac:dyDescent="0.25">
      <c r="B1108" s="6"/>
    </row>
    <row r="1109" spans="2:2" x14ac:dyDescent="0.25">
      <c r="B1109" s="6"/>
    </row>
    <row r="1110" spans="2:2" x14ac:dyDescent="0.25">
      <c r="B1110" s="6"/>
    </row>
    <row r="1111" spans="2:2" x14ac:dyDescent="0.25">
      <c r="B1111" s="6"/>
    </row>
    <row r="1112" spans="2:2" x14ac:dyDescent="0.25">
      <c r="B1112" s="6"/>
    </row>
    <row r="1113" spans="2:2" x14ac:dyDescent="0.25">
      <c r="B1113" s="6"/>
    </row>
    <row r="1114" spans="2:2" x14ac:dyDescent="0.25">
      <c r="B1114" s="6"/>
    </row>
    <row r="1115" spans="2:2" x14ac:dyDescent="0.25">
      <c r="B1115" s="6"/>
    </row>
    <row r="1116" spans="2:2" x14ac:dyDescent="0.25">
      <c r="B1116" s="6"/>
    </row>
    <row r="1117" spans="2:2" x14ac:dyDescent="0.25">
      <c r="B1117" s="6"/>
    </row>
    <row r="1118" spans="2:2" x14ac:dyDescent="0.25">
      <c r="B1118" s="6"/>
    </row>
    <row r="1119" spans="2:2" x14ac:dyDescent="0.25">
      <c r="B1119" s="6"/>
    </row>
    <row r="1120" spans="2:2" x14ac:dyDescent="0.25">
      <c r="B1120" s="6"/>
    </row>
    <row r="1121" spans="2:2" x14ac:dyDescent="0.25">
      <c r="B1121" s="6"/>
    </row>
    <row r="1122" spans="2:2" x14ac:dyDescent="0.25">
      <c r="B1122" s="6"/>
    </row>
    <row r="1123" spans="2:2" x14ac:dyDescent="0.25">
      <c r="B1123" s="6"/>
    </row>
    <row r="1124" spans="2:2" x14ac:dyDescent="0.25">
      <c r="B1124" s="6"/>
    </row>
    <row r="1125" spans="2:2" x14ac:dyDescent="0.25">
      <c r="B1125" s="6"/>
    </row>
    <row r="1126" spans="2:2" x14ac:dyDescent="0.25">
      <c r="B1126" s="6"/>
    </row>
    <row r="1127" spans="2:2" x14ac:dyDescent="0.25">
      <c r="B1127" s="6"/>
    </row>
    <row r="1128" spans="2:2" x14ac:dyDescent="0.25">
      <c r="B1128" s="6"/>
    </row>
    <row r="1129" spans="2:2" x14ac:dyDescent="0.25">
      <c r="B1129" s="6"/>
    </row>
    <row r="1130" spans="2:2" x14ac:dyDescent="0.25">
      <c r="B1130" s="6"/>
    </row>
    <row r="1131" spans="2:2" x14ac:dyDescent="0.25">
      <c r="B1131" s="6"/>
    </row>
    <row r="1132" spans="2:2" x14ac:dyDescent="0.25">
      <c r="B1132" s="6"/>
    </row>
    <row r="1133" spans="2:2" x14ac:dyDescent="0.25">
      <c r="B1133" s="6"/>
    </row>
    <row r="1134" spans="2:2" x14ac:dyDescent="0.25">
      <c r="B1134" s="6"/>
    </row>
    <row r="1135" spans="2:2" x14ac:dyDescent="0.25">
      <c r="B1135" s="6"/>
    </row>
    <row r="1136" spans="2:2" x14ac:dyDescent="0.25">
      <c r="B1136" s="6"/>
    </row>
    <row r="1137" spans="2:2" x14ac:dyDescent="0.25">
      <c r="B1137" s="6"/>
    </row>
    <row r="1138" spans="2:2" x14ac:dyDescent="0.25">
      <c r="B1138" s="6"/>
    </row>
    <row r="1139" spans="2:2" x14ac:dyDescent="0.25">
      <c r="B1139" s="6"/>
    </row>
    <row r="1140" spans="2:2" x14ac:dyDescent="0.25">
      <c r="B1140" s="6"/>
    </row>
    <row r="1141" spans="2:2" x14ac:dyDescent="0.25">
      <c r="B1141" s="6"/>
    </row>
    <row r="1142" spans="2:2" x14ac:dyDescent="0.25">
      <c r="B1142" s="6"/>
    </row>
    <row r="1143" spans="2:2" x14ac:dyDescent="0.25">
      <c r="B1143" s="6"/>
    </row>
    <row r="1144" spans="2:2" x14ac:dyDescent="0.25">
      <c r="B1144" s="6"/>
    </row>
    <row r="1145" spans="2:2" x14ac:dyDescent="0.25">
      <c r="B1145" s="6"/>
    </row>
    <row r="1146" spans="2:2" x14ac:dyDescent="0.25">
      <c r="B1146" s="6"/>
    </row>
    <row r="1147" spans="2:2" x14ac:dyDescent="0.25">
      <c r="B1147" s="6"/>
    </row>
    <row r="1148" spans="2:2" x14ac:dyDescent="0.25">
      <c r="B1148" s="6"/>
    </row>
    <row r="1149" spans="2:2" x14ac:dyDescent="0.25">
      <c r="B1149" s="6"/>
    </row>
    <row r="1150" spans="2:2" x14ac:dyDescent="0.25">
      <c r="B1150" s="6"/>
    </row>
    <row r="1151" spans="2:2" x14ac:dyDescent="0.25">
      <c r="B1151" s="6"/>
    </row>
    <row r="1152" spans="2:2" x14ac:dyDescent="0.25">
      <c r="B1152" s="6"/>
    </row>
    <row r="1153" spans="2:2" x14ac:dyDescent="0.25">
      <c r="B1153" s="6"/>
    </row>
    <row r="1154" spans="2:2" x14ac:dyDescent="0.25">
      <c r="B1154" s="6"/>
    </row>
    <row r="1155" spans="2:2" x14ac:dyDescent="0.25">
      <c r="B1155" s="6"/>
    </row>
    <row r="1156" spans="2:2" x14ac:dyDescent="0.25">
      <c r="B1156" s="6"/>
    </row>
    <row r="1157" spans="2:2" x14ac:dyDescent="0.25">
      <c r="B1157" s="6"/>
    </row>
    <row r="1158" spans="2:2" x14ac:dyDescent="0.25">
      <c r="B1158" s="6"/>
    </row>
    <row r="1159" spans="2:2" x14ac:dyDescent="0.25">
      <c r="B1159" s="6"/>
    </row>
    <row r="1160" spans="2:2" x14ac:dyDescent="0.25">
      <c r="B1160" s="6"/>
    </row>
    <row r="1161" spans="2:2" x14ac:dyDescent="0.25">
      <c r="B1161" s="6"/>
    </row>
    <row r="1162" spans="2:2" x14ac:dyDescent="0.25">
      <c r="B1162" s="6"/>
    </row>
    <row r="1163" spans="2:2" x14ac:dyDescent="0.25">
      <c r="B1163" s="6"/>
    </row>
    <row r="1164" spans="2:2" x14ac:dyDescent="0.25">
      <c r="B1164" s="6"/>
    </row>
    <row r="1165" spans="2:2" x14ac:dyDescent="0.25">
      <c r="B1165" s="6"/>
    </row>
    <row r="1166" spans="2:2" x14ac:dyDescent="0.25">
      <c r="B1166" s="6"/>
    </row>
    <row r="1167" spans="2:2" x14ac:dyDescent="0.25">
      <c r="B1167" s="6"/>
    </row>
    <row r="1168" spans="2:2" x14ac:dyDescent="0.25">
      <c r="B1168" s="6"/>
    </row>
    <row r="1169" spans="2:2" x14ac:dyDescent="0.25">
      <c r="B1169" s="6"/>
    </row>
    <row r="1170" spans="2:2" x14ac:dyDescent="0.25">
      <c r="B1170" s="6"/>
    </row>
    <row r="1171" spans="2:2" x14ac:dyDescent="0.25">
      <c r="B1171" s="6"/>
    </row>
    <row r="1172" spans="2:2" x14ac:dyDescent="0.25">
      <c r="B1172" s="6"/>
    </row>
    <row r="1173" spans="2:2" x14ac:dyDescent="0.25">
      <c r="B1173" s="6"/>
    </row>
    <row r="1174" spans="2:2" x14ac:dyDescent="0.25">
      <c r="B1174" s="6"/>
    </row>
    <row r="1175" spans="2:2" x14ac:dyDescent="0.25">
      <c r="B1175" s="6"/>
    </row>
    <row r="1176" spans="2:2" x14ac:dyDescent="0.25">
      <c r="B1176" s="6"/>
    </row>
    <row r="1177" spans="2:2" x14ac:dyDescent="0.25">
      <c r="B1177" s="6"/>
    </row>
    <row r="1178" spans="2:2" x14ac:dyDescent="0.25">
      <c r="B1178" s="6"/>
    </row>
    <row r="1179" spans="2:2" x14ac:dyDescent="0.25">
      <c r="B1179" s="6"/>
    </row>
    <row r="1180" spans="2:2" x14ac:dyDescent="0.25">
      <c r="B1180" s="6"/>
    </row>
    <row r="1181" spans="2:2" x14ac:dyDescent="0.25">
      <c r="B1181" s="6"/>
    </row>
    <row r="1182" spans="2:2" x14ac:dyDescent="0.25">
      <c r="B1182" s="6"/>
    </row>
    <row r="1183" spans="2:2" x14ac:dyDescent="0.25">
      <c r="B1183" s="6"/>
    </row>
    <row r="1184" spans="2:2" x14ac:dyDescent="0.25">
      <c r="B1184" s="6"/>
    </row>
    <row r="1185" spans="2:2" x14ac:dyDescent="0.25">
      <c r="B1185" s="6"/>
    </row>
    <row r="1186" spans="2:2" x14ac:dyDescent="0.25">
      <c r="B1186" s="6"/>
    </row>
    <row r="1187" spans="2:2" x14ac:dyDescent="0.25">
      <c r="B1187" s="6"/>
    </row>
    <row r="1188" spans="2:2" x14ac:dyDescent="0.25">
      <c r="B1188" s="6"/>
    </row>
    <row r="1189" spans="2:2" x14ac:dyDescent="0.25">
      <c r="B1189" s="6"/>
    </row>
    <row r="1190" spans="2:2" x14ac:dyDescent="0.25">
      <c r="B1190" s="6"/>
    </row>
    <row r="1191" spans="2:2" x14ac:dyDescent="0.25">
      <c r="B1191" s="6"/>
    </row>
    <row r="1192" spans="2:2" x14ac:dyDescent="0.25">
      <c r="B1192" s="6"/>
    </row>
    <row r="1193" spans="2:2" x14ac:dyDescent="0.25">
      <c r="B1193" s="6"/>
    </row>
    <row r="1194" spans="2:2" x14ac:dyDescent="0.25">
      <c r="B1194" s="6"/>
    </row>
    <row r="1195" spans="2:2" x14ac:dyDescent="0.25">
      <c r="B1195" s="6"/>
    </row>
    <row r="1196" spans="2:2" x14ac:dyDescent="0.25">
      <c r="B1196" s="6"/>
    </row>
    <row r="1197" spans="2:2" x14ac:dyDescent="0.25">
      <c r="B1197" s="6"/>
    </row>
    <row r="1198" spans="2:2" x14ac:dyDescent="0.25">
      <c r="B1198" s="6"/>
    </row>
    <row r="1199" spans="2:2" x14ac:dyDescent="0.25">
      <c r="B1199" s="6"/>
    </row>
    <row r="1200" spans="2:2" x14ac:dyDescent="0.25">
      <c r="B1200" s="6"/>
    </row>
    <row r="1201" spans="2:2" x14ac:dyDescent="0.25">
      <c r="B1201" s="6"/>
    </row>
    <row r="1202" spans="2:2" x14ac:dyDescent="0.25">
      <c r="B1202" s="6"/>
    </row>
    <row r="1203" spans="2:2" x14ac:dyDescent="0.25">
      <c r="B1203" s="6"/>
    </row>
    <row r="1204" spans="2:2" x14ac:dyDescent="0.25">
      <c r="B1204" s="6"/>
    </row>
    <row r="1205" spans="2:2" x14ac:dyDescent="0.25">
      <c r="B1205" s="6"/>
    </row>
    <row r="1206" spans="2:2" x14ac:dyDescent="0.25">
      <c r="B1206" s="6"/>
    </row>
    <row r="1207" spans="2:2" x14ac:dyDescent="0.25">
      <c r="B1207" s="6"/>
    </row>
    <row r="1208" spans="2:2" x14ac:dyDescent="0.25">
      <c r="B1208" s="6"/>
    </row>
    <row r="1209" spans="2:2" x14ac:dyDescent="0.25">
      <c r="B1209" s="6"/>
    </row>
    <row r="1210" spans="2:2" x14ac:dyDescent="0.25">
      <c r="B1210" s="6"/>
    </row>
    <row r="1211" spans="2:2" x14ac:dyDescent="0.25">
      <c r="B1211" s="6"/>
    </row>
    <row r="1212" spans="2:2" x14ac:dyDescent="0.25">
      <c r="B1212" s="6"/>
    </row>
    <row r="1213" spans="2:2" x14ac:dyDescent="0.25">
      <c r="B1213" s="6"/>
    </row>
    <row r="1214" spans="2:2" x14ac:dyDescent="0.25">
      <c r="B1214" s="6"/>
    </row>
    <row r="1215" spans="2:2" x14ac:dyDescent="0.25">
      <c r="B1215" s="6"/>
    </row>
    <row r="1216" spans="2:2" x14ac:dyDescent="0.25">
      <c r="B1216" s="6"/>
    </row>
    <row r="1217" spans="2:2" x14ac:dyDescent="0.25">
      <c r="B1217" s="6"/>
    </row>
    <row r="1218" spans="2:2" x14ac:dyDescent="0.25">
      <c r="B1218" s="6"/>
    </row>
    <row r="1219" spans="2:2" x14ac:dyDescent="0.25">
      <c r="B1219" s="6"/>
    </row>
    <row r="1220" spans="2:2" x14ac:dyDescent="0.25">
      <c r="B1220" s="6"/>
    </row>
    <row r="1221" spans="2:2" x14ac:dyDescent="0.25">
      <c r="B1221" s="6"/>
    </row>
    <row r="1222" spans="2:2" x14ac:dyDescent="0.25">
      <c r="B1222" s="6"/>
    </row>
    <row r="1223" spans="2:2" x14ac:dyDescent="0.25">
      <c r="B1223" s="6"/>
    </row>
    <row r="1224" spans="2:2" x14ac:dyDescent="0.25">
      <c r="B1224" s="6"/>
    </row>
    <row r="1225" spans="2:2" x14ac:dyDescent="0.25">
      <c r="B1225" s="6"/>
    </row>
    <row r="1226" spans="2:2" x14ac:dyDescent="0.25">
      <c r="B1226" s="6"/>
    </row>
    <row r="1227" spans="2:2" x14ac:dyDescent="0.25">
      <c r="B1227" s="6"/>
    </row>
    <row r="1228" spans="2:2" x14ac:dyDescent="0.25">
      <c r="B1228" s="6"/>
    </row>
    <row r="1229" spans="2:2" x14ac:dyDescent="0.25">
      <c r="B1229" s="6"/>
    </row>
    <row r="1230" spans="2:2" x14ac:dyDescent="0.25">
      <c r="B1230" s="6"/>
    </row>
    <row r="1231" spans="2:2" x14ac:dyDescent="0.25">
      <c r="B1231" s="6"/>
    </row>
    <row r="1232" spans="2:2" x14ac:dyDescent="0.25">
      <c r="B1232" s="6"/>
    </row>
    <row r="1233" spans="2:2" x14ac:dyDescent="0.25">
      <c r="B1233" s="6"/>
    </row>
    <row r="1234" spans="2:2" x14ac:dyDescent="0.25">
      <c r="B1234" s="6"/>
    </row>
    <row r="1235" spans="2:2" x14ac:dyDescent="0.25">
      <c r="B1235" s="6"/>
    </row>
    <row r="1236" spans="2:2" x14ac:dyDescent="0.25">
      <c r="B1236" s="6"/>
    </row>
    <row r="1237" spans="2:2" x14ac:dyDescent="0.25">
      <c r="B1237" s="6"/>
    </row>
    <row r="1238" spans="2:2" x14ac:dyDescent="0.25">
      <c r="B1238" s="6"/>
    </row>
    <row r="1239" spans="2:2" x14ac:dyDescent="0.25">
      <c r="B1239" s="6"/>
    </row>
    <row r="1240" spans="2:2" x14ac:dyDescent="0.25">
      <c r="B1240" s="6"/>
    </row>
    <row r="1241" spans="2:2" x14ac:dyDescent="0.25">
      <c r="B1241" s="6"/>
    </row>
    <row r="1242" spans="2:2" x14ac:dyDescent="0.25">
      <c r="B1242" s="6"/>
    </row>
    <row r="1243" spans="2:2" x14ac:dyDescent="0.25">
      <c r="B1243" s="6"/>
    </row>
    <row r="1244" spans="2:2" x14ac:dyDescent="0.25">
      <c r="B1244" s="6"/>
    </row>
    <row r="1245" spans="2:2" x14ac:dyDescent="0.25">
      <c r="B1245" s="6"/>
    </row>
    <row r="1246" spans="2:2" x14ac:dyDescent="0.25">
      <c r="B1246" s="6"/>
    </row>
    <row r="1247" spans="2:2" x14ac:dyDescent="0.25">
      <c r="B1247" s="6"/>
    </row>
    <row r="1248" spans="2:2" x14ac:dyDescent="0.25">
      <c r="B1248" s="6"/>
    </row>
    <row r="1249" spans="2:2" x14ac:dyDescent="0.25">
      <c r="B1249" s="6"/>
    </row>
    <row r="1250" spans="2:2" x14ac:dyDescent="0.25">
      <c r="B1250" s="6"/>
    </row>
    <row r="1251" spans="2:2" x14ac:dyDescent="0.25">
      <c r="B1251" s="6"/>
    </row>
    <row r="1252" spans="2:2" x14ac:dyDescent="0.25">
      <c r="B1252" s="6"/>
    </row>
    <row r="1253" spans="2:2" x14ac:dyDescent="0.25">
      <c r="B1253" s="6"/>
    </row>
    <row r="1254" spans="2:2" x14ac:dyDescent="0.25">
      <c r="B1254" s="6"/>
    </row>
    <row r="1255" spans="2:2" x14ac:dyDescent="0.25">
      <c r="B1255" s="6"/>
    </row>
    <row r="1256" spans="2:2" x14ac:dyDescent="0.25">
      <c r="B1256" s="6"/>
    </row>
    <row r="1257" spans="2:2" x14ac:dyDescent="0.25">
      <c r="B1257" s="6"/>
    </row>
    <row r="1258" spans="2:2" x14ac:dyDescent="0.25">
      <c r="B1258" s="6"/>
    </row>
    <row r="1259" spans="2:2" x14ac:dyDescent="0.25">
      <c r="B1259" s="6"/>
    </row>
    <row r="1260" spans="2:2" x14ac:dyDescent="0.25">
      <c r="B1260" s="6"/>
    </row>
    <row r="1261" spans="2:2" x14ac:dyDescent="0.25">
      <c r="B1261" s="6"/>
    </row>
    <row r="1262" spans="2:2" x14ac:dyDescent="0.25">
      <c r="B1262" s="6"/>
    </row>
    <row r="1263" spans="2:2" x14ac:dyDescent="0.25">
      <c r="B1263" s="6"/>
    </row>
    <row r="1264" spans="2:2" x14ac:dyDescent="0.25">
      <c r="B1264" s="6"/>
    </row>
    <row r="1265" spans="2:2" x14ac:dyDescent="0.25">
      <c r="B1265" s="6"/>
    </row>
    <row r="1266" spans="2:2" x14ac:dyDescent="0.25">
      <c r="B1266" s="6"/>
    </row>
    <row r="1267" spans="2:2" x14ac:dyDescent="0.25">
      <c r="B1267" s="6"/>
    </row>
    <row r="1268" spans="2:2" x14ac:dyDescent="0.25">
      <c r="B1268" s="6"/>
    </row>
    <row r="1269" spans="2:2" x14ac:dyDescent="0.25">
      <c r="B1269" s="6"/>
    </row>
    <row r="1270" spans="2:2" x14ac:dyDescent="0.25">
      <c r="B1270" s="6"/>
    </row>
    <row r="1271" spans="2:2" x14ac:dyDescent="0.25">
      <c r="B1271" s="6"/>
    </row>
    <row r="1272" spans="2:2" x14ac:dyDescent="0.25">
      <c r="B1272" s="6"/>
    </row>
    <row r="1273" spans="2:2" x14ac:dyDescent="0.25">
      <c r="B1273" s="6"/>
    </row>
    <row r="1274" spans="2:2" x14ac:dyDescent="0.25">
      <c r="B1274" s="6"/>
    </row>
    <row r="1275" spans="2:2" x14ac:dyDescent="0.25">
      <c r="B1275" s="6"/>
    </row>
    <row r="1276" spans="2:2" x14ac:dyDescent="0.25">
      <c r="B1276" s="6"/>
    </row>
    <row r="1277" spans="2:2" x14ac:dyDescent="0.25">
      <c r="B1277" s="6"/>
    </row>
    <row r="1278" spans="2:2" x14ac:dyDescent="0.25">
      <c r="B1278" s="6"/>
    </row>
    <row r="1279" spans="2:2" x14ac:dyDescent="0.25">
      <c r="B1279" s="6"/>
    </row>
    <row r="1280" spans="2:2" x14ac:dyDescent="0.25">
      <c r="B1280" s="6"/>
    </row>
    <row r="1281" spans="2:2" x14ac:dyDescent="0.25">
      <c r="B1281" s="6"/>
    </row>
    <row r="1282" spans="2:2" x14ac:dyDescent="0.25">
      <c r="B1282" s="6"/>
    </row>
    <row r="1283" spans="2:2" x14ac:dyDescent="0.25">
      <c r="B1283" s="6"/>
    </row>
    <row r="1284" spans="2:2" x14ac:dyDescent="0.25">
      <c r="B1284" s="6"/>
    </row>
    <row r="1285" spans="2:2" x14ac:dyDescent="0.25">
      <c r="B1285" s="6"/>
    </row>
    <row r="1286" spans="2:2" x14ac:dyDescent="0.25">
      <c r="B1286" s="6"/>
    </row>
    <row r="1287" spans="2:2" x14ac:dyDescent="0.25">
      <c r="B1287" s="6"/>
    </row>
    <row r="1288" spans="2:2" x14ac:dyDescent="0.25">
      <c r="B1288" s="6"/>
    </row>
    <row r="1289" spans="2:2" x14ac:dyDescent="0.25">
      <c r="B1289" s="6"/>
    </row>
    <row r="1290" spans="2:2" x14ac:dyDescent="0.25">
      <c r="B1290" s="6"/>
    </row>
    <row r="1291" spans="2:2" x14ac:dyDescent="0.25">
      <c r="B1291" s="6"/>
    </row>
    <row r="1292" spans="2:2" x14ac:dyDescent="0.25">
      <c r="B1292" s="6"/>
    </row>
    <row r="1293" spans="2:2" x14ac:dyDescent="0.25">
      <c r="B1293" s="6"/>
    </row>
    <row r="1294" spans="2:2" x14ac:dyDescent="0.25">
      <c r="B1294" s="6"/>
    </row>
    <row r="1295" spans="2:2" x14ac:dyDescent="0.25">
      <c r="B1295" s="6"/>
    </row>
    <row r="1296" spans="2:2" x14ac:dyDescent="0.25">
      <c r="B1296" s="6"/>
    </row>
    <row r="1297" spans="2:2" x14ac:dyDescent="0.25">
      <c r="B1297" s="6"/>
    </row>
    <row r="1298" spans="2:2" x14ac:dyDescent="0.25">
      <c r="B1298" s="6"/>
    </row>
    <row r="1299" spans="2:2" x14ac:dyDescent="0.25">
      <c r="B1299" s="6"/>
    </row>
    <row r="1300" spans="2:2" x14ac:dyDescent="0.25">
      <c r="B1300" s="6"/>
    </row>
    <row r="1301" spans="2:2" x14ac:dyDescent="0.25">
      <c r="B1301" s="6"/>
    </row>
    <row r="1302" spans="2:2" x14ac:dyDescent="0.25">
      <c r="B1302" s="6"/>
    </row>
    <row r="1303" spans="2:2" x14ac:dyDescent="0.25">
      <c r="B1303" s="6"/>
    </row>
    <row r="1304" spans="2:2" x14ac:dyDescent="0.25">
      <c r="B1304" s="6"/>
    </row>
    <row r="1305" spans="2:2" x14ac:dyDescent="0.25">
      <c r="B1305" s="6"/>
    </row>
    <row r="1306" spans="2:2" x14ac:dyDescent="0.25">
      <c r="B1306" s="6"/>
    </row>
    <row r="1307" spans="2:2" x14ac:dyDescent="0.25">
      <c r="B1307" s="6"/>
    </row>
    <row r="1308" spans="2:2" x14ac:dyDescent="0.25">
      <c r="B1308" s="6"/>
    </row>
    <row r="1309" spans="2:2" x14ac:dyDescent="0.25">
      <c r="B1309" s="6"/>
    </row>
    <row r="1310" spans="2:2" x14ac:dyDescent="0.25">
      <c r="B1310" s="6"/>
    </row>
    <row r="1311" spans="2:2" x14ac:dyDescent="0.25">
      <c r="B1311" s="6"/>
    </row>
    <row r="1312" spans="2:2" x14ac:dyDescent="0.25">
      <c r="B1312" s="6"/>
    </row>
    <row r="1313" spans="2:2" x14ac:dyDescent="0.25">
      <c r="B1313" s="6"/>
    </row>
    <row r="1314" spans="2:2" x14ac:dyDescent="0.25">
      <c r="B1314" s="6"/>
    </row>
    <row r="1315" spans="2:2" x14ac:dyDescent="0.25">
      <c r="B1315" s="6"/>
    </row>
    <row r="1316" spans="2:2" x14ac:dyDescent="0.25">
      <c r="B1316" s="6"/>
    </row>
    <row r="1317" spans="2:2" x14ac:dyDescent="0.25">
      <c r="B1317" s="6"/>
    </row>
    <row r="1318" spans="2:2" x14ac:dyDescent="0.25">
      <c r="B1318" s="6"/>
    </row>
    <row r="1319" spans="2:2" x14ac:dyDescent="0.25">
      <c r="B1319" s="6"/>
    </row>
    <row r="1320" spans="2:2" x14ac:dyDescent="0.25">
      <c r="B1320" s="6"/>
    </row>
    <row r="1321" spans="2:2" x14ac:dyDescent="0.25">
      <c r="B1321" s="6"/>
    </row>
    <row r="1322" spans="2:2" x14ac:dyDescent="0.25">
      <c r="B1322" s="6"/>
    </row>
    <row r="1323" spans="2:2" x14ac:dyDescent="0.25">
      <c r="B1323" s="6"/>
    </row>
    <row r="1324" spans="2:2" x14ac:dyDescent="0.25">
      <c r="B1324" s="6"/>
    </row>
    <row r="1325" spans="2:2" x14ac:dyDescent="0.25">
      <c r="B1325" s="6"/>
    </row>
    <row r="1326" spans="2:2" x14ac:dyDescent="0.25">
      <c r="B1326" s="6"/>
    </row>
    <row r="1327" spans="2:2" x14ac:dyDescent="0.25">
      <c r="B1327" s="6"/>
    </row>
    <row r="1328" spans="2:2" x14ac:dyDescent="0.25">
      <c r="B1328" s="6"/>
    </row>
    <row r="1329" spans="2:2" x14ac:dyDescent="0.25">
      <c r="B1329" s="6"/>
    </row>
    <row r="1330" spans="2:2" x14ac:dyDescent="0.25">
      <c r="B1330" s="6"/>
    </row>
    <row r="1331" spans="2:2" x14ac:dyDescent="0.25">
      <c r="B1331" s="6"/>
    </row>
    <row r="1332" spans="2:2" x14ac:dyDescent="0.25">
      <c r="B1332" s="6"/>
    </row>
    <row r="1333" spans="2:2" x14ac:dyDescent="0.25">
      <c r="B1333" s="6"/>
    </row>
    <row r="1334" spans="2:2" x14ac:dyDescent="0.25">
      <c r="B1334" s="6"/>
    </row>
    <row r="1335" spans="2:2" x14ac:dyDescent="0.25">
      <c r="B1335" s="6"/>
    </row>
    <row r="1336" spans="2:2" x14ac:dyDescent="0.25">
      <c r="B1336" s="6"/>
    </row>
    <row r="1337" spans="2:2" x14ac:dyDescent="0.25">
      <c r="B1337" s="6"/>
    </row>
    <row r="1338" spans="2:2" x14ac:dyDescent="0.25">
      <c r="B1338" s="6"/>
    </row>
    <row r="1339" spans="2:2" x14ac:dyDescent="0.25">
      <c r="B1339" s="6"/>
    </row>
    <row r="1340" spans="2:2" x14ac:dyDescent="0.25">
      <c r="B1340" s="6"/>
    </row>
    <row r="1341" spans="2:2" x14ac:dyDescent="0.25">
      <c r="B1341" s="6"/>
    </row>
    <row r="1342" spans="2:2" x14ac:dyDescent="0.25">
      <c r="B1342" s="6"/>
    </row>
    <row r="1343" spans="2:2" x14ac:dyDescent="0.25">
      <c r="B1343" s="6"/>
    </row>
    <row r="1344" spans="2:2" x14ac:dyDescent="0.25">
      <c r="B1344" s="6"/>
    </row>
    <row r="1345" spans="2:2" x14ac:dyDescent="0.25">
      <c r="B1345" s="6"/>
    </row>
    <row r="1346" spans="2:2" x14ac:dyDescent="0.25">
      <c r="B1346" s="6"/>
    </row>
    <row r="1347" spans="2:2" x14ac:dyDescent="0.25">
      <c r="B1347" s="6"/>
    </row>
    <row r="1348" spans="2:2" x14ac:dyDescent="0.25">
      <c r="B1348" s="6"/>
    </row>
    <row r="1349" spans="2:2" x14ac:dyDescent="0.25">
      <c r="B1349" s="6"/>
    </row>
    <row r="1350" spans="2:2" x14ac:dyDescent="0.25">
      <c r="B1350" s="6"/>
    </row>
    <row r="1351" spans="2:2" x14ac:dyDescent="0.25">
      <c r="B1351" s="6"/>
    </row>
    <row r="1352" spans="2:2" x14ac:dyDescent="0.25">
      <c r="B1352" s="6"/>
    </row>
    <row r="1353" spans="2:2" x14ac:dyDescent="0.25">
      <c r="B1353" s="6"/>
    </row>
    <row r="1354" spans="2:2" x14ac:dyDescent="0.25">
      <c r="B1354" s="6"/>
    </row>
    <row r="1355" spans="2:2" x14ac:dyDescent="0.25">
      <c r="B1355" s="6"/>
    </row>
    <row r="1356" spans="2:2" x14ac:dyDescent="0.25">
      <c r="B1356" s="6"/>
    </row>
    <row r="1357" spans="2:2" x14ac:dyDescent="0.25">
      <c r="B1357" s="6"/>
    </row>
    <row r="1358" spans="2:2" x14ac:dyDescent="0.25">
      <c r="B1358" s="6"/>
    </row>
    <row r="1359" spans="2:2" x14ac:dyDescent="0.25">
      <c r="B1359" s="6"/>
    </row>
    <row r="1360" spans="2:2" x14ac:dyDescent="0.25">
      <c r="B1360" s="6"/>
    </row>
    <row r="1361" spans="2:2" x14ac:dyDescent="0.25">
      <c r="B1361" s="6"/>
    </row>
    <row r="1362" spans="2:2" x14ac:dyDescent="0.25">
      <c r="B1362" s="6"/>
    </row>
    <row r="1363" spans="2:2" x14ac:dyDescent="0.25">
      <c r="B1363" s="6"/>
    </row>
    <row r="1364" spans="2:2" x14ac:dyDescent="0.25">
      <c r="B1364" s="6"/>
    </row>
    <row r="1365" spans="2:2" x14ac:dyDescent="0.25">
      <c r="B1365" s="6"/>
    </row>
    <row r="1366" spans="2:2" x14ac:dyDescent="0.25">
      <c r="B1366" s="6"/>
    </row>
    <row r="1367" spans="2:2" x14ac:dyDescent="0.25">
      <c r="B1367" s="6"/>
    </row>
    <row r="1368" spans="2:2" x14ac:dyDescent="0.25">
      <c r="B1368" s="6"/>
    </row>
    <row r="1369" spans="2:2" x14ac:dyDescent="0.25">
      <c r="B1369" s="6"/>
    </row>
    <row r="1370" spans="2:2" x14ac:dyDescent="0.25">
      <c r="B1370" s="6"/>
    </row>
    <row r="1371" spans="2:2" x14ac:dyDescent="0.25">
      <c r="B1371" s="6"/>
    </row>
    <row r="1372" spans="2:2" x14ac:dyDescent="0.25">
      <c r="B1372" s="6"/>
    </row>
    <row r="1373" spans="2:2" x14ac:dyDescent="0.25">
      <c r="B1373" s="6"/>
    </row>
    <row r="1374" spans="2:2" x14ac:dyDescent="0.25">
      <c r="B1374" s="6"/>
    </row>
    <row r="1375" spans="2:2" x14ac:dyDescent="0.25">
      <c r="B1375" s="6"/>
    </row>
    <row r="1376" spans="2:2" x14ac:dyDescent="0.25">
      <c r="B1376" s="6"/>
    </row>
    <row r="1377" spans="2:2" x14ac:dyDescent="0.25">
      <c r="B1377" s="6"/>
    </row>
    <row r="1378" spans="2:2" x14ac:dyDescent="0.25">
      <c r="B1378" s="6"/>
    </row>
    <row r="1379" spans="2:2" x14ac:dyDescent="0.25">
      <c r="B1379" s="6"/>
    </row>
    <row r="1380" spans="2:2" x14ac:dyDescent="0.25">
      <c r="B1380" s="6"/>
    </row>
    <row r="1381" spans="2:2" x14ac:dyDescent="0.25">
      <c r="B1381" s="6"/>
    </row>
    <row r="1382" spans="2:2" x14ac:dyDescent="0.25">
      <c r="B1382" s="6"/>
    </row>
    <row r="1383" spans="2:2" x14ac:dyDescent="0.25">
      <c r="B1383" s="6"/>
    </row>
    <row r="1384" spans="2:2" x14ac:dyDescent="0.25">
      <c r="B1384" s="6"/>
    </row>
    <row r="1385" spans="2:2" x14ac:dyDescent="0.25">
      <c r="B1385" s="6"/>
    </row>
    <row r="1386" spans="2:2" x14ac:dyDescent="0.25">
      <c r="B1386" s="6"/>
    </row>
    <row r="1387" spans="2:2" x14ac:dyDescent="0.25">
      <c r="B1387" s="6"/>
    </row>
    <row r="1388" spans="2:2" x14ac:dyDescent="0.25">
      <c r="B1388" s="6"/>
    </row>
    <row r="1389" spans="2:2" x14ac:dyDescent="0.25">
      <c r="B1389" s="6"/>
    </row>
    <row r="1390" spans="2:2" x14ac:dyDescent="0.25">
      <c r="B1390" s="6"/>
    </row>
    <row r="1391" spans="2:2" x14ac:dyDescent="0.25">
      <c r="B1391" s="6"/>
    </row>
    <row r="1392" spans="2:2" x14ac:dyDescent="0.25">
      <c r="B1392" s="6"/>
    </row>
    <row r="1393" spans="2:2" x14ac:dyDescent="0.25">
      <c r="B1393" s="6"/>
    </row>
    <row r="1394" spans="2:2" x14ac:dyDescent="0.25">
      <c r="B1394" s="6"/>
    </row>
    <row r="1395" spans="2:2" x14ac:dyDescent="0.25">
      <c r="B1395" s="6"/>
    </row>
    <row r="1396" spans="2:2" x14ac:dyDescent="0.25">
      <c r="B1396" s="6"/>
    </row>
    <row r="1397" spans="2:2" x14ac:dyDescent="0.25">
      <c r="B1397" s="6"/>
    </row>
    <row r="1398" spans="2:2" x14ac:dyDescent="0.25">
      <c r="B1398" s="6"/>
    </row>
    <row r="1399" spans="2:2" x14ac:dyDescent="0.25">
      <c r="B1399" s="6"/>
    </row>
    <row r="1400" spans="2:2" x14ac:dyDescent="0.25">
      <c r="B1400" s="6"/>
    </row>
    <row r="1401" spans="2:2" x14ac:dyDescent="0.25">
      <c r="B1401" s="6"/>
    </row>
    <row r="1402" spans="2:2" x14ac:dyDescent="0.25">
      <c r="B1402" s="6"/>
    </row>
    <row r="1403" spans="2:2" x14ac:dyDescent="0.25">
      <c r="B1403" s="6"/>
    </row>
    <row r="1404" spans="2:2" x14ac:dyDescent="0.25">
      <c r="B1404" s="6"/>
    </row>
    <row r="1405" spans="2:2" x14ac:dyDescent="0.25">
      <c r="B1405" s="6"/>
    </row>
    <row r="1406" spans="2:2" x14ac:dyDescent="0.25">
      <c r="B1406" s="6"/>
    </row>
    <row r="1407" spans="2:2" x14ac:dyDescent="0.25">
      <c r="B1407" s="6"/>
    </row>
    <row r="1408" spans="2:2" x14ac:dyDescent="0.25">
      <c r="B1408" s="6"/>
    </row>
    <row r="1409" spans="2:2" x14ac:dyDescent="0.25">
      <c r="B1409" s="6"/>
    </row>
    <row r="1410" spans="2:2" x14ac:dyDescent="0.25">
      <c r="B1410" s="6"/>
    </row>
    <row r="1411" spans="2:2" x14ac:dyDescent="0.25">
      <c r="B1411" s="6"/>
    </row>
    <row r="1412" spans="2:2" x14ac:dyDescent="0.25">
      <c r="B1412" s="6"/>
    </row>
    <row r="1413" spans="2:2" x14ac:dyDescent="0.25">
      <c r="B1413" s="6"/>
    </row>
    <row r="1414" spans="2:2" x14ac:dyDescent="0.25">
      <c r="B1414" s="6"/>
    </row>
    <row r="1415" spans="2:2" x14ac:dyDescent="0.25">
      <c r="B1415" s="6"/>
    </row>
    <row r="1416" spans="2:2" x14ac:dyDescent="0.25">
      <c r="B1416" s="6"/>
    </row>
    <row r="1417" spans="2:2" x14ac:dyDescent="0.25">
      <c r="B1417" s="6"/>
    </row>
    <row r="1418" spans="2:2" x14ac:dyDescent="0.25">
      <c r="B1418" s="6"/>
    </row>
    <row r="1419" spans="2:2" x14ac:dyDescent="0.25">
      <c r="B1419" s="6"/>
    </row>
    <row r="1420" spans="2:2" x14ac:dyDescent="0.25">
      <c r="B1420" s="6"/>
    </row>
    <row r="1421" spans="2:2" x14ac:dyDescent="0.25">
      <c r="B1421" s="6"/>
    </row>
    <row r="1422" spans="2:2" x14ac:dyDescent="0.25">
      <c r="B1422" s="6"/>
    </row>
    <row r="1423" spans="2:2" x14ac:dyDescent="0.25">
      <c r="B1423" s="6"/>
    </row>
    <row r="1424" spans="2:2" x14ac:dyDescent="0.25">
      <c r="B1424" s="6"/>
    </row>
    <row r="1425" spans="2:2" x14ac:dyDescent="0.25">
      <c r="B1425" s="6"/>
    </row>
    <row r="1426" spans="2:2" x14ac:dyDescent="0.25">
      <c r="B1426" s="6"/>
    </row>
    <row r="1427" spans="2:2" x14ac:dyDescent="0.25">
      <c r="B1427" s="6"/>
    </row>
    <row r="1428" spans="2:2" x14ac:dyDescent="0.25">
      <c r="B1428" s="6"/>
    </row>
    <row r="1429" spans="2:2" x14ac:dyDescent="0.25">
      <c r="B1429" s="6"/>
    </row>
    <row r="1430" spans="2:2" x14ac:dyDescent="0.25">
      <c r="B1430" s="6"/>
    </row>
    <row r="1431" spans="2:2" x14ac:dyDescent="0.25">
      <c r="B1431" s="6"/>
    </row>
    <row r="1432" spans="2:2" x14ac:dyDescent="0.25">
      <c r="B1432" s="6"/>
    </row>
    <row r="1433" spans="2:2" x14ac:dyDescent="0.25">
      <c r="B1433" s="6"/>
    </row>
    <row r="1434" spans="2:2" x14ac:dyDescent="0.25">
      <c r="B1434" s="6"/>
    </row>
    <row r="1435" spans="2:2" x14ac:dyDescent="0.25">
      <c r="B1435" s="6"/>
    </row>
    <row r="1436" spans="2:2" x14ac:dyDescent="0.25">
      <c r="B1436" s="6"/>
    </row>
    <row r="1437" spans="2:2" x14ac:dyDescent="0.25">
      <c r="B1437" s="6"/>
    </row>
    <row r="1438" spans="2:2" x14ac:dyDescent="0.25">
      <c r="B1438" s="6"/>
    </row>
    <row r="1439" spans="2:2" x14ac:dyDescent="0.25">
      <c r="B1439" s="6"/>
    </row>
    <row r="1440" spans="2:2" x14ac:dyDescent="0.25">
      <c r="B1440" s="6"/>
    </row>
    <row r="1441" spans="2:2" x14ac:dyDescent="0.25">
      <c r="B1441" s="6"/>
    </row>
    <row r="1442" spans="2:2" x14ac:dyDescent="0.25">
      <c r="B1442" s="6"/>
    </row>
    <row r="1443" spans="2:2" x14ac:dyDescent="0.25">
      <c r="B1443" s="6"/>
    </row>
    <row r="1444" spans="2:2" x14ac:dyDescent="0.25">
      <c r="B1444" s="6"/>
    </row>
    <row r="1445" spans="2:2" x14ac:dyDescent="0.25">
      <c r="B1445" s="6"/>
    </row>
    <row r="1446" spans="2:2" x14ac:dyDescent="0.25">
      <c r="B1446" s="6"/>
    </row>
    <row r="1447" spans="2:2" x14ac:dyDescent="0.25">
      <c r="B1447" s="6"/>
    </row>
    <row r="1448" spans="2:2" x14ac:dyDescent="0.25">
      <c r="B1448" s="6"/>
    </row>
    <row r="1449" spans="2:2" x14ac:dyDescent="0.25">
      <c r="B1449" s="6"/>
    </row>
    <row r="1450" spans="2:2" x14ac:dyDescent="0.25">
      <c r="B1450" s="6"/>
    </row>
    <row r="1451" spans="2:2" x14ac:dyDescent="0.25">
      <c r="B1451" s="6"/>
    </row>
    <row r="1452" spans="2:2" x14ac:dyDescent="0.25">
      <c r="B1452" s="6"/>
    </row>
    <row r="1453" spans="2:2" x14ac:dyDescent="0.25">
      <c r="B1453" s="6"/>
    </row>
    <row r="1454" spans="2:2" x14ac:dyDescent="0.25">
      <c r="B1454" s="6"/>
    </row>
    <row r="1455" spans="2:2" x14ac:dyDescent="0.25">
      <c r="B1455" s="6"/>
    </row>
    <row r="1456" spans="2:2" x14ac:dyDescent="0.25">
      <c r="B1456" s="6"/>
    </row>
    <row r="1457" spans="2:2" x14ac:dyDescent="0.25">
      <c r="B1457" s="6"/>
    </row>
    <row r="1458" spans="2:2" x14ac:dyDescent="0.25">
      <c r="B1458" s="6"/>
    </row>
    <row r="1459" spans="2:2" x14ac:dyDescent="0.25">
      <c r="B1459" s="6"/>
    </row>
    <row r="1460" spans="2:2" x14ac:dyDescent="0.25">
      <c r="B1460" s="6"/>
    </row>
    <row r="1461" spans="2:2" x14ac:dyDescent="0.25">
      <c r="B1461" s="6"/>
    </row>
    <row r="1462" spans="2:2" x14ac:dyDescent="0.25">
      <c r="B1462" s="6"/>
    </row>
    <row r="1463" spans="2:2" x14ac:dyDescent="0.25">
      <c r="B1463" s="6"/>
    </row>
    <row r="1464" spans="2:2" x14ac:dyDescent="0.25">
      <c r="B1464" s="6"/>
    </row>
    <row r="1465" spans="2:2" x14ac:dyDescent="0.25">
      <c r="B1465" s="6"/>
    </row>
    <row r="1466" spans="2:2" x14ac:dyDescent="0.25">
      <c r="B1466" s="6"/>
    </row>
    <row r="1467" spans="2:2" x14ac:dyDescent="0.25">
      <c r="B1467" s="6"/>
    </row>
    <row r="1468" spans="2:2" x14ac:dyDescent="0.25">
      <c r="B1468" s="6"/>
    </row>
    <row r="1469" spans="2:2" x14ac:dyDescent="0.25">
      <c r="B1469" s="6"/>
    </row>
    <row r="1470" spans="2:2" x14ac:dyDescent="0.25">
      <c r="B1470" s="6"/>
    </row>
    <row r="1471" spans="2:2" x14ac:dyDescent="0.25">
      <c r="B1471" s="6"/>
    </row>
    <row r="1472" spans="2:2" x14ac:dyDescent="0.25">
      <c r="B1472" s="6"/>
    </row>
    <row r="1473" spans="2:2" x14ac:dyDescent="0.25">
      <c r="B1473" s="6"/>
    </row>
    <row r="1474" spans="2:2" x14ac:dyDescent="0.25">
      <c r="B1474" s="6"/>
    </row>
    <row r="1475" spans="2:2" x14ac:dyDescent="0.25">
      <c r="B1475" s="6"/>
    </row>
    <row r="1476" spans="2:2" x14ac:dyDescent="0.25">
      <c r="B1476" s="6"/>
    </row>
    <row r="1477" spans="2:2" x14ac:dyDescent="0.25">
      <c r="B1477" s="6"/>
    </row>
    <row r="1478" spans="2:2" x14ac:dyDescent="0.25">
      <c r="B1478" s="6"/>
    </row>
    <row r="1479" spans="2:2" x14ac:dyDescent="0.25">
      <c r="B1479" s="6"/>
    </row>
    <row r="1480" spans="2:2" x14ac:dyDescent="0.25">
      <c r="B1480" s="6"/>
    </row>
    <row r="1481" spans="2:2" x14ac:dyDescent="0.25">
      <c r="B1481" s="6"/>
    </row>
    <row r="1482" spans="2:2" x14ac:dyDescent="0.25">
      <c r="B1482" s="6"/>
    </row>
    <row r="1483" spans="2:2" x14ac:dyDescent="0.25">
      <c r="B1483" s="6"/>
    </row>
    <row r="1484" spans="2:2" x14ac:dyDescent="0.25">
      <c r="B1484" s="6"/>
    </row>
    <row r="1485" spans="2:2" x14ac:dyDescent="0.25">
      <c r="B1485" s="6"/>
    </row>
    <row r="1486" spans="2:2" x14ac:dyDescent="0.25">
      <c r="B1486" s="6"/>
    </row>
    <row r="1487" spans="2:2" x14ac:dyDescent="0.25">
      <c r="B1487" s="6"/>
    </row>
    <row r="1488" spans="2:2" x14ac:dyDescent="0.25">
      <c r="B1488" s="6"/>
    </row>
    <row r="1489" spans="2:2" x14ac:dyDescent="0.25">
      <c r="B1489" s="6"/>
    </row>
    <row r="1490" spans="2:2" x14ac:dyDescent="0.25">
      <c r="B1490" s="6"/>
    </row>
    <row r="1491" spans="2:2" x14ac:dyDescent="0.25">
      <c r="B1491" s="6"/>
    </row>
    <row r="1492" spans="2:2" x14ac:dyDescent="0.25">
      <c r="B1492" s="6"/>
    </row>
    <row r="1493" spans="2:2" x14ac:dyDescent="0.25">
      <c r="B1493" s="6"/>
    </row>
    <row r="1494" spans="2:2" x14ac:dyDescent="0.25">
      <c r="B1494" s="6"/>
    </row>
    <row r="1495" spans="2:2" x14ac:dyDescent="0.25">
      <c r="B1495" s="6"/>
    </row>
    <row r="1496" spans="2:2" x14ac:dyDescent="0.25">
      <c r="B1496" s="6"/>
    </row>
    <row r="1497" spans="2:2" x14ac:dyDescent="0.25">
      <c r="B1497" s="6"/>
    </row>
    <row r="1498" spans="2:2" x14ac:dyDescent="0.25">
      <c r="B1498" s="6"/>
    </row>
    <row r="1499" spans="2:2" x14ac:dyDescent="0.25">
      <c r="B1499" s="6"/>
    </row>
    <row r="1500" spans="2:2" x14ac:dyDescent="0.25">
      <c r="B1500" s="6"/>
    </row>
    <row r="1501" spans="2:2" x14ac:dyDescent="0.25">
      <c r="B1501" s="6"/>
    </row>
    <row r="1502" spans="2:2" x14ac:dyDescent="0.25">
      <c r="B1502" s="6"/>
    </row>
    <row r="1503" spans="2:2" x14ac:dyDescent="0.25">
      <c r="B1503" s="6"/>
    </row>
    <row r="1504" spans="2:2" x14ac:dyDescent="0.25">
      <c r="B1504" s="6"/>
    </row>
    <row r="1505" spans="2:2" x14ac:dyDescent="0.25">
      <c r="B1505" s="6"/>
    </row>
    <row r="1506" spans="2:2" x14ac:dyDescent="0.25">
      <c r="B1506" s="6"/>
    </row>
    <row r="1507" spans="2:2" x14ac:dyDescent="0.25">
      <c r="B1507" s="6"/>
    </row>
    <row r="1508" spans="2:2" x14ac:dyDescent="0.25">
      <c r="B1508" s="6"/>
    </row>
    <row r="1509" spans="2:2" x14ac:dyDescent="0.25">
      <c r="B1509" s="6"/>
    </row>
    <row r="1510" spans="2:2" x14ac:dyDescent="0.25">
      <c r="B1510" s="6"/>
    </row>
    <row r="1511" spans="2:2" x14ac:dyDescent="0.25">
      <c r="B1511" s="6"/>
    </row>
    <row r="1512" spans="2:2" x14ac:dyDescent="0.25">
      <c r="B1512" s="6"/>
    </row>
    <row r="1513" spans="2:2" x14ac:dyDescent="0.25">
      <c r="B1513" s="6"/>
    </row>
    <row r="1514" spans="2:2" x14ac:dyDescent="0.25">
      <c r="B1514" s="6"/>
    </row>
    <row r="1515" spans="2:2" x14ac:dyDescent="0.25">
      <c r="B1515" s="6"/>
    </row>
    <row r="1516" spans="2:2" x14ac:dyDescent="0.25">
      <c r="B1516" s="6"/>
    </row>
    <row r="1517" spans="2:2" x14ac:dyDescent="0.25">
      <c r="B1517" s="6"/>
    </row>
    <row r="1518" spans="2:2" x14ac:dyDescent="0.25">
      <c r="B1518" s="6"/>
    </row>
    <row r="1519" spans="2:2" x14ac:dyDescent="0.25">
      <c r="B1519" s="6"/>
    </row>
    <row r="1520" spans="2:2" x14ac:dyDescent="0.25">
      <c r="B1520" s="6"/>
    </row>
    <row r="1521" spans="2:2" x14ac:dyDescent="0.25">
      <c r="B1521" s="6"/>
    </row>
    <row r="1522" spans="2:2" x14ac:dyDescent="0.25">
      <c r="B1522" s="6"/>
    </row>
    <row r="1523" spans="2:2" x14ac:dyDescent="0.25">
      <c r="B1523" s="6"/>
    </row>
    <row r="1524" spans="2:2" x14ac:dyDescent="0.25">
      <c r="B1524" s="6"/>
    </row>
    <row r="1525" spans="2:2" x14ac:dyDescent="0.25">
      <c r="B1525" s="6"/>
    </row>
    <row r="1526" spans="2:2" x14ac:dyDescent="0.25">
      <c r="B1526" s="6"/>
    </row>
    <row r="1527" spans="2:2" x14ac:dyDescent="0.25">
      <c r="B1527" s="6"/>
    </row>
    <row r="1528" spans="2:2" x14ac:dyDescent="0.25">
      <c r="B1528" s="6"/>
    </row>
    <row r="1529" spans="2:2" x14ac:dyDescent="0.25">
      <c r="B1529" s="6"/>
    </row>
    <row r="1530" spans="2:2" x14ac:dyDescent="0.25">
      <c r="B1530" s="6"/>
    </row>
    <row r="1531" spans="2:2" x14ac:dyDescent="0.25">
      <c r="B1531" s="6"/>
    </row>
    <row r="1532" spans="2:2" x14ac:dyDescent="0.25">
      <c r="B1532" s="6"/>
    </row>
    <row r="1533" spans="2:2" x14ac:dyDescent="0.25">
      <c r="B1533" s="6"/>
    </row>
    <row r="1534" spans="2:2" x14ac:dyDescent="0.25">
      <c r="B1534" s="6"/>
    </row>
    <row r="1535" spans="2:2" x14ac:dyDescent="0.25">
      <c r="B1535" s="6"/>
    </row>
    <row r="1536" spans="2:2" x14ac:dyDescent="0.25">
      <c r="B1536" s="6"/>
    </row>
    <row r="1537" spans="2:2" x14ac:dyDescent="0.25">
      <c r="B1537" s="6"/>
    </row>
    <row r="1538" spans="2:2" x14ac:dyDescent="0.25">
      <c r="B1538" s="6"/>
    </row>
    <row r="1539" spans="2:2" x14ac:dyDescent="0.25">
      <c r="B1539" s="6"/>
    </row>
    <row r="1540" spans="2:2" x14ac:dyDescent="0.25">
      <c r="B1540" s="6"/>
    </row>
    <row r="1541" spans="2:2" x14ac:dyDescent="0.25">
      <c r="B1541" s="6"/>
    </row>
    <row r="1542" spans="2:2" x14ac:dyDescent="0.25">
      <c r="B1542" s="6"/>
    </row>
    <row r="1543" spans="2:2" x14ac:dyDescent="0.25">
      <c r="B1543" s="6"/>
    </row>
    <row r="1544" spans="2:2" x14ac:dyDescent="0.25">
      <c r="B1544" s="6"/>
    </row>
    <row r="1545" spans="2:2" x14ac:dyDescent="0.25">
      <c r="B1545" s="6"/>
    </row>
    <row r="1546" spans="2:2" x14ac:dyDescent="0.25">
      <c r="B1546" s="6"/>
    </row>
    <row r="1547" spans="2:2" x14ac:dyDescent="0.25">
      <c r="B1547" s="6"/>
    </row>
    <row r="1548" spans="2:2" x14ac:dyDescent="0.25">
      <c r="B1548" s="6"/>
    </row>
    <row r="1549" spans="2:2" x14ac:dyDescent="0.25">
      <c r="B1549" s="6"/>
    </row>
    <row r="1550" spans="2:2" x14ac:dyDescent="0.25">
      <c r="B1550" s="6"/>
    </row>
    <row r="1551" spans="2:2" x14ac:dyDescent="0.25">
      <c r="B1551" s="6"/>
    </row>
    <row r="1552" spans="2:2" x14ac:dyDescent="0.25">
      <c r="B1552" s="6"/>
    </row>
    <row r="1553" spans="2:2" x14ac:dyDescent="0.25">
      <c r="B1553" s="6"/>
    </row>
    <row r="1554" spans="2:2" x14ac:dyDescent="0.25">
      <c r="B1554" s="6"/>
    </row>
    <row r="1555" spans="2:2" x14ac:dyDescent="0.25">
      <c r="B1555" s="6"/>
    </row>
    <row r="1556" spans="2:2" x14ac:dyDescent="0.25">
      <c r="B1556" s="6"/>
    </row>
    <row r="1557" spans="2:2" x14ac:dyDescent="0.25">
      <c r="B1557" s="6"/>
    </row>
    <row r="1558" spans="2:2" x14ac:dyDescent="0.25">
      <c r="B1558" s="6"/>
    </row>
    <row r="1559" spans="2:2" x14ac:dyDescent="0.25">
      <c r="B1559" s="6"/>
    </row>
    <row r="1560" spans="2:2" x14ac:dyDescent="0.25">
      <c r="B1560" s="6"/>
    </row>
    <row r="1561" spans="2:2" x14ac:dyDescent="0.25">
      <c r="B1561" s="6"/>
    </row>
    <row r="1562" spans="2:2" x14ac:dyDescent="0.25">
      <c r="B1562" s="6"/>
    </row>
    <row r="1563" spans="2:2" x14ac:dyDescent="0.25">
      <c r="B1563" s="6"/>
    </row>
    <row r="1564" spans="2:2" x14ac:dyDescent="0.25">
      <c r="B1564" s="6"/>
    </row>
    <row r="1565" spans="2:2" x14ac:dyDescent="0.25">
      <c r="B1565" s="6"/>
    </row>
    <row r="1566" spans="2:2" x14ac:dyDescent="0.25">
      <c r="B1566" s="6"/>
    </row>
    <row r="1567" spans="2:2" x14ac:dyDescent="0.25">
      <c r="B1567" s="6"/>
    </row>
    <row r="1568" spans="2:2" x14ac:dyDescent="0.25">
      <c r="B1568" s="6"/>
    </row>
    <row r="1569" spans="2:2" x14ac:dyDescent="0.25">
      <c r="B1569" s="6"/>
    </row>
    <row r="1570" spans="2:2" x14ac:dyDescent="0.25">
      <c r="B1570" s="6"/>
    </row>
    <row r="1571" spans="2:2" x14ac:dyDescent="0.25">
      <c r="B1571" s="6"/>
    </row>
    <row r="1572" spans="2:2" x14ac:dyDescent="0.25">
      <c r="B1572" s="6"/>
    </row>
    <row r="1573" spans="2:2" x14ac:dyDescent="0.25">
      <c r="B1573" s="6"/>
    </row>
    <row r="1574" spans="2:2" x14ac:dyDescent="0.25">
      <c r="B1574" s="6"/>
    </row>
    <row r="1575" spans="2:2" x14ac:dyDescent="0.25">
      <c r="B1575" s="6"/>
    </row>
    <row r="1576" spans="2:2" x14ac:dyDescent="0.25">
      <c r="B1576" s="6"/>
    </row>
    <row r="1577" spans="2:2" x14ac:dyDescent="0.25">
      <c r="B1577" s="6"/>
    </row>
    <row r="1578" spans="2:2" x14ac:dyDescent="0.25">
      <c r="B1578" s="6"/>
    </row>
    <row r="1579" spans="2:2" x14ac:dyDescent="0.25">
      <c r="B1579" s="6"/>
    </row>
    <row r="1580" spans="2:2" x14ac:dyDescent="0.25">
      <c r="B1580" s="6"/>
    </row>
    <row r="1581" spans="2:2" x14ac:dyDescent="0.25">
      <c r="B1581" s="6"/>
    </row>
    <row r="1582" spans="2:2" x14ac:dyDescent="0.25">
      <c r="B1582" s="6"/>
    </row>
    <row r="1583" spans="2:2" x14ac:dyDescent="0.25">
      <c r="B1583" s="6"/>
    </row>
    <row r="1584" spans="2:2" x14ac:dyDescent="0.25">
      <c r="B1584" s="6"/>
    </row>
    <row r="1585" spans="2:2" x14ac:dyDescent="0.25">
      <c r="B1585" s="6"/>
    </row>
    <row r="1586" spans="2:2" x14ac:dyDescent="0.25">
      <c r="B1586" s="6"/>
    </row>
    <row r="1587" spans="2:2" x14ac:dyDescent="0.25">
      <c r="B1587" s="6"/>
    </row>
    <row r="1588" spans="2:2" x14ac:dyDescent="0.25">
      <c r="B1588" s="6"/>
    </row>
    <row r="1589" spans="2:2" x14ac:dyDescent="0.25">
      <c r="B1589" s="6"/>
    </row>
    <row r="1590" spans="2:2" x14ac:dyDescent="0.25">
      <c r="B1590" s="6"/>
    </row>
    <row r="1591" spans="2:2" x14ac:dyDescent="0.25">
      <c r="B1591" s="6"/>
    </row>
    <row r="1592" spans="2:2" x14ac:dyDescent="0.25">
      <c r="B1592" s="6"/>
    </row>
    <row r="1593" spans="2:2" x14ac:dyDescent="0.25">
      <c r="B1593" s="6"/>
    </row>
    <row r="1594" spans="2:2" x14ac:dyDescent="0.25">
      <c r="B1594" s="6"/>
    </row>
    <row r="1595" spans="2:2" x14ac:dyDescent="0.25">
      <c r="B1595" s="6"/>
    </row>
    <row r="1596" spans="2:2" x14ac:dyDescent="0.25">
      <c r="B1596" s="6"/>
    </row>
    <row r="1597" spans="2:2" x14ac:dyDescent="0.25">
      <c r="B1597" s="6"/>
    </row>
    <row r="1598" spans="2:2" x14ac:dyDescent="0.25">
      <c r="B1598" s="6"/>
    </row>
    <row r="1599" spans="2:2" x14ac:dyDescent="0.25">
      <c r="B1599" s="6"/>
    </row>
    <row r="1600" spans="2:2" x14ac:dyDescent="0.25">
      <c r="B1600" s="6"/>
    </row>
    <row r="1601" spans="2:2" x14ac:dyDescent="0.25">
      <c r="B1601" s="6"/>
    </row>
    <row r="1602" spans="2:2" x14ac:dyDescent="0.25">
      <c r="B1602" s="6"/>
    </row>
    <row r="1603" spans="2:2" x14ac:dyDescent="0.25">
      <c r="B1603" s="6"/>
    </row>
    <row r="1604" spans="2:2" x14ac:dyDescent="0.25">
      <c r="B1604" s="6"/>
    </row>
    <row r="1605" spans="2:2" x14ac:dyDescent="0.25">
      <c r="B1605" s="6"/>
    </row>
    <row r="1606" spans="2:2" x14ac:dyDescent="0.25">
      <c r="B1606" s="6"/>
    </row>
    <row r="1607" spans="2:2" x14ac:dyDescent="0.25">
      <c r="B1607" s="6"/>
    </row>
    <row r="1608" spans="2:2" x14ac:dyDescent="0.25">
      <c r="B1608" s="6"/>
    </row>
    <row r="1609" spans="2:2" x14ac:dyDescent="0.25">
      <c r="B1609" s="6"/>
    </row>
    <row r="1610" spans="2:2" x14ac:dyDescent="0.25">
      <c r="B1610" s="6"/>
    </row>
    <row r="1611" spans="2:2" x14ac:dyDescent="0.25">
      <c r="B1611" s="6"/>
    </row>
    <row r="1612" spans="2:2" x14ac:dyDescent="0.25">
      <c r="B1612" s="6"/>
    </row>
    <row r="1613" spans="2:2" x14ac:dyDescent="0.25">
      <c r="B1613" s="6"/>
    </row>
    <row r="1614" spans="2:2" x14ac:dyDescent="0.25">
      <c r="B1614" s="6"/>
    </row>
    <row r="1615" spans="2:2" x14ac:dyDescent="0.25">
      <c r="B1615" s="6"/>
    </row>
    <row r="1616" spans="2:2" x14ac:dyDescent="0.25">
      <c r="B1616" s="6"/>
    </row>
    <row r="1617" spans="2:2" x14ac:dyDescent="0.25">
      <c r="B1617" s="6"/>
    </row>
    <row r="1618" spans="2:2" x14ac:dyDescent="0.25">
      <c r="B1618" s="6"/>
    </row>
    <row r="1619" spans="2:2" x14ac:dyDescent="0.25">
      <c r="B1619" s="6"/>
    </row>
    <row r="1620" spans="2:2" x14ac:dyDescent="0.25">
      <c r="B1620" s="6"/>
    </row>
    <row r="1621" spans="2:2" x14ac:dyDescent="0.25">
      <c r="B1621" s="6"/>
    </row>
    <row r="1622" spans="2:2" x14ac:dyDescent="0.25">
      <c r="B1622" s="6"/>
    </row>
    <row r="1623" spans="2:2" x14ac:dyDescent="0.25">
      <c r="B1623" s="6"/>
    </row>
    <row r="1624" spans="2:2" x14ac:dyDescent="0.25">
      <c r="B1624" s="6"/>
    </row>
    <row r="1625" spans="2:2" x14ac:dyDescent="0.25">
      <c r="B1625" s="6"/>
    </row>
    <row r="1626" spans="2:2" x14ac:dyDescent="0.25">
      <c r="B1626" s="6"/>
    </row>
    <row r="1627" spans="2:2" x14ac:dyDescent="0.25">
      <c r="B1627" s="6"/>
    </row>
    <row r="1628" spans="2:2" x14ac:dyDescent="0.25">
      <c r="B1628" s="6"/>
    </row>
    <row r="1629" spans="2:2" x14ac:dyDescent="0.25">
      <c r="B1629" s="6"/>
    </row>
    <row r="1630" spans="2:2" x14ac:dyDescent="0.25">
      <c r="B1630" s="6"/>
    </row>
    <row r="1631" spans="2:2" x14ac:dyDescent="0.25">
      <c r="B1631" s="6"/>
    </row>
    <row r="1632" spans="2:2" x14ac:dyDescent="0.25">
      <c r="B1632" s="6"/>
    </row>
    <row r="1633" spans="2:2" x14ac:dyDescent="0.25">
      <c r="B1633" s="6"/>
    </row>
    <row r="1634" spans="2:2" x14ac:dyDescent="0.25">
      <c r="B1634" s="6"/>
    </row>
    <row r="1635" spans="2:2" x14ac:dyDescent="0.25">
      <c r="B1635" s="6"/>
    </row>
    <row r="1636" spans="2:2" x14ac:dyDescent="0.25">
      <c r="B1636" s="6"/>
    </row>
    <row r="1637" spans="2:2" x14ac:dyDescent="0.25">
      <c r="B1637" s="6"/>
    </row>
    <row r="1638" spans="2:2" x14ac:dyDescent="0.25">
      <c r="B1638" s="6"/>
    </row>
    <row r="1639" spans="2:2" x14ac:dyDescent="0.25">
      <c r="B1639" s="6"/>
    </row>
    <row r="1640" spans="2:2" x14ac:dyDescent="0.25">
      <c r="B1640" s="6"/>
    </row>
    <row r="1641" spans="2:2" x14ac:dyDescent="0.25">
      <c r="B1641" s="6"/>
    </row>
    <row r="1642" spans="2:2" x14ac:dyDescent="0.25">
      <c r="B1642" s="6"/>
    </row>
    <row r="1643" spans="2:2" x14ac:dyDescent="0.25">
      <c r="B1643" s="6"/>
    </row>
    <row r="1644" spans="2:2" x14ac:dyDescent="0.25">
      <c r="B1644" s="6"/>
    </row>
    <row r="1645" spans="2:2" x14ac:dyDescent="0.25">
      <c r="B1645" s="6"/>
    </row>
    <row r="1646" spans="2:2" x14ac:dyDescent="0.25">
      <c r="B1646" s="6"/>
    </row>
    <row r="1647" spans="2:2" x14ac:dyDescent="0.25">
      <c r="B1647" s="6"/>
    </row>
    <row r="1648" spans="2:2" x14ac:dyDescent="0.25">
      <c r="B1648" s="6"/>
    </row>
    <row r="1649" spans="2:2" x14ac:dyDescent="0.25">
      <c r="B1649" s="6"/>
    </row>
    <row r="1650" spans="2:2" x14ac:dyDescent="0.25">
      <c r="B1650" s="6"/>
    </row>
    <row r="1651" spans="2:2" x14ac:dyDescent="0.25">
      <c r="B1651" s="6"/>
    </row>
    <row r="1652" spans="2:2" x14ac:dyDescent="0.25">
      <c r="B1652" s="6"/>
    </row>
    <row r="1653" spans="2:2" x14ac:dyDescent="0.25">
      <c r="B1653" s="6"/>
    </row>
    <row r="1654" spans="2:2" x14ac:dyDescent="0.25">
      <c r="B1654" s="6"/>
    </row>
    <row r="1655" spans="2:2" x14ac:dyDescent="0.25">
      <c r="B1655" s="6"/>
    </row>
    <row r="1656" spans="2:2" x14ac:dyDescent="0.25">
      <c r="B1656" s="6"/>
    </row>
    <row r="1657" spans="2:2" x14ac:dyDescent="0.25">
      <c r="B1657" s="6"/>
    </row>
    <row r="1658" spans="2:2" x14ac:dyDescent="0.25">
      <c r="B1658" s="6"/>
    </row>
    <row r="1659" spans="2:2" x14ac:dyDescent="0.25">
      <c r="B1659" s="6"/>
    </row>
    <row r="1660" spans="2:2" x14ac:dyDescent="0.25">
      <c r="B1660" s="6"/>
    </row>
    <row r="1661" spans="2:2" x14ac:dyDescent="0.25">
      <c r="B1661" s="6"/>
    </row>
    <row r="1662" spans="2:2" x14ac:dyDescent="0.25">
      <c r="B1662" s="6"/>
    </row>
    <row r="1663" spans="2:2" x14ac:dyDescent="0.25">
      <c r="B1663" s="6"/>
    </row>
    <row r="1664" spans="2:2" x14ac:dyDescent="0.25">
      <c r="B1664" s="6"/>
    </row>
    <row r="1665" spans="2:2" x14ac:dyDescent="0.25">
      <c r="B1665" s="6"/>
    </row>
    <row r="1666" spans="2:2" x14ac:dyDescent="0.25">
      <c r="B1666" s="6"/>
    </row>
    <row r="1667" spans="2:2" x14ac:dyDescent="0.25">
      <c r="B1667" s="6"/>
    </row>
    <row r="1668" spans="2:2" x14ac:dyDescent="0.25">
      <c r="B1668" s="6"/>
    </row>
    <row r="1669" spans="2:2" x14ac:dyDescent="0.25">
      <c r="B1669" s="6"/>
    </row>
    <row r="1670" spans="2:2" x14ac:dyDescent="0.25">
      <c r="B1670" s="6"/>
    </row>
    <row r="1671" spans="2:2" x14ac:dyDescent="0.25">
      <c r="B1671" s="6"/>
    </row>
    <row r="1672" spans="2:2" x14ac:dyDescent="0.25">
      <c r="B1672" s="6"/>
    </row>
    <row r="1673" spans="2:2" x14ac:dyDescent="0.25">
      <c r="B1673" s="6"/>
    </row>
    <row r="1674" spans="2:2" x14ac:dyDescent="0.25">
      <c r="B1674" s="6"/>
    </row>
    <row r="1675" spans="2:2" x14ac:dyDescent="0.25">
      <c r="B1675" s="6"/>
    </row>
    <row r="1676" spans="2:2" x14ac:dyDescent="0.25">
      <c r="B1676" s="6"/>
    </row>
    <row r="1677" spans="2:2" x14ac:dyDescent="0.25">
      <c r="B1677" s="6"/>
    </row>
    <row r="1678" spans="2:2" x14ac:dyDescent="0.25">
      <c r="B1678" s="6"/>
    </row>
    <row r="1679" spans="2:2" x14ac:dyDescent="0.25">
      <c r="B1679" s="6"/>
    </row>
    <row r="1680" spans="2:2" x14ac:dyDescent="0.25">
      <c r="B1680" s="6"/>
    </row>
    <row r="1681" spans="2:2" x14ac:dyDescent="0.25">
      <c r="B1681" s="6"/>
    </row>
    <row r="1682" spans="2:2" x14ac:dyDescent="0.25">
      <c r="B1682" s="6"/>
    </row>
    <row r="1683" spans="2:2" x14ac:dyDescent="0.25">
      <c r="B1683" s="6"/>
    </row>
    <row r="1684" spans="2:2" x14ac:dyDescent="0.25">
      <c r="B1684" s="6"/>
    </row>
    <row r="1685" spans="2:2" x14ac:dyDescent="0.25">
      <c r="B1685" s="6"/>
    </row>
    <row r="1686" spans="2:2" x14ac:dyDescent="0.25">
      <c r="B1686" s="6"/>
    </row>
    <row r="1687" spans="2:2" x14ac:dyDescent="0.25">
      <c r="B1687" s="6"/>
    </row>
    <row r="1688" spans="2:2" x14ac:dyDescent="0.25">
      <c r="B1688" s="6"/>
    </row>
    <row r="1689" spans="2:2" x14ac:dyDescent="0.25">
      <c r="B1689" s="6"/>
    </row>
    <row r="1690" spans="2:2" x14ac:dyDescent="0.25">
      <c r="B1690" s="6"/>
    </row>
    <row r="1691" spans="2:2" x14ac:dyDescent="0.25">
      <c r="B1691" s="6"/>
    </row>
    <row r="1692" spans="2:2" x14ac:dyDescent="0.25">
      <c r="B1692" s="6"/>
    </row>
    <row r="1693" spans="2:2" x14ac:dyDescent="0.25">
      <c r="B1693" s="6"/>
    </row>
    <row r="1694" spans="2:2" x14ac:dyDescent="0.25">
      <c r="B1694" s="6"/>
    </row>
    <row r="1695" spans="2:2" x14ac:dyDescent="0.25">
      <c r="B1695" s="6"/>
    </row>
    <row r="1696" spans="2:2" x14ac:dyDescent="0.25">
      <c r="B1696" s="6"/>
    </row>
    <row r="1697" spans="2:2" x14ac:dyDescent="0.25">
      <c r="B1697" s="6"/>
    </row>
    <row r="1698" spans="2:2" x14ac:dyDescent="0.25">
      <c r="B1698" s="6"/>
    </row>
    <row r="1699" spans="2:2" x14ac:dyDescent="0.25">
      <c r="B1699" s="6"/>
    </row>
    <row r="1700" spans="2:2" x14ac:dyDescent="0.25">
      <c r="B1700" s="6"/>
    </row>
    <row r="1701" spans="2:2" x14ac:dyDescent="0.25">
      <c r="B1701" s="6"/>
    </row>
    <row r="1702" spans="2:2" x14ac:dyDescent="0.25">
      <c r="B1702" s="6"/>
    </row>
    <row r="1703" spans="2:2" x14ac:dyDescent="0.25">
      <c r="B1703" s="6"/>
    </row>
    <row r="1704" spans="2:2" x14ac:dyDescent="0.25">
      <c r="B1704" s="6"/>
    </row>
    <row r="1705" spans="2:2" x14ac:dyDescent="0.25">
      <c r="B1705" s="6"/>
    </row>
    <row r="1706" spans="2:2" x14ac:dyDescent="0.25">
      <c r="B1706" s="6"/>
    </row>
    <row r="1707" spans="2:2" x14ac:dyDescent="0.25">
      <c r="B1707" s="6"/>
    </row>
    <row r="1708" spans="2:2" x14ac:dyDescent="0.25">
      <c r="B1708" s="6"/>
    </row>
    <row r="1709" spans="2:2" x14ac:dyDescent="0.25">
      <c r="B1709" s="6"/>
    </row>
    <row r="1710" spans="2:2" x14ac:dyDescent="0.25">
      <c r="B1710" s="6"/>
    </row>
    <row r="1711" spans="2:2" x14ac:dyDescent="0.25">
      <c r="B1711" s="6"/>
    </row>
    <row r="1712" spans="2:2" x14ac:dyDescent="0.25">
      <c r="B1712" s="6"/>
    </row>
    <row r="1713" spans="2:2" x14ac:dyDescent="0.25">
      <c r="B1713" s="6"/>
    </row>
    <row r="1714" spans="2:2" x14ac:dyDescent="0.25">
      <c r="B1714" s="6"/>
    </row>
    <row r="1715" spans="2:2" x14ac:dyDescent="0.25">
      <c r="B1715" s="6"/>
    </row>
    <row r="1716" spans="2:2" x14ac:dyDescent="0.25">
      <c r="B1716" s="6"/>
    </row>
    <row r="1717" spans="2:2" x14ac:dyDescent="0.25">
      <c r="B1717" s="6"/>
    </row>
    <row r="1718" spans="2:2" x14ac:dyDescent="0.25">
      <c r="B1718" s="6"/>
    </row>
    <row r="1719" spans="2:2" x14ac:dyDescent="0.25">
      <c r="B1719" s="6"/>
    </row>
    <row r="1720" spans="2:2" x14ac:dyDescent="0.25">
      <c r="B1720" s="6"/>
    </row>
    <row r="1721" spans="2:2" x14ac:dyDescent="0.25">
      <c r="B1721" s="6"/>
    </row>
    <row r="1722" spans="2:2" x14ac:dyDescent="0.25">
      <c r="B1722" s="6"/>
    </row>
    <row r="1723" spans="2:2" x14ac:dyDescent="0.25">
      <c r="B1723" s="6"/>
    </row>
    <row r="1724" spans="2:2" x14ac:dyDescent="0.25">
      <c r="B1724" s="6"/>
    </row>
    <row r="1725" spans="2:2" x14ac:dyDescent="0.25">
      <c r="B1725" s="6"/>
    </row>
    <row r="1726" spans="2:2" x14ac:dyDescent="0.25">
      <c r="B1726" s="6"/>
    </row>
    <row r="1727" spans="2:2" x14ac:dyDescent="0.25">
      <c r="B1727" s="6"/>
    </row>
    <row r="1728" spans="2:2" x14ac:dyDescent="0.25">
      <c r="B1728" s="6"/>
    </row>
    <row r="1729" spans="2:2" x14ac:dyDescent="0.25">
      <c r="B1729" s="6"/>
    </row>
    <row r="1730" spans="2:2" x14ac:dyDescent="0.25">
      <c r="B1730" s="6"/>
    </row>
    <row r="1731" spans="2:2" x14ac:dyDescent="0.25">
      <c r="B1731" s="6"/>
    </row>
    <row r="1732" spans="2:2" x14ac:dyDescent="0.25">
      <c r="B1732" s="6"/>
    </row>
    <row r="1733" spans="2:2" x14ac:dyDescent="0.25">
      <c r="B1733" s="6"/>
    </row>
    <row r="1734" spans="2:2" x14ac:dyDescent="0.25">
      <c r="B1734" s="6"/>
    </row>
    <row r="1735" spans="2:2" x14ac:dyDescent="0.25">
      <c r="B1735" s="6"/>
    </row>
    <row r="1736" spans="2:2" x14ac:dyDescent="0.25">
      <c r="B1736" s="6"/>
    </row>
    <row r="1737" spans="2:2" x14ac:dyDescent="0.25">
      <c r="B1737" s="6"/>
    </row>
    <row r="1738" spans="2:2" x14ac:dyDescent="0.25">
      <c r="B1738" s="6"/>
    </row>
    <row r="1739" spans="2:2" x14ac:dyDescent="0.25">
      <c r="B1739" s="6"/>
    </row>
    <row r="1740" spans="2:2" x14ac:dyDescent="0.25">
      <c r="B1740" s="6"/>
    </row>
    <row r="1741" spans="2:2" x14ac:dyDescent="0.25">
      <c r="B1741" s="6"/>
    </row>
    <row r="1742" spans="2:2" x14ac:dyDescent="0.25">
      <c r="B1742" s="6"/>
    </row>
    <row r="1743" spans="2:2" x14ac:dyDescent="0.25">
      <c r="B1743" s="6"/>
    </row>
    <row r="1744" spans="2:2" x14ac:dyDescent="0.25">
      <c r="B1744" s="6"/>
    </row>
    <row r="1745" spans="2:2" x14ac:dyDescent="0.25">
      <c r="B1745" s="6"/>
    </row>
    <row r="1746" spans="2:2" x14ac:dyDescent="0.25">
      <c r="B1746" s="6"/>
    </row>
    <row r="1747" spans="2:2" x14ac:dyDescent="0.25">
      <c r="B1747" s="6"/>
    </row>
    <row r="1748" spans="2:2" x14ac:dyDescent="0.25">
      <c r="B1748" s="6"/>
    </row>
    <row r="1749" spans="2:2" x14ac:dyDescent="0.25">
      <c r="B1749" s="6"/>
    </row>
    <row r="1750" spans="2:2" x14ac:dyDescent="0.25">
      <c r="B1750" s="6"/>
    </row>
    <row r="1751" spans="2:2" x14ac:dyDescent="0.25">
      <c r="B1751" s="6"/>
    </row>
    <row r="1752" spans="2:2" x14ac:dyDescent="0.25">
      <c r="B1752" s="6"/>
    </row>
    <row r="1753" spans="2:2" x14ac:dyDescent="0.25">
      <c r="B1753" s="6"/>
    </row>
    <row r="1754" spans="2:2" x14ac:dyDescent="0.25">
      <c r="B1754" s="6"/>
    </row>
    <row r="1755" spans="2:2" x14ac:dyDescent="0.25">
      <c r="B1755" s="6"/>
    </row>
    <row r="1756" spans="2:2" x14ac:dyDescent="0.25">
      <c r="B1756" s="6"/>
    </row>
    <row r="1757" spans="2:2" x14ac:dyDescent="0.25">
      <c r="B1757" s="6"/>
    </row>
    <row r="1758" spans="2:2" x14ac:dyDescent="0.25">
      <c r="B1758" s="6"/>
    </row>
    <row r="1759" spans="2:2" x14ac:dyDescent="0.25">
      <c r="B1759" s="6"/>
    </row>
    <row r="1760" spans="2:2" x14ac:dyDescent="0.25">
      <c r="B1760" s="6"/>
    </row>
    <row r="1761" spans="2:2" x14ac:dyDescent="0.25">
      <c r="B1761" s="6"/>
    </row>
    <row r="1762" spans="2:2" x14ac:dyDescent="0.25">
      <c r="B1762" s="6"/>
    </row>
    <row r="1763" spans="2:2" x14ac:dyDescent="0.25">
      <c r="B1763" s="6"/>
    </row>
    <row r="1764" spans="2:2" x14ac:dyDescent="0.25">
      <c r="B1764" s="6"/>
    </row>
    <row r="1765" spans="2:2" x14ac:dyDescent="0.25">
      <c r="B1765" s="6"/>
    </row>
    <row r="1766" spans="2:2" x14ac:dyDescent="0.25">
      <c r="B1766" s="6"/>
    </row>
    <row r="1767" spans="2:2" x14ac:dyDescent="0.25">
      <c r="B1767" s="6"/>
    </row>
    <row r="1768" spans="2:2" x14ac:dyDescent="0.25">
      <c r="B1768" s="6"/>
    </row>
    <row r="1769" spans="2:2" x14ac:dyDescent="0.25">
      <c r="B1769" s="6"/>
    </row>
    <row r="1770" spans="2:2" x14ac:dyDescent="0.25">
      <c r="B1770" s="6"/>
    </row>
    <row r="1771" spans="2:2" x14ac:dyDescent="0.25">
      <c r="B1771" s="6"/>
    </row>
    <row r="1772" spans="2:2" x14ac:dyDescent="0.25">
      <c r="B1772" s="6"/>
    </row>
    <row r="1773" spans="2:2" x14ac:dyDescent="0.25">
      <c r="B1773" s="6"/>
    </row>
    <row r="1774" spans="2:2" x14ac:dyDescent="0.25">
      <c r="B1774" s="6"/>
    </row>
    <row r="1775" spans="2:2" x14ac:dyDescent="0.25">
      <c r="B1775" s="6"/>
    </row>
    <row r="1776" spans="2:2" x14ac:dyDescent="0.25">
      <c r="B1776" s="6"/>
    </row>
    <row r="1777" spans="2:2" x14ac:dyDescent="0.25">
      <c r="B1777" s="6"/>
    </row>
    <row r="1778" spans="2:2" x14ac:dyDescent="0.25">
      <c r="B1778" s="6"/>
    </row>
    <row r="1779" spans="2:2" x14ac:dyDescent="0.25">
      <c r="B1779" s="6"/>
    </row>
    <row r="1780" spans="2:2" x14ac:dyDescent="0.25">
      <c r="B1780" s="6"/>
    </row>
    <row r="1781" spans="2:2" x14ac:dyDescent="0.25">
      <c r="B1781" s="6"/>
    </row>
    <row r="1782" spans="2:2" x14ac:dyDescent="0.25">
      <c r="B1782" s="6"/>
    </row>
    <row r="1783" spans="2:2" x14ac:dyDescent="0.25">
      <c r="B1783" s="6"/>
    </row>
    <row r="1784" spans="2:2" x14ac:dyDescent="0.25">
      <c r="B1784" s="6"/>
    </row>
    <row r="1785" spans="2:2" x14ac:dyDescent="0.25">
      <c r="B1785" s="6"/>
    </row>
    <row r="1786" spans="2:2" x14ac:dyDescent="0.25">
      <c r="B1786" s="6"/>
    </row>
    <row r="1787" spans="2:2" x14ac:dyDescent="0.25">
      <c r="B1787" s="6"/>
    </row>
    <row r="1788" spans="2:2" x14ac:dyDescent="0.25">
      <c r="B1788" s="6"/>
    </row>
    <row r="1789" spans="2:2" x14ac:dyDescent="0.25">
      <c r="B1789" s="6"/>
    </row>
    <row r="1790" spans="2:2" x14ac:dyDescent="0.25">
      <c r="B1790" s="6"/>
    </row>
    <row r="1791" spans="2:2" x14ac:dyDescent="0.25">
      <c r="B1791" s="6"/>
    </row>
    <row r="1792" spans="2:2" x14ac:dyDescent="0.25">
      <c r="B1792" s="6"/>
    </row>
    <row r="1793" spans="2:2" x14ac:dyDescent="0.25">
      <c r="B1793" s="6"/>
    </row>
    <row r="1794" spans="2:2" x14ac:dyDescent="0.25">
      <c r="B1794" s="6"/>
    </row>
    <row r="1795" spans="2:2" x14ac:dyDescent="0.25">
      <c r="B1795" s="6"/>
    </row>
    <row r="1796" spans="2:2" x14ac:dyDescent="0.25">
      <c r="B1796" s="6"/>
    </row>
    <row r="1797" spans="2:2" x14ac:dyDescent="0.25">
      <c r="B1797" s="6"/>
    </row>
    <row r="1798" spans="2:2" x14ac:dyDescent="0.25">
      <c r="B1798" s="6"/>
    </row>
    <row r="1799" spans="2:2" x14ac:dyDescent="0.25">
      <c r="B1799" s="6"/>
    </row>
    <row r="1800" spans="2:2" x14ac:dyDescent="0.25">
      <c r="B1800" s="6"/>
    </row>
    <row r="1801" spans="2:2" x14ac:dyDescent="0.25">
      <c r="B1801" s="6"/>
    </row>
    <row r="1802" spans="2:2" x14ac:dyDescent="0.25">
      <c r="B1802" s="6"/>
    </row>
    <row r="1803" spans="2:2" x14ac:dyDescent="0.25">
      <c r="B1803" s="6"/>
    </row>
    <row r="1804" spans="2:2" x14ac:dyDescent="0.25">
      <c r="B1804" s="6"/>
    </row>
    <row r="1805" spans="2:2" x14ac:dyDescent="0.25">
      <c r="B1805" s="6"/>
    </row>
    <row r="1806" spans="2:2" x14ac:dyDescent="0.25">
      <c r="B1806" s="6"/>
    </row>
    <row r="1807" spans="2:2" x14ac:dyDescent="0.25">
      <c r="B1807" s="6"/>
    </row>
    <row r="1808" spans="2:2" x14ac:dyDescent="0.25">
      <c r="B1808" s="6"/>
    </row>
    <row r="1809" spans="2:2" x14ac:dyDescent="0.25">
      <c r="B1809" s="6"/>
    </row>
    <row r="1810" spans="2:2" x14ac:dyDescent="0.25">
      <c r="B1810" s="6"/>
    </row>
    <row r="1811" spans="2:2" x14ac:dyDescent="0.25">
      <c r="B1811" s="6"/>
    </row>
    <row r="1812" spans="2:2" x14ac:dyDescent="0.25">
      <c r="B1812" s="6"/>
    </row>
    <row r="1813" spans="2:2" x14ac:dyDescent="0.25">
      <c r="B1813" s="6"/>
    </row>
    <row r="1814" spans="2:2" x14ac:dyDescent="0.25">
      <c r="B1814" s="6"/>
    </row>
    <row r="1815" spans="2:2" x14ac:dyDescent="0.25">
      <c r="B1815" s="6"/>
    </row>
    <row r="1816" spans="2:2" x14ac:dyDescent="0.25">
      <c r="B1816" s="6"/>
    </row>
    <row r="1817" spans="2:2" x14ac:dyDescent="0.25">
      <c r="B1817" s="6"/>
    </row>
    <row r="1818" spans="2:2" x14ac:dyDescent="0.25">
      <c r="B1818" s="6"/>
    </row>
    <row r="1819" spans="2:2" x14ac:dyDescent="0.25">
      <c r="B1819" s="6"/>
    </row>
    <row r="1820" spans="2:2" x14ac:dyDescent="0.25">
      <c r="B1820" s="6"/>
    </row>
    <row r="1821" spans="2:2" x14ac:dyDescent="0.25">
      <c r="B1821" s="6"/>
    </row>
    <row r="1822" spans="2:2" x14ac:dyDescent="0.25">
      <c r="B1822" s="6"/>
    </row>
    <row r="1823" spans="2:2" x14ac:dyDescent="0.25">
      <c r="B1823" s="6"/>
    </row>
    <row r="1824" spans="2:2" x14ac:dyDescent="0.25">
      <c r="B1824" s="6"/>
    </row>
    <row r="1825" spans="2:2" x14ac:dyDescent="0.25">
      <c r="B1825" s="6"/>
    </row>
    <row r="1826" spans="2:2" x14ac:dyDescent="0.25">
      <c r="B1826" s="6"/>
    </row>
    <row r="1827" spans="2:2" x14ac:dyDescent="0.25">
      <c r="B1827" s="6"/>
    </row>
    <row r="1828" spans="2:2" x14ac:dyDescent="0.25">
      <c r="B1828" s="6"/>
    </row>
    <row r="1829" spans="2:2" x14ac:dyDescent="0.25">
      <c r="B1829" s="6"/>
    </row>
    <row r="1830" spans="2:2" x14ac:dyDescent="0.25">
      <c r="B1830" s="6"/>
    </row>
    <row r="1831" spans="2:2" x14ac:dyDescent="0.25">
      <c r="B1831" s="6"/>
    </row>
    <row r="1832" spans="2:2" x14ac:dyDescent="0.25">
      <c r="B1832" s="6"/>
    </row>
    <row r="1833" spans="2:2" x14ac:dyDescent="0.25">
      <c r="B1833" s="6"/>
    </row>
    <row r="1834" spans="2:2" x14ac:dyDescent="0.25">
      <c r="B1834" s="6"/>
    </row>
    <row r="1835" spans="2:2" x14ac:dyDescent="0.25">
      <c r="B1835" s="6"/>
    </row>
    <row r="1836" spans="2:2" x14ac:dyDescent="0.25">
      <c r="B1836" s="6"/>
    </row>
    <row r="1837" spans="2:2" x14ac:dyDescent="0.25">
      <c r="B1837" s="6"/>
    </row>
    <row r="1838" spans="2:2" x14ac:dyDescent="0.25">
      <c r="B1838" s="6"/>
    </row>
    <row r="1839" spans="2:2" x14ac:dyDescent="0.25">
      <c r="B1839" s="6"/>
    </row>
    <row r="1840" spans="2:2" x14ac:dyDescent="0.25">
      <c r="B1840" s="6"/>
    </row>
    <row r="1841" spans="2:2" x14ac:dyDescent="0.25">
      <c r="B1841" s="6"/>
    </row>
    <row r="1842" spans="2:2" x14ac:dyDescent="0.25">
      <c r="B1842" s="6"/>
    </row>
    <row r="1843" spans="2:2" x14ac:dyDescent="0.25">
      <c r="B1843" s="6"/>
    </row>
    <row r="1844" spans="2:2" x14ac:dyDescent="0.25">
      <c r="B1844" s="6"/>
    </row>
    <row r="1845" spans="2:2" x14ac:dyDescent="0.25">
      <c r="B1845" s="6"/>
    </row>
    <row r="1846" spans="2:2" x14ac:dyDescent="0.25">
      <c r="B1846" s="6"/>
    </row>
    <row r="1847" spans="2:2" x14ac:dyDescent="0.25">
      <c r="B1847" s="6"/>
    </row>
    <row r="1848" spans="2:2" x14ac:dyDescent="0.25">
      <c r="B1848" s="6"/>
    </row>
    <row r="1849" spans="2:2" x14ac:dyDescent="0.25">
      <c r="B1849" s="6"/>
    </row>
    <row r="1850" spans="2:2" x14ac:dyDescent="0.25">
      <c r="B1850" s="6"/>
    </row>
    <row r="1851" spans="2:2" x14ac:dyDescent="0.25">
      <c r="B1851" s="6"/>
    </row>
    <row r="1852" spans="2:2" x14ac:dyDescent="0.25">
      <c r="B1852" s="6"/>
    </row>
    <row r="1853" spans="2:2" x14ac:dyDescent="0.25">
      <c r="B1853" s="6"/>
    </row>
    <row r="1854" spans="2:2" x14ac:dyDescent="0.25">
      <c r="B1854" s="6"/>
    </row>
    <row r="1855" spans="2:2" x14ac:dyDescent="0.25">
      <c r="B1855" s="6"/>
    </row>
    <row r="1856" spans="2:2" x14ac:dyDescent="0.25">
      <c r="B1856" s="6"/>
    </row>
    <row r="1857" spans="2:2" x14ac:dyDescent="0.25">
      <c r="B1857" s="6"/>
    </row>
    <row r="1858" spans="2:2" x14ac:dyDescent="0.25">
      <c r="B1858" s="6"/>
    </row>
    <row r="1859" spans="2:2" x14ac:dyDescent="0.25">
      <c r="B1859" s="6"/>
    </row>
    <row r="1860" spans="2:2" x14ac:dyDescent="0.25">
      <c r="B1860" s="6"/>
    </row>
    <row r="1861" spans="2:2" x14ac:dyDescent="0.25">
      <c r="B1861" s="6"/>
    </row>
    <row r="1862" spans="2:2" x14ac:dyDescent="0.25">
      <c r="B1862" s="6"/>
    </row>
    <row r="1863" spans="2:2" x14ac:dyDescent="0.25">
      <c r="B1863" s="6"/>
    </row>
    <row r="1864" spans="2:2" x14ac:dyDescent="0.25">
      <c r="B1864" s="6"/>
    </row>
    <row r="1865" spans="2:2" x14ac:dyDescent="0.25">
      <c r="B1865" s="6"/>
    </row>
    <row r="1866" spans="2:2" x14ac:dyDescent="0.25">
      <c r="B1866" s="6"/>
    </row>
    <row r="1867" spans="2:2" x14ac:dyDescent="0.25">
      <c r="B1867" s="6"/>
    </row>
    <row r="1868" spans="2:2" x14ac:dyDescent="0.25">
      <c r="B1868" s="6"/>
    </row>
    <row r="1869" spans="2:2" x14ac:dyDescent="0.25">
      <c r="B1869" s="6"/>
    </row>
    <row r="1870" spans="2:2" x14ac:dyDescent="0.25">
      <c r="B1870" s="6"/>
    </row>
    <row r="1871" spans="2:2" x14ac:dyDescent="0.25">
      <c r="B1871" s="6"/>
    </row>
    <row r="1872" spans="2:2" x14ac:dyDescent="0.25">
      <c r="B1872" s="6"/>
    </row>
    <row r="1873" spans="2:2" x14ac:dyDescent="0.25">
      <c r="B1873" s="6"/>
    </row>
    <row r="1874" spans="2:2" x14ac:dyDescent="0.25">
      <c r="B1874" s="6"/>
    </row>
    <row r="1875" spans="2:2" x14ac:dyDescent="0.25">
      <c r="B1875" s="6"/>
    </row>
    <row r="1876" spans="2:2" x14ac:dyDescent="0.25">
      <c r="B1876" s="6"/>
    </row>
    <row r="1877" spans="2:2" x14ac:dyDescent="0.25">
      <c r="B1877" s="6"/>
    </row>
    <row r="1878" spans="2:2" x14ac:dyDescent="0.25">
      <c r="B1878" s="6"/>
    </row>
    <row r="1879" spans="2:2" x14ac:dyDescent="0.25">
      <c r="B1879" s="6"/>
    </row>
    <row r="1880" spans="2:2" x14ac:dyDescent="0.25">
      <c r="B1880" s="6"/>
    </row>
    <row r="1881" spans="2:2" x14ac:dyDescent="0.25">
      <c r="B1881" s="6"/>
    </row>
    <row r="1882" spans="2:2" x14ac:dyDescent="0.25">
      <c r="B1882" s="6"/>
    </row>
    <row r="1883" spans="2:2" x14ac:dyDescent="0.25">
      <c r="B1883" s="6"/>
    </row>
    <row r="1884" spans="2:2" x14ac:dyDescent="0.25">
      <c r="B1884" s="6"/>
    </row>
    <row r="1885" spans="2:2" x14ac:dyDescent="0.25">
      <c r="B1885" s="6"/>
    </row>
    <row r="1886" spans="2:2" x14ac:dyDescent="0.25">
      <c r="B1886" s="6"/>
    </row>
    <row r="1887" spans="2:2" x14ac:dyDescent="0.25">
      <c r="B1887" s="6"/>
    </row>
    <row r="1888" spans="2:2" x14ac:dyDescent="0.25">
      <c r="B1888" s="6"/>
    </row>
    <row r="1889" spans="2:2" x14ac:dyDescent="0.25">
      <c r="B1889" s="6"/>
    </row>
    <row r="1890" spans="2:2" x14ac:dyDescent="0.25">
      <c r="B1890" s="6"/>
    </row>
    <row r="1891" spans="2:2" x14ac:dyDescent="0.25">
      <c r="B1891" s="6"/>
    </row>
    <row r="1892" spans="2:2" x14ac:dyDescent="0.25">
      <c r="B1892" s="6"/>
    </row>
    <row r="1893" spans="2:2" x14ac:dyDescent="0.25">
      <c r="B1893" s="6"/>
    </row>
    <row r="1894" spans="2:2" x14ac:dyDescent="0.25">
      <c r="B1894" s="6"/>
    </row>
    <row r="1895" spans="2:2" x14ac:dyDescent="0.25">
      <c r="B1895" s="6"/>
    </row>
    <row r="1896" spans="2:2" x14ac:dyDescent="0.25">
      <c r="B1896" s="6"/>
    </row>
    <row r="1897" spans="2:2" x14ac:dyDescent="0.25">
      <c r="B1897" s="6"/>
    </row>
    <row r="1898" spans="2:2" x14ac:dyDescent="0.25">
      <c r="B1898" s="6"/>
    </row>
    <row r="1899" spans="2:2" x14ac:dyDescent="0.25">
      <c r="B1899" s="6"/>
    </row>
    <row r="1900" spans="2:2" x14ac:dyDescent="0.25">
      <c r="B1900" s="6"/>
    </row>
    <row r="1901" spans="2:2" x14ac:dyDescent="0.25">
      <c r="B1901" s="6"/>
    </row>
    <row r="1902" spans="2:2" x14ac:dyDescent="0.25">
      <c r="B1902" s="6"/>
    </row>
    <row r="1903" spans="2:2" x14ac:dyDescent="0.25">
      <c r="B1903" s="6"/>
    </row>
    <row r="1904" spans="2:2" x14ac:dyDescent="0.25">
      <c r="B1904" s="6"/>
    </row>
    <row r="1905" spans="2:2" x14ac:dyDescent="0.25">
      <c r="B1905" s="6"/>
    </row>
    <row r="1906" spans="2:2" x14ac:dyDescent="0.25">
      <c r="B1906" s="6"/>
    </row>
    <row r="1907" spans="2:2" x14ac:dyDescent="0.25">
      <c r="B1907" s="6"/>
    </row>
    <row r="1908" spans="2:2" x14ac:dyDescent="0.25">
      <c r="B1908" s="6"/>
    </row>
    <row r="1909" spans="2:2" x14ac:dyDescent="0.25">
      <c r="B1909" s="6"/>
    </row>
    <row r="1910" spans="2:2" x14ac:dyDescent="0.25">
      <c r="B1910" s="6"/>
    </row>
    <row r="1911" spans="2:2" x14ac:dyDescent="0.25">
      <c r="B1911" s="6"/>
    </row>
    <row r="1912" spans="2:2" x14ac:dyDescent="0.25">
      <c r="B1912" s="6"/>
    </row>
    <row r="1913" spans="2:2" x14ac:dyDescent="0.25">
      <c r="B1913" s="6"/>
    </row>
    <row r="1914" spans="2:2" x14ac:dyDescent="0.25">
      <c r="B1914" s="6"/>
    </row>
    <row r="1915" spans="2:2" x14ac:dyDescent="0.25">
      <c r="B1915" s="6"/>
    </row>
    <row r="1916" spans="2:2" x14ac:dyDescent="0.25">
      <c r="B1916" s="6"/>
    </row>
    <row r="1917" spans="2:2" x14ac:dyDescent="0.25">
      <c r="B1917" s="6"/>
    </row>
    <row r="1918" spans="2:2" x14ac:dyDescent="0.25">
      <c r="B1918" s="6"/>
    </row>
    <row r="1919" spans="2:2" x14ac:dyDescent="0.25">
      <c r="B1919" s="6"/>
    </row>
    <row r="1920" spans="2:2" x14ac:dyDescent="0.25">
      <c r="B1920" s="6"/>
    </row>
    <row r="1921" spans="2:2" x14ac:dyDescent="0.25">
      <c r="B1921" s="6"/>
    </row>
    <row r="1922" spans="2:2" x14ac:dyDescent="0.25">
      <c r="B1922" s="6"/>
    </row>
    <row r="1923" spans="2:2" x14ac:dyDescent="0.25">
      <c r="B1923" s="6"/>
    </row>
    <row r="1924" spans="2:2" x14ac:dyDescent="0.25">
      <c r="B1924" s="6"/>
    </row>
    <row r="1925" spans="2:2" x14ac:dyDescent="0.25">
      <c r="B1925" s="6"/>
    </row>
    <row r="1926" spans="2:2" x14ac:dyDescent="0.25">
      <c r="B1926" s="6"/>
    </row>
    <row r="1927" spans="2:2" x14ac:dyDescent="0.25">
      <c r="B1927" s="6"/>
    </row>
    <row r="1928" spans="2:2" x14ac:dyDescent="0.25">
      <c r="B1928" s="6"/>
    </row>
    <row r="1929" spans="2:2" x14ac:dyDescent="0.25">
      <c r="B1929" s="6"/>
    </row>
    <row r="1930" spans="2:2" x14ac:dyDescent="0.25">
      <c r="B1930" s="6"/>
    </row>
    <row r="1931" spans="2:2" x14ac:dyDescent="0.25">
      <c r="B1931" s="6"/>
    </row>
    <row r="1932" spans="2:2" x14ac:dyDescent="0.25">
      <c r="B1932" s="6"/>
    </row>
    <row r="1933" spans="2:2" x14ac:dyDescent="0.25">
      <c r="B1933" s="6"/>
    </row>
    <row r="1934" spans="2:2" x14ac:dyDescent="0.25">
      <c r="B1934" s="6"/>
    </row>
    <row r="1935" spans="2:2" x14ac:dyDescent="0.25">
      <c r="B1935" s="6"/>
    </row>
    <row r="1936" spans="2:2" x14ac:dyDescent="0.25">
      <c r="B1936" s="6"/>
    </row>
    <row r="1937" spans="2:2" x14ac:dyDescent="0.25">
      <c r="B1937" s="6"/>
    </row>
    <row r="1938" spans="2:2" x14ac:dyDescent="0.25">
      <c r="B1938" s="6"/>
    </row>
    <row r="1939" spans="2:2" x14ac:dyDescent="0.25">
      <c r="B1939" s="6"/>
    </row>
    <row r="1940" spans="2:2" x14ac:dyDescent="0.25">
      <c r="B1940" s="6"/>
    </row>
    <row r="1941" spans="2:2" x14ac:dyDescent="0.25">
      <c r="B1941" s="6"/>
    </row>
    <row r="1942" spans="2:2" x14ac:dyDescent="0.25">
      <c r="B1942" s="6"/>
    </row>
    <row r="1943" spans="2:2" x14ac:dyDescent="0.25">
      <c r="B1943" s="6"/>
    </row>
    <row r="1944" spans="2:2" x14ac:dyDescent="0.25">
      <c r="B1944" s="6"/>
    </row>
    <row r="1945" spans="2:2" x14ac:dyDescent="0.25">
      <c r="B1945" s="6"/>
    </row>
    <row r="1946" spans="2:2" x14ac:dyDescent="0.25">
      <c r="B1946" s="6"/>
    </row>
    <row r="1947" spans="2:2" x14ac:dyDescent="0.25">
      <c r="B1947" s="6"/>
    </row>
    <row r="1948" spans="2:2" x14ac:dyDescent="0.25">
      <c r="B1948" s="6"/>
    </row>
    <row r="1949" spans="2:2" x14ac:dyDescent="0.25">
      <c r="B1949" s="6"/>
    </row>
    <row r="1950" spans="2:2" x14ac:dyDescent="0.25">
      <c r="B1950" s="6"/>
    </row>
    <row r="1951" spans="2:2" x14ac:dyDescent="0.25">
      <c r="B1951" s="6"/>
    </row>
    <row r="1952" spans="2:2" x14ac:dyDescent="0.25">
      <c r="B1952" s="6"/>
    </row>
    <row r="1953" spans="2:2" x14ac:dyDescent="0.25">
      <c r="B1953" s="6"/>
    </row>
    <row r="1954" spans="2:2" x14ac:dyDescent="0.25">
      <c r="B1954" s="6"/>
    </row>
    <row r="1955" spans="2:2" x14ac:dyDescent="0.25">
      <c r="B1955" s="6"/>
    </row>
    <row r="1956" spans="2:2" x14ac:dyDescent="0.25">
      <c r="B1956" s="6"/>
    </row>
    <row r="1957" spans="2:2" x14ac:dyDescent="0.25">
      <c r="B1957" s="6"/>
    </row>
    <row r="1958" spans="2:2" x14ac:dyDescent="0.25">
      <c r="B1958" s="6"/>
    </row>
    <row r="1959" spans="2:2" x14ac:dyDescent="0.25">
      <c r="B1959" s="6"/>
    </row>
    <row r="1960" spans="2:2" x14ac:dyDescent="0.25">
      <c r="B1960" s="6"/>
    </row>
    <row r="1961" spans="2:2" x14ac:dyDescent="0.25">
      <c r="B1961" s="6"/>
    </row>
    <row r="1962" spans="2:2" x14ac:dyDescent="0.25">
      <c r="B1962" s="6"/>
    </row>
    <row r="1963" spans="2:2" x14ac:dyDescent="0.25">
      <c r="B1963" s="6"/>
    </row>
    <row r="1964" spans="2:2" x14ac:dyDescent="0.25">
      <c r="B1964" s="6"/>
    </row>
    <row r="1965" spans="2:2" x14ac:dyDescent="0.25">
      <c r="B1965" s="6"/>
    </row>
    <row r="1966" spans="2:2" x14ac:dyDescent="0.25">
      <c r="B1966" s="6"/>
    </row>
    <row r="1967" spans="2:2" x14ac:dyDescent="0.25">
      <c r="B1967" s="6"/>
    </row>
    <row r="1968" spans="2:2" x14ac:dyDescent="0.25">
      <c r="B1968" s="6"/>
    </row>
    <row r="1969" spans="2:2" x14ac:dyDescent="0.25">
      <c r="B1969" s="6"/>
    </row>
    <row r="1970" spans="2:2" x14ac:dyDescent="0.25">
      <c r="B1970" s="6"/>
    </row>
    <row r="1971" spans="2:2" x14ac:dyDescent="0.25">
      <c r="B1971" s="6"/>
    </row>
    <row r="1972" spans="2:2" x14ac:dyDescent="0.25">
      <c r="B1972" s="6"/>
    </row>
    <row r="1973" spans="2:2" x14ac:dyDescent="0.25">
      <c r="B1973" s="6"/>
    </row>
    <row r="1974" spans="2:2" x14ac:dyDescent="0.25">
      <c r="B1974" s="6"/>
    </row>
    <row r="1975" spans="2:2" x14ac:dyDescent="0.25">
      <c r="B1975" s="6"/>
    </row>
    <row r="1976" spans="2:2" x14ac:dyDescent="0.25">
      <c r="B1976" s="6"/>
    </row>
    <row r="1977" spans="2:2" x14ac:dyDescent="0.25">
      <c r="B1977" s="6"/>
    </row>
    <row r="1978" spans="2:2" x14ac:dyDescent="0.25">
      <c r="B1978" s="6"/>
    </row>
    <row r="1979" spans="2:2" x14ac:dyDescent="0.25">
      <c r="B1979" s="6"/>
    </row>
    <row r="1980" spans="2:2" x14ac:dyDescent="0.25">
      <c r="B1980" s="6"/>
    </row>
    <row r="1981" spans="2:2" x14ac:dyDescent="0.25">
      <c r="B1981" s="6"/>
    </row>
    <row r="1982" spans="2:2" x14ac:dyDescent="0.25">
      <c r="B1982" s="6"/>
    </row>
    <row r="1983" spans="2:2" x14ac:dyDescent="0.25">
      <c r="B1983" s="6"/>
    </row>
    <row r="1984" spans="2:2" x14ac:dyDescent="0.25">
      <c r="B1984" s="6"/>
    </row>
    <row r="1985" spans="2:2" x14ac:dyDescent="0.25">
      <c r="B1985" s="6"/>
    </row>
    <row r="1986" spans="2:2" x14ac:dyDescent="0.25">
      <c r="B1986" s="6"/>
    </row>
    <row r="1987" spans="2:2" x14ac:dyDescent="0.25">
      <c r="B1987" s="6"/>
    </row>
    <row r="1988" spans="2:2" x14ac:dyDescent="0.25">
      <c r="B1988" s="6"/>
    </row>
    <row r="1989" spans="2:2" x14ac:dyDescent="0.25">
      <c r="B1989" s="6"/>
    </row>
    <row r="1990" spans="2:2" x14ac:dyDescent="0.25">
      <c r="B1990" s="6"/>
    </row>
    <row r="1991" spans="2:2" x14ac:dyDescent="0.25">
      <c r="B1991" s="6"/>
    </row>
    <row r="1992" spans="2:2" x14ac:dyDescent="0.25">
      <c r="B1992" s="6"/>
    </row>
    <row r="1993" spans="2:2" x14ac:dyDescent="0.25">
      <c r="B1993" s="6"/>
    </row>
    <row r="1994" spans="2:2" x14ac:dyDescent="0.25">
      <c r="B1994" s="6"/>
    </row>
    <row r="1995" spans="2:2" x14ac:dyDescent="0.25">
      <c r="B1995" s="6"/>
    </row>
    <row r="1996" spans="2:2" x14ac:dyDescent="0.25">
      <c r="B1996" s="6"/>
    </row>
    <row r="1997" spans="2:2" x14ac:dyDescent="0.25">
      <c r="B1997" s="6"/>
    </row>
    <row r="1998" spans="2:2" x14ac:dyDescent="0.25">
      <c r="B1998" s="6"/>
    </row>
    <row r="1999" spans="2:2" x14ac:dyDescent="0.25">
      <c r="B1999" s="6"/>
    </row>
    <row r="2000" spans="2:2" x14ac:dyDescent="0.25">
      <c r="B2000" s="6"/>
    </row>
    <row r="2001" spans="2:2" x14ac:dyDescent="0.25">
      <c r="B2001" s="6"/>
    </row>
    <row r="2002" spans="2:2" x14ac:dyDescent="0.25">
      <c r="B2002" s="6"/>
    </row>
    <row r="2003" spans="2:2" x14ac:dyDescent="0.25">
      <c r="B2003" s="6"/>
    </row>
    <row r="2004" spans="2:2" x14ac:dyDescent="0.25">
      <c r="B2004" s="6"/>
    </row>
    <row r="2005" spans="2:2" x14ac:dyDescent="0.25">
      <c r="B2005" s="6"/>
    </row>
    <row r="2006" spans="2:2" x14ac:dyDescent="0.25">
      <c r="B2006" s="6"/>
    </row>
    <row r="2007" spans="2:2" x14ac:dyDescent="0.25">
      <c r="B2007" s="6"/>
    </row>
    <row r="2008" spans="2:2" x14ac:dyDescent="0.25">
      <c r="B2008" s="6"/>
    </row>
    <row r="2009" spans="2:2" x14ac:dyDescent="0.25">
      <c r="B2009" s="6"/>
    </row>
    <row r="2010" spans="2:2" x14ac:dyDescent="0.25">
      <c r="B2010" s="6"/>
    </row>
    <row r="2011" spans="2:2" x14ac:dyDescent="0.25">
      <c r="B2011" s="6"/>
    </row>
    <row r="2012" spans="2:2" x14ac:dyDescent="0.25">
      <c r="B2012" s="6"/>
    </row>
    <row r="2013" spans="2:2" x14ac:dyDescent="0.25">
      <c r="B2013" s="6"/>
    </row>
    <row r="2014" spans="2:2" x14ac:dyDescent="0.25">
      <c r="B2014" s="6"/>
    </row>
    <row r="2015" spans="2:2" x14ac:dyDescent="0.25">
      <c r="B2015" s="6"/>
    </row>
    <row r="2016" spans="2:2" x14ac:dyDescent="0.25">
      <c r="B2016" s="6"/>
    </row>
    <row r="2017" spans="2:2" x14ac:dyDescent="0.25">
      <c r="B2017" s="6"/>
    </row>
    <row r="2018" spans="2:2" x14ac:dyDescent="0.25">
      <c r="B2018" s="6"/>
    </row>
    <row r="2019" spans="2:2" x14ac:dyDescent="0.25">
      <c r="B2019" s="6"/>
    </row>
    <row r="2020" spans="2:2" x14ac:dyDescent="0.25">
      <c r="B2020" s="6"/>
    </row>
    <row r="2021" spans="2:2" x14ac:dyDescent="0.25">
      <c r="B2021" s="6"/>
    </row>
    <row r="2022" spans="2:2" x14ac:dyDescent="0.25">
      <c r="B2022" s="6"/>
    </row>
    <row r="2023" spans="2:2" x14ac:dyDescent="0.25">
      <c r="B2023" s="6"/>
    </row>
    <row r="2024" spans="2:2" x14ac:dyDescent="0.25">
      <c r="B2024" s="6"/>
    </row>
    <row r="2025" spans="2:2" x14ac:dyDescent="0.25">
      <c r="B2025" s="6"/>
    </row>
    <row r="2026" spans="2:2" x14ac:dyDescent="0.25">
      <c r="B2026" s="6"/>
    </row>
    <row r="2027" spans="2:2" x14ac:dyDescent="0.25">
      <c r="B2027" s="6"/>
    </row>
    <row r="2028" spans="2:2" x14ac:dyDescent="0.25">
      <c r="B2028" s="6"/>
    </row>
    <row r="2029" spans="2:2" x14ac:dyDescent="0.25">
      <c r="B2029" s="6"/>
    </row>
    <row r="2030" spans="2:2" x14ac:dyDescent="0.25">
      <c r="B2030" s="6"/>
    </row>
    <row r="2031" spans="2:2" x14ac:dyDescent="0.25">
      <c r="B2031" s="6"/>
    </row>
    <row r="2032" spans="2:2" x14ac:dyDescent="0.25">
      <c r="B2032" s="6"/>
    </row>
    <row r="2033" spans="2:2" x14ac:dyDescent="0.25">
      <c r="B2033" s="6"/>
    </row>
    <row r="2034" spans="2:2" x14ac:dyDescent="0.25">
      <c r="B2034" s="6"/>
    </row>
    <row r="2035" spans="2:2" x14ac:dyDescent="0.25">
      <c r="B2035" s="6"/>
    </row>
    <row r="2036" spans="2:2" x14ac:dyDescent="0.25">
      <c r="B2036" s="6"/>
    </row>
    <row r="2037" spans="2:2" x14ac:dyDescent="0.25">
      <c r="B2037" s="6"/>
    </row>
    <row r="2038" spans="2:2" x14ac:dyDescent="0.25">
      <c r="B2038" s="6"/>
    </row>
    <row r="2039" spans="2:2" x14ac:dyDescent="0.25">
      <c r="B2039" s="6"/>
    </row>
    <row r="2040" spans="2:2" x14ac:dyDescent="0.25">
      <c r="B2040" s="6"/>
    </row>
    <row r="2041" spans="2:2" x14ac:dyDescent="0.25">
      <c r="B2041" s="6"/>
    </row>
    <row r="2042" spans="2:2" x14ac:dyDescent="0.25">
      <c r="B2042" s="6"/>
    </row>
    <row r="2043" spans="2:2" x14ac:dyDescent="0.25">
      <c r="B2043" s="6"/>
    </row>
    <row r="2044" spans="2:2" x14ac:dyDescent="0.25">
      <c r="B2044" s="6"/>
    </row>
    <row r="2045" spans="2:2" x14ac:dyDescent="0.25">
      <c r="B2045" s="6"/>
    </row>
    <row r="2046" spans="2:2" x14ac:dyDescent="0.25">
      <c r="B2046" s="6"/>
    </row>
    <row r="2047" spans="2:2" x14ac:dyDescent="0.25">
      <c r="B2047" s="6"/>
    </row>
    <row r="2048" spans="2:2" x14ac:dyDescent="0.25">
      <c r="B2048" s="6"/>
    </row>
    <row r="2049" spans="2:2" x14ac:dyDescent="0.25">
      <c r="B2049" s="6"/>
    </row>
    <row r="2050" spans="2:2" x14ac:dyDescent="0.25">
      <c r="B2050" s="6"/>
    </row>
    <row r="2051" spans="2:2" x14ac:dyDescent="0.25">
      <c r="B2051" s="6"/>
    </row>
    <row r="2052" spans="2:2" x14ac:dyDescent="0.25">
      <c r="B2052" s="6"/>
    </row>
    <row r="2053" spans="2:2" x14ac:dyDescent="0.25">
      <c r="B2053" s="6"/>
    </row>
    <row r="2054" spans="2:2" x14ac:dyDescent="0.25">
      <c r="B2054" s="6"/>
    </row>
    <row r="2055" spans="2:2" x14ac:dyDescent="0.25">
      <c r="B2055" s="6"/>
    </row>
    <row r="2056" spans="2:2" x14ac:dyDescent="0.25">
      <c r="B2056" s="6"/>
    </row>
    <row r="2057" spans="2:2" x14ac:dyDescent="0.25">
      <c r="B2057" s="6"/>
    </row>
    <row r="2058" spans="2:2" x14ac:dyDescent="0.25">
      <c r="B2058" s="6"/>
    </row>
    <row r="2059" spans="2:2" x14ac:dyDescent="0.25">
      <c r="B2059" s="6"/>
    </row>
    <row r="2060" spans="2:2" x14ac:dyDescent="0.25">
      <c r="B2060" s="6"/>
    </row>
    <row r="2061" spans="2:2" x14ac:dyDescent="0.25">
      <c r="B2061" s="6"/>
    </row>
    <row r="2062" spans="2:2" x14ac:dyDescent="0.25">
      <c r="B2062" s="6"/>
    </row>
    <row r="2063" spans="2:2" x14ac:dyDescent="0.25">
      <c r="B2063" s="6"/>
    </row>
    <row r="2064" spans="2:2" x14ac:dyDescent="0.25">
      <c r="B2064" s="6"/>
    </row>
    <row r="2065" spans="2:2" x14ac:dyDescent="0.25">
      <c r="B2065" s="6"/>
    </row>
    <row r="2066" spans="2:2" x14ac:dyDescent="0.25">
      <c r="B2066" s="6"/>
    </row>
    <row r="2067" spans="2:2" x14ac:dyDescent="0.25">
      <c r="B2067" s="6"/>
    </row>
    <row r="2068" spans="2:2" x14ac:dyDescent="0.25">
      <c r="B2068" s="6"/>
    </row>
    <row r="2069" spans="2:2" x14ac:dyDescent="0.25">
      <c r="B2069" s="6"/>
    </row>
    <row r="2070" spans="2:2" x14ac:dyDescent="0.25">
      <c r="B2070" s="6"/>
    </row>
    <row r="2071" spans="2:2" x14ac:dyDescent="0.25">
      <c r="B2071" s="6"/>
    </row>
    <row r="2072" spans="2:2" x14ac:dyDescent="0.25">
      <c r="B2072" s="6"/>
    </row>
    <row r="2073" spans="2:2" x14ac:dyDescent="0.25">
      <c r="B2073" s="6"/>
    </row>
    <row r="2074" spans="2:2" x14ac:dyDescent="0.25">
      <c r="B2074" s="6"/>
    </row>
    <row r="2075" spans="2:2" x14ac:dyDescent="0.25">
      <c r="B2075" s="6"/>
    </row>
    <row r="2076" spans="2:2" x14ac:dyDescent="0.25">
      <c r="B2076" s="6"/>
    </row>
    <row r="2077" spans="2:2" x14ac:dyDescent="0.25">
      <c r="B2077" s="6"/>
    </row>
    <row r="2078" spans="2:2" x14ac:dyDescent="0.25">
      <c r="B2078" s="6"/>
    </row>
    <row r="2079" spans="2:2" x14ac:dyDescent="0.25">
      <c r="B2079" s="6"/>
    </row>
    <row r="2080" spans="2:2" x14ac:dyDescent="0.25">
      <c r="B2080" s="6"/>
    </row>
    <row r="2081" spans="2:2" x14ac:dyDescent="0.25">
      <c r="B2081" s="6"/>
    </row>
    <row r="2082" spans="2:2" x14ac:dyDescent="0.25">
      <c r="B2082" s="6"/>
    </row>
    <row r="2083" spans="2:2" x14ac:dyDescent="0.25">
      <c r="B2083" s="6"/>
    </row>
    <row r="2084" spans="2:2" x14ac:dyDescent="0.25">
      <c r="B2084" s="6"/>
    </row>
    <row r="2085" spans="2:2" x14ac:dyDescent="0.25">
      <c r="B2085" s="6"/>
    </row>
    <row r="2086" spans="2:2" x14ac:dyDescent="0.25">
      <c r="B2086" s="6"/>
    </row>
    <row r="2087" spans="2:2" x14ac:dyDescent="0.25">
      <c r="B2087" s="6"/>
    </row>
    <row r="2088" spans="2:2" x14ac:dyDescent="0.25">
      <c r="B2088" s="6"/>
    </row>
    <row r="2089" spans="2:2" x14ac:dyDescent="0.25">
      <c r="B2089" s="6"/>
    </row>
    <row r="2090" spans="2:2" x14ac:dyDescent="0.25">
      <c r="B2090" s="6"/>
    </row>
    <row r="2091" spans="2:2" x14ac:dyDescent="0.25">
      <c r="B2091" s="6"/>
    </row>
    <row r="2092" spans="2:2" x14ac:dyDescent="0.25">
      <c r="B2092" s="6"/>
    </row>
    <row r="2093" spans="2:2" x14ac:dyDescent="0.25">
      <c r="B2093" s="6"/>
    </row>
    <row r="2094" spans="2:2" x14ac:dyDescent="0.25">
      <c r="B2094" s="6"/>
    </row>
    <row r="2095" spans="2:2" x14ac:dyDescent="0.25">
      <c r="B2095" s="6"/>
    </row>
    <row r="2096" spans="2:2" x14ac:dyDescent="0.25">
      <c r="B2096" s="6"/>
    </row>
    <row r="2097" spans="2:2" x14ac:dyDescent="0.25">
      <c r="B2097" s="6"/>
    </row>
    <row r="2098" spans="2:2" x14ac:dyDescent="0.25">
      <c r="B2098" s="6"/>
    </row>
    <row r="2099" spans="2:2" x14ac:dyDescent="0.25">
      <c r="B2099" s="6"/>
    </row>
    <row r="2100" spans="2:2" x14ac:dyDescent="0.25">
      <c r="B2100" s="6"/>
    </row>
    <row r="2101" spans="2:2" x14ac:dyDescent="0.25">
      <c r="B2101" s="6"/>
    </row>
    <row r="2102" spans="2:2" x14ac:dyDescent="0.25">
      <c r="B2102" s="6"/>
    </row>
    <row r="2103" spans="2:2" x14ac:dyDescent="0.25">
      <c r="B2103" s="6"/>
    </row>
    <row r="2104" spans="2:2" x14ac:dyDescent="0.25">
      <c r="B2104" s="6"/>
    </row>
    <row r="2105" spans="2:2" x14ac:dyDescent="0.25">
      <c r="B2105" s="6"/>
    </row>
    <row r="2106" spans="2:2" x14ac:dyDescent="0.25">
      <c r="B2106" s="6"/>
    </row>
    <row r="2107" spans="2:2" x14ac:dyDescent="0.25">
      <c r="B2107" s="6"/>
    </row>
    <row r="2108" spans="2:2" x14ac:dyDescent="0.25">
      <c r="B2108" s="6"/>
    </row>
    <row r="2109" spans="2:2" x14ac:dyDescent="0.25">
      <c r="B2109" s="6"/>
    </row>
    <row r="2110" spans="2:2" x14ac:dyDescent="0.25">
      <c r="B2110" s="6"/>
    </row>
    <row r="2111" spans="2:2" x14ac:dyDescent="0.25">
      <c r="B2111" s="6"/>
    </row>
    <row r="2112" spans="2:2" x14ac:dyDescent="0.25">
      <c r="B2112" s="6"/>
    </row>
    <row r="2113" spans="2:2" x14ac:dyDescent="0.25">
      <c r="B2113" s="6"/>
    </row>
    <row r="2114" spans="2:2" x14ac:dyDescent="0.25">
      <c r="B2114" s="6"/>
    </row>
    <row r="2115" spans="2:2" x14ac:dyDescent="0.25">
      <c r="B2115" s="6"/>
    </row>
    <row r="2116" spans="2:2" x14ac:dyDescent="0.25">
      <c r="B2116" s="6"/>
    </row>
    <row r="2117" spans="2:2" x14ac:dyDescent="0.25">
      <c r="B2117" s="6"/>
    </row>
    <row r="2118" spans="2:2" x14ac:dyDescent="0.25">
      <c r="B2118" s="6"/>
    </row>
    <row r="2119" spans="2:2" x14ac:dyDescent="0.25">
      <c r="B2119" s="6"/>
    </row>
    <row r="2120" spans="2:2" x14ac:dyDescent="0.25">
      <c r="B2120" s="6"/>
    </row>
    <row r="2121" spans="2:2" x14ac:dyDescent="0.25">
      <c r="B2121" s="6"/>
    </row>
    <row r="2122" spans="2:2" x14ac:dyDescent="0.25">
      <c r="B2122" s="6"/>
    </row>
    <row r="2123" spans="2:2" x14ac:dyDescent="0.25">
      <c r="B2123" s="6"/>
    </row>
    <row r="2124" spans="2:2" x14ac:dyDescent="0.25">
      <c r="B2124" s="6"/>
    </row>
    <row r="2125" spans="2:2" x14ac:dyDescent="0.25">
      <c r="B2125" s="6"/>
    </row>
    <row r="2126" spans="2:2" x14ac:dyDescent="0.25">
      <c r="B2126" s="6"/>
    </row>
    <row r="2127" spans="2:2" x14ac:dyDescent="0.25">
      <c r="B2127" s="6"/>
    </row>
    <row r="2128" spans="2:2" x14ac:dyDescent="0.25">
      <c r="B2128" s="6"/>
    </row>
    <row r="2129" spans="2:2" x14ac:dyDescent="0.25">
      <c r="B2129" s="6"/>
    </row>
    <row r="2130" spans="2:2" x14ac:dyDescent="0.25">
      <c r="B2130" s="6"/>
    </row>
    <row r="2131" spans="2:2" x14ac:dyDescent="0.25">
      <c r="B2131" s="6"/>
    </row>
    <row r="2132" spans="2:2" x14ac:dyDescent="0.25">
      <c r="B2132" s="6"/>
    </row>
    <row r="2133" spans="2:2" x14ac:dyDescent="0.25">
      <c r="B2133" s="6"/>
    </row>
    <row r="2134" spans="2:2" x14ac:dyDescent="0.25">
      <c r="B2134" s="6"/>
    </row>
    <row r="2135" spans="2:2" x14ac:dyDescent="0.25">
      <c r="B2135" s="6"/>
    </row>
    <row r="2136" spans="2:2" x14ac:dyDescent="0.25">
      <c r="B2136" s="6"/>
    </row>
    <row r="2137" spans="2:2" x14ac:dyDescent="0.25">
      <c r="B2137" s="6"/>
    </row>
    <row r="2138" spans="2:2" x14ac:dyDescent="0.25">
      <c r="B2138" s="6"/>
    </row>
    <row r="2139" spans="2:2" x14ac:dyDescent="0.25">
      <c r="B2139" s="6"/>
    </row>
    <row r="2140" spans="2:2" x14ac:dyDescent="0.25">
      <c r="B2140" s="6"/>
    </row>
    <row r="2141" spans="2:2" x14ac:dyDescent="0.25">
      <c r="B2141" s="6"/>
    </row>
    <row r="2142" spans="2:2" x14ac:dyDescent="0.25">
      <c r="B2142" s="6"/>
    </row>
    <row r="2143" spans="2:2" x14ac:dyDescent="0.25">
      <c r="B2143" s="6"/>
    </row>
    <row r="2144" spans="2:2" x14ac:dyDescent="0.25">
      <c r="B2144" s="6"/>
    </row>
    <row r="2145" spans="2:2" x14ac:dyDescent="0.25">
      <c r="B2145" s="6"/>
    </row>
    <row r="2146" spans="2:2" x14ac:dyDescent="0.25">
      <c r="B2146" s="6"/>
    </row>
    <row r="2147" spans="2:2" x14ac:dyDescent="0.25">
      <c r="B2147" s="6"/>
    </row>
    <row r="2148" spans="2:2" x14ac:dyDescent="0.25">
      <c r="B2148" s="6"/>
    </row>
    <row r="2149" spans="2:2" x14ac:dyDescent="0.25">
      <c r="B2149" s="6"/>
    </row>
    <row r="2150" spans="2:2" x14ac:dyDescent="0.25">
      <c r="B2150" s="6"/>
    </row>
    <row r="2151" spans="2:2" x14ac:dyDescent="0.25">
      <c r="B2151" s="6"/>
    </row>
    <row r="2152" spans="2:2" x14ac:dyDescent="0.25">
      <c r="B2152" s="6"/>
    </row>
    <row r="2153" spans="2:2" x14ac:dyDescent="0.25">
      <c r="B2153" s="6"/>
    </row>
    <row r="2154" spans="2:2" x14ac:dyDescent="0.25">
      <c r="B2154" s="6"/>
    </row>
    <row r="2155" spans="2:2" x14ac:dyDescent="0.25">
      <c r="B2155" s="6"/>
    </row>
    <row r="2156" spans="2:2" x14ac:dyDescent="0.25">
      <c r="B2156" s="6"/>
    </row>
    <row r="2157" spans="2:2" x14ac:dyDescent="0.25">
      <c r="B2157" s="6"/>
    </row>
    <row r="2158" spans="2:2" x14ac:dyDescent="0.25">
      <c r="B2158" s="6"/>
    </row>
    <row r="2159" spans="2:2" x14ac:dyDescent="0.25">
      <c r="B2159" s="6"/>
    </row>
    <row r="2160" spans="2:2" x14ac:dyDescent="0.25">
      <c r="B2160" s="6"/>
    </row>
    <row r="2161" spans="2:2" x14ac:dyDescent="0.25">
      <c r="B2161" s="6"/>
    </row>
    <row r="2162" spans="2:2" x14ac:dyDescent="0.25">
      <c r="B2162" s="6"/>
    </row>
    <row r="2163" spans="2:2" x14ac:dyDescent="0.25">
      <c r="B2163" s="6"/>
    </row>
    <row r="2164" spans="2:2" x14ac:dyDescent="0.25">
      <c r="B2164" s="6"/>
    </row>
    <row r="2165" spans="2:2" x14ac:dyDescent="0.25">
      <c r="B2165" s="6"/>
    </row>
    <row r="2166" spans="2:2" x14ac:dyDescent="0.25">
      <c r="B2166" s="6"/>
    </row>
    <row r="2167" spans="2:2" x14ac:dyDescent="0.25">
      <c r="B2167" s="6"/>
    </row>
    <row r="2168" spans="2:2" x14ac:dyDescent="0.25">
      <c r="B2168" s="6"/>
    </row>
    <row r="2169" spans="2:2" x14ac:dyDescent="0.25">
      <c r="B2169" s="6"/>
    </row>
    <row r="2170" spans="2:2" x14ac:dyDescent="0.25">
      <c r="B2170" s="6"/>
    </row>
    <row r="2171" spans="2:2" x14ac:dyDescent="0.25">
      <c r="B2171" s="6"/>
    </row>
    <row r="2172" spans="2:2" x14ac:dyDescent="0.25">
      <c r="B2172" s="6"/>
    </row>
    <row r="2173" spans="2:2" x14ac:dyDescent="0.25">
      <c r="B2173" s="6"/>
    </row>
    <row r="2174" spans="2:2" x14ac:dyDescent="0.25">
      <c r="B2174" s="6"/>
    </row>
    <row r="2175" spans="2:2" x14ac:dyDescent="0.25">
      <c r="B2175" s="6"/>
    </row>
    <row r="2176" spans="2:2" x14ac:dyDescent="0.25">
      <c r="B2176" s="6"/>
    </row>
    <row r="2177" spans="2:2" x14ac:dyDescent="0.25">
      <c r="B2177" s="6"/>
    </row>
    <row r="2178" spans="2:2" x14ac:dyDescent="0.25">
      <c r="B2178" s="6"/>
    </row>
    <row r="2179" spans="2:2" x14ac:dyDescent="0.25">
      <c r="B2179" s="6"/>
    </row>
    <row r="2180" spans="2:2" x14ac:dyDescent="0.25">
      <c r="B2180" s="6"/>
    </row>
    <row r="2181" spans="2:2" x14ac:dyDescent="0.25">
      <c r="B2181" s="6"/>
    </row>
    <row r="2182" spans="2:2" x14ac:dyDescent="0.25">
      <c r="B2182" s="6"/>
    </row>
    <row r="2183" spans="2:2" x14ac:dyDescent="0.25">
      <c r="B2183" s="6"/>
    </row>
    <row r="2184" spans="2:2" x14ac:dyDescent="0.25">
      <c r="B2184" s="6"/>
    </row>
    <row r="2185" spans="2:2" x14ac:dyDescent="0.25">
      <c r="B2185" s="6"/>
    </row>
    <row r="2186" spans="2:2" x14ac:dyDescent="0.25">
      <c r="B2186" s="6"/>
    </row>
    <row r="2187" spans="2:2" x14ac:dyDescent="0.25">
      <c r="B2187" s="6"/>
    </row>
    <row r="2188" spans="2:2" x14ac:dyDescent="0.25">
      <c r="B2188" s="6"/>
    </row>
    <row r="2189" spans="2:2" x14ac:dyDescent="0.25">
      <c r="B2189" s="6"/>
    </row>
    <row r="2190" spans="2:2" x14ac:dyDescent="0.25">
      <c r="B2190" s="6"/>
    </row>
    <row r="2191" spans="2:2" x14ac:dyDescent="0.25">
      <c r="B2191" s="6"/>
    </row>
    <row r="2192" spans="2:2" x14ac:dyDescent="0.25">
      <c r="B2192" s="6"/>
    </row>
    <row r="2193" spans="2:2" x14ac:dyDescent="0.25">
      <c r="B2193" s="6"/>
    </row>
    <row r="2194" spans="2:2" x14ac:dyDescent="0.25">
      <c r="B2194" s="6"/>
    </row>
    <row r="2195" spans="2:2" x14ac:dyDescent="0.25">
      <c r="B2195" s="6"/>
    </row>
    <row r="2196" spans="2:2" x14ac:dyDescent="0.25">
      <c r="B2196" s="6"/>
    </row>
    <row r="2197" spans="2:2" x14ac:dyDescent="0.25">
      <c r="B2197" s="6"/>
    </row>
    <row r="2198" spans="2:2" x14ac:dyDescent="0.25">
      <c r="B2198" s="6"/>
    </row>
    <row r="2199" spans="2:2" x14ac:dyDescent="0.25">
      <c r="B2199" s="6"/>
    </row>
    <row r="2200" spans="2:2" x14ac:dyDescent="0.25">
      <c r="B2200" s="6"/>
    </row>
    <row r="2201" spans="2:2" x14ac:dyDescent="0.25">
      <c r="B2201" s="6"/>
    </row>
    <row r="2202" spans="2:2" x14ac:dyDescent="0.25">
      <c r="B2202" s="6"/>
    </row>
    <row r="2203" spans="2:2" x14ac:dyDescent="0.25">
      <c r="B2203" s="6"/>
    </row>
    <row r="2204" spans="2:2" x14ac:dyDescent="0.25">
      <c r="B2204" s="6"/>
    </row>
    <row r="2205" spans="2:2" x14ac:dyDescent="0.25">
      <c r="B2205" s="6"/>
    </row>
    <row r="2206" spans="2:2" x14ac:dyDescent="0.25">
      <c r="B2206" s="6"/>
    </row>
    <row r="2207" spans="2:2" x14ac:dyDescent="0.25">
      <c r="B2207" s="6"/>
    </row>
    <row r="2208" spans="2:2" x14ac:dyDescent="0.25">
      <c r="B2208" s="6"/>
    </row>
    <row r="2209" spans="2:2" x14ac:dyDescent="0.25">
      <c r="B2209" s="6"/>
    </row>
    <row r="2210" spans="2:2" x14ac:dyDescent="0.25">
      <c r="B2210" s="6"/>
    </row>
    <row r="2211" spans="2:2" x14ac:dyDescent="0.25">
      <c r="B2211" s="6"/>
    </row>
    <row r="2212" spans="2:2" x14ac:dyDescent="0.25">
      <c r="B2212" s="6"/>
    </row>
    <row r="2213" spans="2:2" x14ac:dyDescent="0.25">
      <c r="B2213" s="6"/>
    </row>
    <row r="2214" spans="2:2" x14ac:dyDescent="0.25">
      <c r="B2214" s="6"/>
    </row>
    <row r="2215" spans="2:2" x14ac:dyDescent="0.25">
      <c r="B2215" s="6"/>
    </row>
    <row r="2216" spans="2:2" x14ac:dyDescent="0.25">
      <c r="B2216" s="6"/>
    </row>
    <row r="2217" spans="2:2" x14ac:dyDescent="0.25">
      <c r="B2217" s="6"/>
    </row>
    <row r="2218" spans="2:2" x14ac:dyDescent="0.25">
      <c r="B2218" s="6"/>
    </row>
    <row r="2219" spans="2:2" x14ac:dyDescent="0.25">
      <c r="B2219" s="6"/>
    </row>
    <row r="2220" spans="2:2" x14ac:dyDescent="0.25">
      <c r="B2220" s="6"/>
    </row>
    <row r="2221" spans="2:2" x14ac:dyDescent="0.25">
      <c r="B2221" s="6"/>
    </row>
    <row r="2222" spans="2:2" x14ac:dyDescent="0.25">
      <c r="B2222" s="6"/>
    </row>
    <row r="2223" spans="2:2" x14ac:dyDescent="0.25">
      <c r="B2223" s="6"/>
    </row>
    <row r="2224" spans="2:2" x14ac:dyDescent="0.25">
      <c r="B2224" s="6"/>
    </row>
    <row r="2225" spans="2:2" x14ac:dyDescent="0.25">
      <c r="B2225" s="6"/>
    </row>
    <row r="2226" spans="2:2" x14ac:dyDescent="0.25">
      <c r="B2226" s="6"/>
    </row>
    <row r="2227" spans="2:2" x14ac:dyDescent="0.25">
      <c r="B2227" s="6"/>
    </row>
    <row r="2228" spans="2:2" x14ac:dyDescent="0.25">
      <c r="B2228" s="6"/>
    </row>
    <row r="2229" spans="2:2" x14ac:dyDescent="0.25">
      <c r="B2229" s="6"/>
    </row>
    <row r="2230" spans="2:2" x14ac:dyDescent="0.25">
      <c r="B2230" s="6"/>
    </row>
    <row r="2231" spans="2:2" x14ac:dyDescent="0.25">
      <c r="B2231" s="6"/>
    </row>
    <row r="2232" spans="2:2" x14ac:dyDescent="0.25">
      <c r="B2232" s="6"/>
    </row>
    <row r="2233" spans="2:2" x14ac:dyDescent="0.25">
      <c r="B2233" s="6"/>
    </row>
    <row r="2234" spans="2:2" x14ac:dyDescent="0.25">
      <c r="B2234" s="6"/>
    </row>
    <row r="2235" spans="2:2" x14ac:dyDescent="0.25">
      <c r="B2235" s="6"/>
    </row>
    <row r="2236" spans="2:2" x14ac:dyDescent="0.25">
      <c r="B2236" s="6"/>
    </row>
    <row r="2237" spans="2:2" x14ac:dyDescent="0.25">
      <c r="B2237" s="6"/>
    </row>
    <row r="2238" spans="2:2" x14ac:dyDescent="0.25">
      <c r="B2238" s="6"/>
    </row>
    <row r="2239" spans="2:2" x14ac:dyDescent="0.25">
      <c r="B2239" s="6"/>
    </row>
    <row r="2240" spans="2:2" x14ac:dyDescent="0.25">
      <c r="B2240" s="6"/>
    </row>
    <row r="2241" spans="2:2" x14ac:dyDescent="0.25">
      <c r="B2241" s="6"/>
    </row>
    <row r="2242" spans="2:2" x14ac:dyDescent="0.25">
      <c r="B2242" s="6"/>
    </row>
    <row r="2243" spans="2:2" x14ac:dyDescent="0.25">
      <c r="B2243" s="6"/>
    </row>
    <row r="2244" spans="2:2" x14ac:dyDescent="0.25">
      <c r="B2244" s="6"/>
    </row>
    <row r="2245" spans="2:2" x14ac:dyDescent="0.25">
      <c r="B2245" s="6"/>
    </row>
    <row r="2246" spans="2:2" x14ac:dyDescent="0.25">
      <c r="B2246" s="6"/>
    </row>
    <row r="2247" spans="2:2" x14ac:dyDescent="0.25">
      <c r="B2247" s="6"/>
    </row>
    <row r="2248" spans="2:2" x14ac:dyDescent="0.25">
      <c r="B2248" s="6"/>
    </row>
    <row r="2249" spans="2:2" x14ac:dyDescent="0.25">
      <c r="B2249" s="6"/>
    </row>
    <row r="2250" spans="2:2" x14ac:dyDescent="0.25">
      <c r="B2250" s="6"/>
    </row>
    <row r="2251" spans="2:2" x14ac:dyDescent="0.25">
      <c r="B2251" s="6"/>
    </row>
    <row r="2252" spans="2:2" x14ac:dyDescent="0.25">
      <c r="B2252" s="6"/>
    </row>
    <row r="2253" spans="2:2" x14ac:dyDescent="0.25">
      <c r="B2253" s="6"/>
    </row>
    <row r="2254" spans="2:2" x14ac:dyDescent="0.25">
      <c r="B2254" s="6"/>
    </row>
    <row r="2255" spans="2:2" x14ac:dyDescent="0.25">
      <c r="B2255" s="6"/>
    </row>
    <row r="2256" spans="2:2" x14ac:dyDescent="0.25">
      <c r="B2256" s="6"/>
    </row>
    <row r="2257" spans="2:2" x14ac:dyDescent="0.25">
      <c r="B2257" s="6"/>
    </row>
    <row r="2258" spans="2:2" x14ac:dyDescent="0.25">
      <c r="B2258" s="6"/>
    </row>
    <row r="2259" spans="2:2" x14ac:dyDescent="0.25">
      <c r="B2259" s="6"/>
    </row>
    <row r="2260" spans="2:2" x14ac:dyDescent="0.25">
      <c r="B2260" s="6"/>
    </row>
    <row r="2261" spans="2:2" x14ac:dyDescent="0.25">
      <c r="B2261" s="6"/>
    </row>
    <row r="2262" spans="2:2" x14ac:dyDescent="0.25">
      <c r="B2262" s="6"/>
    </row>
    <row r="2263" spans="2:2" x14ac:dyDescent="0.25">
      <c r="B2263" s="6"/>
    </row>
    <row r="2264" spans="2:2" x14ac:dyDescent="0.25">
      <c r="B2264" s="6"/>
    </row>
    <row r="2265" spans="2:2" x14ac:dyDescent="0.25">
      <c r="B2265" s="6"/>
    </row>
    <row r="2266" spans="2:2" x14ac:dyDescent="0.25">
      <c r="B2266" s="6"/>
    </row>
    <row r="2267" spans="2:2" x14ac:dyDescent="0.25">
      <c r="B2267" s="6"/>
    </row>
    <row r="2268" spans="2:2" x14ac:dyDescent="0.25">
      <c r="B2268" s="6"/>
    </row>
    <row r="2269" spans="2:2" x14ac:dyDescent="0.25">
      <c r="B2269" s="6"/>
    </row>
    <row r="2270" spans="2:2" x14ac:dyDescent="0.25">
      <c r="B2270" s="6"/>
    </row>
    <row r="2271" spans="2:2" x14ac:dyDescent="0.25">
      <c r="B2271" s="6"/>
    </row>
    <row r="2272" spans="2:2" x14ac:dyDescent="0.25">
      <c r="B2272" s="6"/>
    </row>
    <row r="2273" spans="2:2" x14ac:dyDescent="0.25">
      <c r="B2273" s="6"/>
    </row>
    <row r="2274" spans="2:2" x14ac:dyDescent="0.25">
      <c r="B2274" s="6"/>
    </row>
    <row r="2275" spans="2:2" x14ac:dyDescent="0.25">
      <c r="B2275" s="6"/>
    </row>
    <row r="2276" spans="2:2" x14ac:dyDescent="0.25">
      <c r="B2276" s="6"/>
    </row>
    <row r="2277" spans="2:2" x14ac:dyDescent="0.25">
      <c r="B2277" s="6"/>
    </row>
    <row r="2278" spans="2:2" x14ac:dyDescent="0.25">
      <c r="B2278" s="6"/>
    </row>
    <row r="2279" spans="2:2" x14ac:dyDescent="0.25">
      <c r="B2279" s="6"/>
    </row>
    <row r="2280" spans="2:2" x14ac:dyDescent="0.25">
      <c r="B2280" s="6"/>
    </row>
    <row r="2281" spans="2:2" x14ac:dyDescent="0.25">
      <c r="B2281" s="6"/>
    </row>
    <row r="2282" spans="2:2" x14ac:dyDescent="0.25">
      <c r="B2282" s="6"/>
    </row>
    <row r="2283" spans="2:2" x14ac:dyDescent="0.25">
      <c r="B2283" s="6"/>
    </row>
    <row r="2284" spans="2:2" x14ac:dyDescent="0.25">
      <c r="B2284" s="6"/>
    </row>
    <row r="2285" spans="2:2" x14ac:dyDescent="0.25">
      <c r="B2285" s="6"/>
    </row>
    <row r="2286" spans="2:2" x14ac:dyDescent="0.25">
      <c r="B2286" s="6"/>
    </row>
    <row r="2287" spans="2:2" x14ac:dyDescent="0.25">
      <c r="B2287" s="6"/>
    </row>
    <row r="2288" spans="2:2" x14ac:dyDescent="0.25">
      <c r="B2288" s="6"/>
    </row>
    <row r="2289" spans="2:2" x14ac:dyDescent="0.25">
      <c r="B2289" s="6"/>
    </row>
    <row r="2290" spans="2:2" x14ac:dyDescent="0.25">
      <c r="B2290" s="6"/>
    </row>
    <row r="2291" spans="2:2" x14ac:dyDescent="0.25">
      <c r="B2291" s="6"/>
    </row>
    <row r="2292" spans="2:2" x14ac:dyDescent="0.25">
      <c r="B2292" s="6"/>
    </row>
    <row r="2293" spans="2:2" x14ac:dyDescent="0.25">
      <c r="B2293" s="6"/>
    </row>
    <row r="2294" spans="2:2" x14ac:dyDescent="0.25">
      <c r="B2294" s="6"/>
    </row>
    <row r="2295" spans="2:2" x14ac:dyDescent="0.25">
      <c r="B2295" s="6"/>
    </row>
    <row r="2296" spans="2:2" x14ac:dyDescent="0.25">
      <c r="B2296" s="6"/>
    </row>
    <row r="2297" spans="2:2" x14ac:dyDescent="0.25">
      <c r="B2297" s="6"/>
    </row>
    <row r="2298" spans="2:2" x14ac:dyDescent="0.25">
      <c r="B2298" s="6"/>
    </row>
    <row r="2299" spans="2:2" x14ac:dyDescent="0.25">
      <c r="B2299" s="6"/>
    </row>
    <row r="2300" spans="2:2" x14ac:dyDescent="0.25">
      <c r="B2300" s="6"/>
    </row>
    <row r="2301" spans="2:2" x14ac:dyDescent="0.25">
      <c r="B2301" s="6"/>
    </row>
    <row r="2302" spans="2:2" x14ac:dyDescent="0.25">
      <c r="B2302" s="6"/>
    </row>
    <row r="2303" spans="2:2" x14ac:dyDescent="0.25">
      <c r="B2303" s="6"/>
    </row>
    <row r="2304" spans="2:2" x14ac:dyDescent="0.25">
      <c r="B2304" s="6"/>
    </row>
    <row r="2305" spans="2:2" x14ac:dyDescent="0.25">
      <c r="B2305" s="6"/>
    </row>
    <row r="2306" spans="2:2" x14ac:dyDescent="0.25">
      <c r="B2306" s="6"/>
    </row>
    <row r="2307" spans="2:2" x14ac:dyDescent="0.25">
      <c r="B2307" s="6"/>
    </row>
    <row r="2308" spans="2:2" x14ac:dyDescent="0.25">
      <c r="B2308" s="6"/>
    </row>
    <row r="2309" spans="2:2" x14ac:dyDescent="0.25">
      <c r="B2309" s="6"/>
    </row>
    <row r="2310" spans="2:2" x14ac:dyDescent="0.25">
      <c r="B2310" s="6"/>
    </row>
    <row r="2311" spans="2:2" x14ac:dyDescent="0.25">
      <c r="B2311" s="6"/>
    </row>
    <row r="2312" spans="2:2" x14ac:dyDescent="0.25">
      <c r="B2312" s="6"/>
    </row>
    <row r="2313" spans="2:2" x14ac:dyDescent="0.25">
      <c r="B2313" s="6"/>
    </row>
    <row r="2314" spans="2:2" x14ac:dyDescent="0.25">
      <c r="B2314" s="6"/>
    </row>
    <row r="2315" spans="2:2" x14ac:dyDescent="0.25">
      <c r="B2315" s="6"/>
    </row>
    <row r="2316" spans="2:2" x14ac:dyDescent="0.25">
      <c r="B2316" s="6"/>
    </row>
    <row r="2317" spans="2:2" x14ac:dyDescent="0.25">
      <c r="B2317" s="6"/>
    </row>
    <row r="2318" spans="2:2" x14ac:dyDescent="0.25">
      <c r="B2318" s="6"/>
    </row>
    <row r="2319" spans="2:2" x14ac:dyDescent="0.25">
      <c r="B2319" s="6"/>
    </row>
    <row r="2320" spans="2:2" x14ac:dyDescent="0.25">
      <c r="B2320" s="6"/>
    </row>
    <row r="2321" spans="2:2" x14ac:dyDescent="0.25">
      <c r="B2321" s="6"/>
    </row>
    <row r="2322" spans="2:2" x14ac:dyDescent="0.25">
      <c r="B2322" s="6"/>
    </row>
    <row r="2323" spans="2:2" x14ac:dyDescent="0.25">
      <c r="B2323" s="6"/>
    </row>
    <row r="2324" spans="2:2" x14ac:dyDescent="0.25">
      <c r="B2324" s="6"/>
    </row>
    <row r="2325" spans="2:2" x14ac:dyDescent="0.25">
      <c r="B2325" s="6"/>
    </row>
    <row r="2326" spans="2:2" x14ac:dyDescent="0.25">
      <c r="B2326" s="6"/>
    </row>
    <row r="2327" spans="2:2" x14ac:dyDescent="0.25">
      <c r="B2327" s="6"/>
    </row>
    <row r="2328" spans="2:2" x14ac:dyDescent="0.25">
      <c r="B2328" s="6"/>
    </row>
    <row r="2329" spans="2:2" x14ac:dyDescent="0.25">
      <c r="B2329" s="6"/>
    </row>
    <row r="2330" spans="2:2" x14ac:dyDescent="0.25">
      <c r="B2330" s="6"/>
    </row>
    <row r="2331" spans="2:2" x14ac:dyDescent="0.25">
      <c r="B2331" s="6"/>
    </row>
    <row r="2332" spans="2:2" x14ac:dyDescent="0.25">
      <c r="B2332" s="6"/>
    </row>
    <row r="2333" spans="2:2" x14ac:dyDescent="0.25">
      <c r="B2333" s="6"/>
    </row>
    <row r="2334" spans="2:2" x14ac:dyDescent="0.25">
      <c r="B2334" s="6"/>
    </row>
    <row r="2335" spans="2:2" x14ac:dyDescent="0.25">
      <c r="B2335" s="6"/>
    </row>
    <row r="2336" spans="2:2" x14ac:dyDescent="0.25">
      <c r="B2336" s="6"/>
    </row>
    <row r="2337" spans="2:2" x14ac:dyDescent="0.25">
      <c r="B2337" s="6"/>
    </row>
    <row r="2338" spans="2:2" x14ac:dyDescent="0.25">
      <c r="B2338" s="6"/>
    </row>
    <row r="2339" spans="2:2" x14ac:dyDescent="0.25">
      <c r="B2339" s="6"/>
    </row>
    <row r="2340" spans="2:2" x14ac:dyDescent="0.25">
      <c r="B2340" s="6"/>
    </row>
    <row r="2341" spans="2:2" x14ac:dyDescent="0.25">
      <c r="B2341" s="6"/>
    </row>
    <row r="2342" spans="2:2" x14ac:dyDescent="0.25">
      <c r="B2342" s="6"/>
    </row>
    <row r="2343" spans="2:2" x14ac:dyDescent="0.25">
      <c r="B2343" s="6"/>
    </row>
    <row r="2344" spans="2:2" x14ac:dyDescent="0.25">
      <c r="B2344" s="6"/>
    </row>
    <row r="2345" spans="2:2" x14ac:dyDescent="0.25">
      <c r="B2345" s="6"/>
    </row>
    <row r="2346" spans="2:2" x14ac:dyDescent="0.25">
      <c r="B2346" s="6"/>
    </row>
    <row r="2347" spans="2:2" x14ac:dyDescent="0.25">
      <c r="B2347" s="6"/>
    </row>
    <row r="2348" spans="2:2" x14ac:dyDescent="0.25">
      <c r="B2348" s="6"/>
    </row>
    <row r="2349" spans="2:2" x14ac:dyDescent="0.25">
      <c r="B2349" s="6"/>
    </row>
    <row r="2350" spans="2:2" x14ac:dyDescent="0.25">
      <c r="B2350" s="6"/>
    </row>
    <row r="2351" spans="2:2" x14ac:dyDescent="0.25">
      <c r="B2351" s="6"/>
    </row>
    <row r="2352" spans="2:2" x14ac:dyDescent="0.25">
      <c r="B2352" s="6"/>
    </row>
    <row r="2353" spans="2:2" x14ac:dyDescent="0.25">
      <c r="B2353" s="6"/>
    </row>
    <row r="2354" spans="2:2" x14ac:dyDescent="0.25">
      <c r="B2354" s="6"/>
    </row>
    <row r="2355" spans="2:2" x14ac:dyDescent="0.25">
      <c r="B2355" s="6"/>
    </row>
    <row r="2356" spans="2:2" x14ac:dyDescent="0.25">
      <c r="B2356" s="6"/>
    </row>
    <row r="2357" spans="2:2" x14ac:dyDescent="0.25">
      <c r="B2357" s="6"/>
    </row>
    <row r="2358" spans="2:2" x14ac:dyDescent="0.25">
      <c r="B2358" s="6"/>
    </row>
    <row r="2359" spans="2:2" x14ac:dyDescent="0.25">
      <c r="B2359" s="6"/>
    </row>
    <row r="2360" spans="2:2" x14ac:dyDescent="0.25">
      <c r="B2360" s="6"/>
    </row>
    <row r="2361" spans="2:2" x14ac:dyDescent="0.25">
      <c r="B2361" s="6"/>
    </row>
    <row r="2362" spans="2:2" x14ac:dyDescent="0.25">
      <c r="B2362" s="6"/>
    </row>
    <row r="2363" spans="2:2" x14ac:dyDescent="0.25">
      <c r="B2363" s="6"/>
    </row>
    <row r="2364" spans="2:2" x14ac:dyDescent="0.25">
      <c r="B2364" s="6"/>
    </row>
    <row r="2365" spans="2:2" x14ac:dyDescent="0.25">
      <c r="B2365" s="6"/>
    </row>
    <row r="2366" spans="2:2" x14ac:dyDescent="0.25">
      <c r="B2366" s="6"/>
    </row>
    <row r="2367" spans="2:2" x14ac:dyDescent="0.25">
      <c r="B2367" s="6"/>
    </row>
    <row r="2368" spans="2:2" x14ac:dyDescent="0.25">
      <c r="B2368" s="6"/>
    </row>
    <row r="2369" spans="2:2" x14ac:dyDescent="0.25">
      <c r="B2369" s="6"/>
    </row>
    <row r="2370" spans="2:2" x14ac:dyDescent="0.25">
      <c r="B2370" s="6"/>
    </row>
    <row r="2371" spans="2:2" x14ac:dyDescent="0.25">
      <c r="B2371" s="6"/>
    </row>
    <row r="2372" spans="2:2" x14ac:dyDescent="0.25">
      <c r="B2372" s="6"/>
    </row>
    <row r="2373" spans="2:2" x14ac:dyDescent="0.25">
      <c r="B2373" s="6"/>
    </row>
    <row r="2374" spans="2:2" x14ac:dyDescent="0.25">
      <c r="B2374" s="6"/>
    </row>
    <row r="2375" spans="2:2" x14ac:dyDescent="0.25">
      <c r="B2375" s="6"/>
    </row>
    <row r="2376" spans="2:2" x14ac:dyDescent="0.25">
      <c r="B2376" s="6"/>
    </row>
    <row r="2377" spans="2:2" x14ac:dyDescent="0.25">
      <c r="B2377" s="6"/>
    </row>
    <row r="2378" spans="2:2" x14ac:dyDescent="0.25">
      <c r="B2378" s="6"/>
    </row>
    <row r="2379" spans="2:2" x14ac:dyDescent="0.25">
      <c r="B2379" s="6"/>
    </row>
    <row r="2380" spans="2:2" x14ac:dyDescent="0.25">
      <c r="B2380" s="6"/>
    </row>
    <row r="2381" spans="2:2" x14ac:dyDescent="0.25">
      <c r="B2381" s="6"/>
    </row>
    <row r="2382" spans="2:2" x14ac:dyDescent="0.25">
      <c r="B2382" s="6"/>
    </row>
    <row r="2383" spans="2:2" x14ac:dyDescent="0.25">
      <c r="B2383" s="6"/>
    </row>
    <row r="2384" spans="2:2" x14ac:dyDescent="0.25">
      <c r="B2384" s="6"/>
    </row>
    <row r="2385" spans="2:2" x14ac:dyDescent="0.25">
      <c r="B2385" s="6"/>
    </row>
    <row r="2386" spans="2:2" x14ac:dyDescent="0.25">
      <c r="B2386" s="6"/>
    </row>
    <row r="2387" spans="2:2" x14ac:dyDescent="0.25">
      <c r="B2387" s="6"/>
    </row>
    <row r="2388" spans="2:2" x14ac:dyDescent="0.25">
      <c r="B2388" s="6"/>
    </row>
    <row r="2389" spans="2:2" x14ac:dyDescent="0.25">
      <c r="B2389" s="6"/>
    </row>
    <row r="2390" spans="2:2" x14ac:dyDescent="0.25">
      <c r="B2390" s="6"/>
    </row>
    <row r="2391" spans="2:2" x14ac:dyDescent="0.25">
      <c r="B2391" s="6"/>
    </row>
    <row r="2392" spans="2:2" x14ac:dyDescent="0.25">
      <c r="B2392" s="6"/>
    </row>
    <row r="2393" spans="2:2" x14ac:dyDescent="0.25">
      <c r="B2393" s="6"/>
    </row>
    <row r="2394" spans="2:2" x14ac:dyDescent="0.25">
      <c r="B2394" s="6"/>
    </row>
    <row r="2395" spans="2:2" x14ac:dyDescent="0.25">
      <c r="B2395" s="6"/>
    </row>
    <row r="2396" spans="2:2" x14ac:dyDescent="0.25">
      <c r="B2396" s="6"/>
    </row>
    <row r="2397" spans="2:2" x14ac:dyDescent="0.25">
      <c r="B2397" s="6"/>
    </row>
    <row r="2398" spans="2:2" x14ac:dyDescent="0.25">
      <c r="B2398" s="6"/>
    </row>
    <row r="2399" spans="2:2" x14ac:dyDescent="0.25">
      <c r="B2399" s="6"/>
    </row>
    <row r="2400" spans="2:2" x14ac:dyDescent="0.25">
      <c r="B2400" s="6"/>
    </row>
    <row r="2401" spans="2:2" x14ac:dyDescent="0.25">
      <c r="B2401" s="6"/>
    </row>
    <row r="2402" spans="2:2" x14ac:dyDescent="0.25">
      <c r="B2402" s="6"/>
    </row>
    <row r="2403" spans="2:2" x14ac:dyDescent="0.25">
      <c r="B2403" s="6"/>
    </row>
    <row r="2404" spans="2:2" x14ac:dyDescent="0.25">
      <c r="B2404" s="6"/>
    </row>
    <row r="2405" spans="2:2" x14ac:dyDescent="0.25">
      <c r="B2405" s="6"/>
    </row>
    <row r="2406" spans="2:2" x14ac:dyDescent="0.25">
      <c r="B2406" s="6"/>
    </row>
    <row r="2407" spans="2:2" x14ac:dyDescent="0.25">
      <c r="B2407" s="6"/>
    </row>
    <row r="2408" spans="2:2" x14ac:dyDescent="0.25">
      <c r="B2408" s="6"/>
    </row>
    <row r="2409" spans="2:2" x14ac:dyDescent="0.25">
      <c r="B2409" s="6"/>
    </row>
    <row r="2410" spans="2:2" x14ac:dyDescent="0.25">
      <c r="B2410" s="6"/>
    </row>
    <row r="2411" spans="2:2" x14ac:dyDescent="0.25">
      <c r="B2411" s="6"/>
    </row>
    <row r="2412" spans="2:2" x14ac:dyDescent="0.25">
      <c r="B2412" s="6"/>
    </row>
    <row r="2413" spans="2:2" x14ac:dyDescent="0.25">
      <c r="B2413" s="6"/>
    </row>
    <row r="2414" spans="2:2" x14ac:dyDescent="0.25">
      <c r="B2414" s="6"/>
    </row>
    <row r="2415" spans="2:2" x14ac:dyDescent="0.25">
      <c r="B2415" s="6"/>
    </row>
    <row r="2416" spans="2:2" x14ac:dyDescent="0.25">
      <c r="B2416" s="6"/>
    </row>
    <row r="2417" spans="2:2" x14ac:dyDescent="0.25">
      <c r="B2417" s="6"/>
    </row>
    <row r="2418" spans="2:2" x14ac:dyDescent="0.25">
      <c r="B2418" s="6"/>
    </row>
    <row r="2419" spans="2:2" x14ac:dyDescent="0.25">
      <c r="B2419" s="6"/>
    </row>
    <row r="2420" spans="2:2" x14ac:dyDescent="0.25">
      <c r="B2420" s="6"/>
    </row>
    <row r="2421" spans="2:2" x14ac:dyDescent="0.25">
      <c r="B2421" s="6"/>
    </row>
    <row r="2422" spans="2:2" x14ac:dyDescent="0.25">
      <c r="B2422" s="6"/>
    </row>
    <row r="2423" spans="2:2" x14ac:dyDescent="0.25">
      <c r="B2423" s="6"/>
    </row>
    <row r="2424" spans="2:2" x14ac:dyDescent="0.25">
      <c r="B2424" s="6"/>
    </row>
    <row r="2425" spans="2:2" x14ac:dyDescent="0.25">
      <c r="B2425" s="6"/>
    </row>
    <row r="2426" spans="2:2" x14ac:dyDescent="0.25">
      <c r="B2426" s="6"/>
    </row>
    <row r="2427" spans="2:2" x14ac:dyDescent="0.25">
      <c r="B2427" s="6"/>
    </row>
    <row r="2428" spans="2:2" x14ac:dyDescent="0.25">
      <c r="B2428" s="6"/>
    </row>
    <row r="2429" spans="2:2" x14ac:dyDescent="0.25">
      <c r="B2429" s="6"/>
    </row>
    <row r="2430" spans="2:2" x14ac:dyDescent="0.25">
      <c r="B2430" s="6"/>
    </row>
    <row r="2431" spans="2:2" x14ac:dyDescent="0.25">
      <c r="B2431" s="6"/>
    </row>
    <row r="2432" spans="2:2" x14ac:dyDescent="0.25">
      <c r="B2432" s="6"/>
    </row>
    <row r="2433" spans="2:2" x14ac:dyDescent="0.25">
      <c r="B2433" s="6"/>
    </row>
    <row r="2434" spans="2:2" x14ac:dyDescent="0.25">
      <c r="B2434" s="6"/>
    </row>
    <row r="2435" spans="2:2" x14ac:dyDescent="0.25">
      <c r="B2435" s="6"/>
    </row>
    <row r="2436" spans="2:2" x14ac:dyDescent="0.25">
      <c r="B2436" s="6"/>
    </row>
    <row r="2437" spans="2:2" x14ac:dyDescent="0.25">
      <c r="B2437" s="6"/>
    </row>
    <row r="2438" spans="2:2" x14ac:dyDescent="0.25">
      <c r="B2438" s="6"/>
    </row>
    <row r="2439" spans="2:2" x14ac:dyDescent="0.25">
      <c r="B2439" s="6"/>
    </row>
    <row r="2440" spans="2:2" x14ac:dyDescent="0.25">
      <c r="B2440" s="6"/>
    </row>
    <row r="2441" spans="2:2" x14ac:dyDescent="0.25">
      <c r="B2441" s="6"/>
    </row>
    <row r="2442" spans="2:2" x14ac:dyDescent="0.25">
      <c r="B2442" s="6"/>
    </row>
    <row r="2443" spans="2:2" x14ac:dyDescent="0.25">
      <c r="B2443" s="6"/>
    </row>
    <row r="2444" spans="2:2" x14ac:dyDescent="0.25">
      <c r="B2444" s="6"/>
    </row>
    <row r="2445" spans="2:2" x14ac:dyDescent="0.25">
      <c r="B2445" s="6"/>
    </row>
    <row r="2446" spans="2:2" x14ac:dyDescent="0.25">
      <c r="B2446" s="6"/>
    </row>
    <row r="2447" spans="2:2" x14ac:dyDescent="0.25">
      <c r="B2447" s="6"/>
    </row>
    <row r="2448" spans="2:2" x14ac:dyDescent="0.25">
      <c r="B2448" s="6"/>
    </row>
    <row r="2449" spans="2:2" x14ac:dyDescent="0.25">
      <c r="B2449" s="6"/>
    </row>
    <row r="2450" spans="2:2" x14ac:dyDescent="0.25">
      <c r="B2450" s="6"/>
    </row>
    <row r="2451" spans="2:2" x14ac:dyDescent="0.25">
      <c r="B2451" s="6"/>
    </row>
    <row r="2452" spans="2:2" x14ac:dyDescent="0.25">
      <c r="B2452" s="6"/>
    </row>
    <row r="2453" spans="2:2" x14ac:dyDescent="0.25">
      <c r="B2453" s="6"/>
    </row>
    <row r="2454" spans="2:2" x14ac:dyDescent="0.25">
      <c r="B2454" s="6"/>
    </row>
    <row r="2455" spans="2:2" x14ac:dyDescent="0.25">
      <c r="B2455" s="6"/>
    </row>
    <row r="2456" spans="2:2" x14ac:dyDescent="0.25">
      <c r="B2456" s="6"/>
    </row>
    <row r="2457" spans="2:2" x14ac:dyDescent="0.25">
      <c r="B2457" s="6"/>
    </row>
    <row r="2458" spans="2:2" x14ac:dyDescent="0.25">
      <c r="B2458" s="6"/>
    </row>
    <row r="2459" spans="2:2" x14ac:dyDescent="0.25">
      <c r="B2459" s="6"/>
    </row>
    <row r="2460" spans="2:2" x14ac:dyDescent="0.25">
      <c r="B2460" s="6"/>
    </row>
    <row r="2461" spans="2:2" x14ac:dyDescent="0.25">
      <c r="B2461" s="6"/>
    </row>
    <row r="2462" spans="2:2" x14ac:dyDescent="0.25">
      <c r="B2462" s="6"/>
    </row>
    <row r="2463" spans="2:2" x14ac:dyDescent="0.25">
      <c r="B2463" s="6"/>
    </row>
    <row r="2464" spans="2:2" x14ac:dyDescent="0.25">
      <c r="B2464" s="6"/>
    </row>
    <row r="2465" spans="2:2" x14ac:dyDescent="0.25">
      <c r="B2465" s="6"/>
    </row>
    <row r="2466" spans="2:2" x14ac:dyDescent="0.25">
      <c r="B2466" s="6"/>
    </row>
    <row r="2467" spans="2:2" x14ac:dyDescent="0.25">
      <c r="B2467" s="6"/>
    </row>
    <row r="2468" spans="2:2" x14ac:dyDescent="0.25">
      <c r="B2468" s="6"/>
    </row>
    <row r="2469" spans="2:2" x14ac:dyDescent="0.25">
      <c r="B2469" s="6"/>
    </row>
    <row r="2470" spans="2:2" x14ac:dyDescent="0.25">
      <c r="B2470" s="6"/>
    </row>
    <row r="2471" spans="2:2" x14ac:dyDescent="0.25">
      <c r="B2471" s="6"/>
    </row>
    <row r="2472" spans="2:2" x14ac:dyDescent="0.25">
      <c r="B2472" s="6"/>
    </row>
    <row r="2473" spans="2:2" x14ac:dyDescent="0.25">
      <c r="B2473" s="6"/>
    </row>
    <row r="2474" spans="2:2" x14ac:dyDescent="0.25">
      <c r="B2474" s="6"/>
    </row>
    <row r="2475" spans="2:2" x14ac:dyDescent="0.25">
      <c r="B2475" s="6"/>
    </row>
    <row r="2476" spans="2:2" x14ac:dyDescent="0.25">
      <c r="B2476" s="6"/>
    </row>
    <row r="2477" spans="2:2" x14ac:dyDescent="0.25">
      <c r="B2477" s="6"/>
    </row>
    <row r="2478" spans="2:2" x14ac:dyDescent="0.25">
      <c r="B2478" s="6"/>
    </row>
    <row r="2479" spans="2:2" x14ac:dyDescent="0.25">
      <c r="B2479" s="6"/>
    </row>
    <row r="2480" spans="2:2" x14ac:dyDescent="0.25">
      <c r="B2480" s="6"/>
    </row>
    <row r="2481" spans="2:2" x14ac:dyDescent="0.25">
      <c r="B2481" s="6"/>
    </row>
    <row r="2482" spans="2:2" x14ac:dyDescent="0.25">
      <c r="B2482" s="6"/>
    </row>
    <row r="2483" spans="2:2" x14ac:dyDescent="0.25">
      <c r="B2483" s="6"/>
    </row>
    <row r="2484" spans="2:2" x14ac:dyDescent="0.25">
      <c r="B2484" s="6"/>
    </row>
    <row r="2485" spans="2:2" x14ac:dyDescent="0.25">
      <c r="B2485" s="6"/>
    </row>
    <row r="2486" spans="2:2" x14ac:dyDescent="0.25">
      <c r="B2486" s="6"/>
    </row>
    <row r="2487" spans="2:2" x14ac:dyDescent="0.25">
      <c r="B2487" s="6"/>
    </row>
    <row r="2488" spans="2:2" x14ac:dyDescent="0.25">
      <c r="B2488" s="6"/>
    </row>
    <row r="2489" spans="2:2" x14ac:dyDescent="0.25">
      <c r="B2489" s="6"/>
    </row>
    <row r="2490" spans="2:2" x14ac:dyDescent="0.25">
      <c r="B2490" s="6"/>
    </row>
    <row r="2491" spans="2:2" x14ac:dyDescent="0.25">
      <c r="B2491" s="6"/>
    </row>
    <row r="2492" spans="2:2" x14ac:dyDescent="0.25">
      <c r="B2492" s="6"/>
    </row>
    <row r="2493" spans="2:2" x14ac:dyDescent="0.25">
      <c r="B2493" s="6"/>
    </row>
    <row r="2494" spans="2:2" x14ac:dyDescent="0.25">
      <c r="B2494" s="6"/>
    </row>
    <row r="2495" spans="2:2" x14ac:dyDescent="0.25">
      <c r="B2495" s="6"/>
    </row>
    <row r="2496" spans="2:2" x14ac:dyDescent="0.25">
      <c r="B2496" s="6"/>
    </row>
    <row r="2497" spans="2:2" x14ac:dyDescent="0.25">
      <c r="B2497" s="6"/>
    </row>
    <row r="2498" spans="2:2" x14ac:dyDescent="0.25">
      <c r="B2498" s="6"/>
    </row>
    <row r="2499" spans="2:2" x14ac:dyDescent="0.25">
      <c r="B2499" s="6"/>
    </row>
    <row r="2500" spans="2:2" x14ac:dyDescent="0.25">
      <c r="B2500" s="6"/>
    </row>
    <row r="2501" spans="2:2" x14ac:dyDescent="0.25">
      <c r="B2501" s="6"/>
    </row>
    <row r="2502" spans="2:2" x14ac:dyDescent="0.25">
      <c r="B2502" s="6"/>
    </row>
    <row r="2503" spans="2:2" x14ac:dyDescent="0.25">
      <c r="B2503" s="6"/>
    </row>
    <row r="2504" spans="2:2" x14ac:dyDescent="0.25">
      <c r="B2504" s="6"/>
    </row>
    <row r="2505" spans="2:2" x14ac:dyDescent="0.25">
      <c r="B2505" s="6"/>
    </row>
    <row r="2506" spans="2:2" x14ac:dyDescent="0.25">
      <c r="B2506" s="6"/>
    </row>
    <row r="2507" spans="2:2" x14ac:dyDescent="0.25">
      <c r="B2507" s="6"/>
    </row>
    <row r="2508" spans="2:2" x14ac:dyDescent="0.25">
      <c r="B2508" s="6"/>
    </row>
    <row r="2509" spans="2:2" x14ac:dyDescent="0.25">
      <c r="B2509" s="6"/>
    </row>
    <row r="2510" spans="2:2" x14ac:dyDescent="0.25">
      <c r="B2510" s="6"/>
    </row>
    <row r="2511" spans="2:2" x14ac:dyDescent="0.25">
      <c r="B2511" s="6"/>
    </row>
    <row r="2512" spans="2:2" x14ac:dyDescent="0.25">
      <c r="B2512" s="6"/>
    </row>
    <row r="2513" spans="2:2" x14ac:dyDescent="0.25">
      <c r="B2513" s="6"/>
    </row>
    <row r="2514" spans="2:2" x14ac:dyDescent="0.25">
      <c r="B2514" s="6"/>
    </row>
    <row r="2515" spans="2:2" x14ac:dyDescent="0.25">
      <c r="B2515" s="6"/>
    </row>
    <row r="2516" spans="2:2" x14ac:dyDescent="0.25">
      <c r="B2516" s="6"/>
    </row>
    <row r="2517" spans="2:2" x14ac:dyDescent="0.25">
      <c r="B2517" s="6"/>
    </row>
    <row r="2518" spans="2:2" x14ac:dyDescent="0.25">
      <c r="B2518" s="6"/>
    </row>
    <row r="2519" spans="2:2" x14ac:dyDescent="0.25">
      <c r="B2519" s="6"/>
    </row>
    <row r="2520" spans="2:2" x14ac:dyDescent="0.25">
      <c r="B2520" s="6"/>
    </row>
    <row r="2521" spans="2:2" x14ac:dyDescent="0.25">
      <c r="B2521" s="6"/>
    </row>
    <row r="2522" spans="2:2" x14ac:dyDescent="0.25">
      <c r="B2522" s="6"/>
    </row>
    <row r="2523" spans="2:2" x14ac:dyDescent="0.25">
      <c r="B2523" s="6"/>
    </row>
    <row r="2524" spans="2:2" x14ac:dyDescent="0.25">
      <c r="B2524" s="6"/>
    </row>
    <row r="2525" spans="2:2" x14ac:dyDescent="0.25">
      <c r="B2525" s="6"/>
    </row>
    <row r="2526" spans="2:2" x14ac:dyDescent="0.25">
      <c r="B2526" s="6"/>
    </row>
    <row r="2527" spans="2:2" x14ac:dyDescent="0.25">
      <c r="B2527" s="6"/>
    </row>
    <row r="2528" spans="2:2" x14ac:dyDescent="0.25">
      <c r="B2528" s="6"/>
    </row>
    <row r="2529" spans="2:2" x14ac:dyDescent="0.25">
      <c r="B2529" s="6"/>
    </row>
    <row r="2530" spans="2:2" x14ac:dyDescent="0.25">
      <c r="B2530" s="6"/>
    </row>
    <row r="2531" spans="2:2" x14ac:dyDescent="0.25">
      <c r="B2531" s="6"/>
    </row>
    <row r="2532" spans="2:2" x14ac:dyDescent="0.25">
      <c r="B2532" s="6"/>
    </row>
    <row r="2533" spans="2:2" x14ac:dyDescent="0.25">
      <c r="B2533" s="6"/>
    </row>
    <row r="2534" spans="2:2" x14ac:dyDescent="0.25">
      <c r="B2534" s="6"/>
    </row>
    <row r="2535" spans="2:2" x14ac:dyDescent="0.25">
      <c r="B2535" s="6"/>
    </row>
    <row r="2536" spans="2:2" x14ac:dyDescent="0.25">
      <c r="B2536" s="6"/>
    </row>
    <row r="2537" spans="2:2" x14ac:dyDescent="0.25">
      <c r="B2537" s="6"/>
    </row>
    <row r="2538" spans="2:2" x14ac:dyDescent="0.25">
      <c r="B2538" s="6"/>
    </row>
    <row r="2539" spans="2:2" x14ac:dyDescent="0.25">
      <c r="B2539" s="6"/>
    </row>
    <row r="2540" spans="2:2" x14ac:dyDescent="0.25">
      <c r="B2540" s="6"/>
    </row>
    <row r="2541" spans="2:2" x14ac:dyDescent="0.25">
      <c r="B2541" s="6"/>
    </row>
    <row r="2542" spans="2:2" x14ac:dyDescent="0.25">
      <c r="B2542" s="6"/>
    </row>
    <row r="2543" spans="2:2" x14ac:dyDescent="0.25">
      <c r="B2543" s="6"/>
    </row>
    <row r="2544" spans="2:2" x14ac:dyDescent="0.25">
      <c r="B2544" s="6"/>
    </row>
    <row r="2545" spans="2:2" x14ac:dyDescent="0.25">
      <c r="B2545" s="6"/>
    </row>
    <row r="2546" spans="2:2" x14ac:dyDescent="0.25">
      <c r="B2546" s="6"/>
    </row>
    <row r="2547" spans="2:2" x14ac:dyDescent="0.25">
      <c r="B2547" s="6"/>
    </row>
    <row r="2548" spans="2:2" x14ac:dyDescent="0.25">
      <c r="B2548" s="6"/>
    </row>
    <row r="2549" spans="2:2" x14ac:dyDescent="0.25">
      <c r="B2549" s="6"/>
    </row>
    <row r="2550" spans="2:2" x14ac:dyDescent="0.25">
      <c r="B2550" s="6"/>
    </row>
    <row r="2551" spans="2:2" x14ac:dyDescent="0.25">
      <c r="B2551" s="6"/>
    </row>
    <row r="2552" spans="2:2" x14ac:dyDescent="0.25">
      <c r="B2552" s="6"/>
    </row>
    <row r="2553" spans="2:2" x14ac:dyDescent="0.25">
      <c r="B2553" s="6"/>
    </row>
    <row r="2554" spans="2:2" x14ac:dyDescent="0.25">
      <c r="B2554" s="6"/>
    </row>
    <row r="2555" spans="2:2" x14ac:dyDescent="0.25">
      <c r="B2555" s="6"/>
    </row>
    <row r="2556" spans="2:2" x14ac:dyDescent="0.25">
      <c r="B2556" s="6"/>
    </row>
    <row r="2557" spans="2:2" x14ac:dyDescent="0.25">
      <c r="B2557" s="6"/>
    </row>
    <row r="2558" spans="2:2" x14ac:dyDescent="0.25">
      <c r="B2558" s="6"/>
    </row>
    <row r="2559" spans="2:2" x14ac:dyDescent="0.25">
      <c r="B2559" s="6"/>
    </row>
    <row r="2560" spans="2:2" x14ac:dyDescent="0.25">
      <c r="B2560" s="6"/>
    </row>
    <row r="2561" spans="2:2" x14ac:dyDescent="0.25">
      <c r="B2561" s="6"/>
    </row>
    <row r="2562" spans="2:2" x14ac:dyDescent="0.25">
      <c r="B2562" s="6"/>
    </row>
    <row r="2563" spans="2:2" x14ac:dyDescent="0.25">
      <c r="B2563" s="6"/>
    </row>
    <row r="2564" spans="2:2" x14ac:dyDescent="0.25">
      <c r="B2564" s="6"/>
    </row>
    <row r="2565" spans="2:2" x14ac:dyDescent="0.25">
      <c r="B2565" s="6"/>
    </row>
    <row r="2566" spans="2:2" x14ac:dyDescent="0.25">
      <c r="B2566" s="6"/>
    </row>
    <row r="2567" spans="2:2" x14ac:dyDescent="0.25">
      <c r="B2567" s="6"/>
    </row>
    <row r="2568" spans="2:2" x14ac:dyDescent="0.25">
      <c r="B2568" s="6"/>
    </row>
    <row r="2569" spans="2:2" x14ac:dyDescent="0.25">
      <c r="B2569" s="6"/>
    </row>
    <row r="2570" spans="2:2" x14ac:dyDescent="0.25">
      <c r="B2570" s="6"/>
    </row>
    <row r="2571" spans="2:2" x14ac:dyDescent="0.25">
      <c r="B2571" s="6"/>
    </row>
    <row r="2572" spans="2:2" x14ac:dyDescent="0.25">
      <c r="B2572" s="6"/>
    </row>
    <row r="2573" spans="2:2" x14ac:dyDescent="0.25">
      <c r="B2573" s="6"/>
    </row>
    <row r="2574" spans="2:2" x14ac:dyDescent="0.25">
      <c r="B2574" s="6"/>
    </row>
    <row r="2575" spans="2:2" x14ac:dyDescent="0.25">
      <c r="B2575" s="6"/>
    </row>
    <row r="2576" spans="2:2" x14ac:dyDescent="0.25">
      <c r="B2576" s="6"/>
    </row>
    <row r="2577" spans="2:2" x14ac:dyDescent="0.25">
      <c r="B2577" s="6"/>
    </row>
    <row r="2578" spans="2:2" x14ac:dyDescent="0.25">
      <c r="B2578" s="6"/>
    </row>
    <row r="2579" spans="2:2" x14ac:dyDescent="0.25">
      <c r="B2579" s="6"/>
    </row>
    <row r="2580" spans="2:2" x14ac:dyDescent="0.25">
      <c r="B2580" s="6"/>
    </row>
    <row r="2581" spans="2:2" x14ac:dyDescent="0.25">
      <c r="B2581" s="6"/>
    </row>
    <row r="2582" spans="2:2" x14ac:dyDescent="0.25">
      <c r="B2582" s="6"/>
    </row>
    <row r="2583" spans="2:2" x14ac:dyDescent="0.25">
      <c r="B2583" s="6"/>
    </row>
    <row r="2584" spans="2:2" x14ac:dyDescent="0.25">
      <c r="B2584" s="6"/>
    </row>
    <row r="2585" spans="2:2" x14ac:dyDescent="0.25">
      <c r="B2585" s="6"/>
    </row>
    <row r="2586" spans="2:2" x14ac:dyDescent="0.25">
      <c r="B2586" s="6"/>
    </row>
    <row r="2587" spans="2:2" x14ac:dyDescent="0.25">
      <c r="B2587" s="6"/>
    </row>
    <row r="2588" spans="2:2" x14ac:dyDescent="0.25">
      <c r="B2588" s="6"/>
    </row>
    <row r="2589" spans="2:2" x14ac:dyDescent="0.25">
      <c r="B2589" s="6"/>
    </row>
    <row r="2590" spans="2:2" x14ac:dyDescent="0.25">
      <c r="B2590" s="6"/>
    </row>
    <row r="2591" spans="2:2" x14ac:dyDescent="0.25">
      <c r="B2591" s="6"/>
    </row>
    <row r="2592" spans="2:2" x14ac:dyDescent="0.25">
      <c r="B2592" s="6"/>
    </row>
    <row r="2593" spans="2:2" x14ac:dyDescent="0.25">
      <c r="B2593" s="6"/>
    </row>
    <row r="2594" spans="2:2" x14ac:dyDescent="0.25">
      <c r="B2594" s="6"/>
    </row>
    <row r="2595" spans="2:2" x14ac:dyDescent="0.25">
      <c r="B2595" s="6"/>
    </row>
    <row r="2596" spans="2:2" x14ac:dyDescent="0.25">
      <c r="B2596" s="6"/>
    </row>
    <row r="2597" spans="2:2" x14ac:dyDescent="0.25">
      <c r="B2597" s="6"/>
    </row>
    <row r="2598" spans="2:2" x14ac:dyDescent="0.25">
      <c r="B2598" s="6"/>
    </row>
    <row r="2599" spans="2:2" x14ac:dyDescent="0.25">
      <c r="B2599" s="6"/>
    </row>
    <row r="2600" spans="2:2" x14ac:dyDescent="0.25">
      <c r="B2600" s="6"/>
    </row>
    <row r="2601" spans="2:2" x14ac:dyDescent="0.25">
      <c r="B2601" s="6"/>
    </row>
    <row r="2602" spans="2:2" x14ac:dyDescent="0.25">
      <c r="B2602" s="6"/>
    </row>
    <row r="2603" spans="2:2" x14ac:dyDescent="0.25">
      <c r="B2603" s="6"/>
    </row>
    <row r="2604" spans="2:2" x14ac:dyDescent="0.25">
      <c r="B2604" s="6"/>
    </row>
    <row r="2605" spans="2:2" x14ac:dyDescent="0.25">
      <c r="B2605" s="6"/>
    </row>
    <row r="2606" spans="2:2" x14ac:dyDescent="0.25">
      <c r="B2606" s="6"/>
    </row>
    <row r="2607" spans="2:2" x14ac:dyDescent="0.25">
      <c r="B2607" s="6"/>
    </row>
    <row r="2608" spans="2:2" x14ac:dyDescent="0.25">
      <c r="B2608" s="6"/>
    </row>
    <row r="2609" spans="2:2" x14ac:dyDescent="0.25">
      <c r="B2609" s="6"/>
    </row>
    <row r="2610" spans="2:2" x14ac:dyDescent="0.25">
      <c r="B2610" s="6"/>
    </row>
    <row r="2611" spans="2:2" x14ac:dyDescent="0.25">
      <c r="B2611" s="6"/>
    </row>
    <row r="2612" spans="2:2" x14ac:dyDescent="0.25">
      <c r="B2612" s="6"/>
    </row>
    <row r="2613" spans="2:2" x14ac:dyDescent="0.25">
      <c r="B2613" s="6"/>
    </row>
    <row r="2614" spans="2:2" x14ac:dyDescent="0.25">
      <c r="B2614" s="6"/>
    </row>
    <row r="2615" spans="2:2" x14ac:dyDescent="0.25">
      <c r="B2615" s="6"/>
    </row>
    <row r="2616" spans="2:2" x14ac:dyDescent="0.25">
      <c r="B2616" s="6"/>
    </row>
    <row r="2617" spans="2:2" x14ac:dyDescent="0.25">
      <c r="B2617" s="6"/>
    </row>
    <row r="2618" spans="2:2" x14ac:dyDescent="0.25">
      <c r="B2618" s="6"/>
    </row>
    <row r="2619" spans="2:2" x14ac:dyDescent="0.25">
      <c r="B2619" s="6"/>
    </row>
    <row r="2620" spans="2:2" x14ac:dyDescent="0.25">
      <c r="B2620" s="6"/>
    </row>
    <row r="2621" spans="2:2" x14ac:dyDescent="0.25">
      <c r="B2621" s="6"/>
    </row>
    <row r="2622" spans="2:2" x14ac:dyDescent="0.25">
      <c r="B2622" s="6"/>
    </row>
    <row r="2623" spans="2:2" x14ac:dyDescent="0.25">
      <c r="B2623" s="6"/>
    </row>
    <row r="2624" spans="2:2" x14ac:dyDescent="0.25">
      <c r="B2624" s="6"/>
    </row>
    <row r="2625" spans="2:2" x14ac:dyDescent="0.25">
      <c r="B2625" s="6"/>
    </row>
    <row r="2626" spans="2:2" x14ac:dyDescent="0.25">
      <c r="B2626" s="6"/>
    </row>
    <row r="2627" spans="2:2" x14ac:dyDescent="0.25">
      <c r="B2627" s="6"/>
    </row>
    <row r="2628" spans="2:2" x14ac:dyDescent="0.25">
      <c r="B2628" s="6"/>
    </row>
    <row r="2629" spans="2:2" x14ac:dyDescent="0.25">
      <c r="B2629" s="6"/>
    </row>
    <row r="2630" spans="2:2" x14ac:dyDescent="0.25">
      <c r="B2630" s="6"/>
    </row>
    <row r="2631" spans="2:2" x14ac:dyDescent="0.25">
      <c r="B2631" s="6"/>
    </row>
    <row r="2632" spans="2:2" x14ac:dyDescent="0.25">
      <c r="B2632" s="6"/>
    </row>
    <row r="2633" spans="2:2" x14ac:dyDescent="0.25">
      <c r="B2633" s="6"/>
    </row>
    <row r="2634" spans="2:2" x14ac:dyDescent="0.25">
      <c r="B2634" s="6"/>
    </row>
    <row r="2635" spans="2:2" x14ac:dyDescent="0.25">
      <c r="B2635" s="6"/>
    </row>
    <row r="2636" spans="2:2" x14ac:dyDescent="0.25">
      <c r="B2636" s="6"/>
    </row>
    <row r="2637" spans="2:2" x14ac:dyDescent="0.25">
      <c r="B2637" s="6"/>
    </row>
    <row r="2638" spans="2:2" x14ac:dyDescent="0.25">
      <c r="B2638" s="6"/>
    </row>
    <row r="2639" spans="2:2" x14ac:dyDescent="0.25">
      <c r="B2639" s="6"/>
    </row>
    <row r="2640" spans="2:2" x14ac:dyDescent="0.25">
      <c r="B2640" s="6"/>
    </row>
    <row r="2641" spans="2:2" x14ac:dyDescent="0.25">
      <c r="B2641" s="6"/>
    </row>
    <row r="2642" spans="2:2" x14ac:dyDescent="0.25">
      <c r="B2642" s="6"/>
    </row>
    <row r="2643" spans="2:2" x14ac:dyDescent="0.25">
      <c r="B2643" s="6"/>
    </row>
    <row r="2644" spans="2:2" x14ac:dyDescent="0.25">
      <c r="B2644" s="6"/>
    </row>
    <row r="2645" spans="2:2" x14ac:dyDescent="0.25">
      <c r="B2645" s="6"/>
    </row>
    <row r="2646" spans="2:2" x14ac:dyDescent="0.25">
      <c r="B2646" s="6"/>
    </row>
    <row r="2647" spans="2:2" x14ac:dyDescent="0.25">
      <c r="B2647" s="6"/>
    </row>
    <row r="2648" spans="2:2" x14ac:dyDescent="0.25">
      <c r="B2648" s="6"/>
    </row>
    <row r="2649" spans="2:2" x14ac:dyDescent="0.25">
      <c r="B2649" s="6"/>
    </row>
    <row r="2650" spans="2:2" x14ac:dyDescent="0.25">
      <c r="B2650" s="6"/>
    </row>
    <row r="2651" spans="2:2" x14ac:dyDescent="0.25">
      <c r="B2651" s="6"/>
    </row>
    <row r="2652" spans="2:2" x14ac:dyDescent="0.25">
      <c r="B2652" s="6"/>
    </row>
    <row r="2653" spans="2:2" x14ac:dyDescent="0.25">
      <c r="B2653" s="6"/>
    </row>
    <row r="2654" spans="2:2" x14ac:dyDescent="0.25">
      <c r="B2654" s="6"/>
    </row>
    <row r="2655" spans="2:2" x14ac:dyDescent="0.25">
      <c r="B2655" s="6"/>
    </row>
    <row r="2656" spans="2:2" x14ac:dyDescent="0.25">
      <c r="B2656" s="6"/>
    </row>
    <row r="2657" spans="2:2" x14ac:dyDescent="0.25">
      <c r="B2657" s="6"/>
    </row>
    <row r="2658" spans="2:2" x14ac:dyDescent="0.25">
      <c r="B2658" s="6"/>
    </row>
    <row r="2659" spans="2:2" x14ac:dyDescent="0.25">
      <c r="B2659" s="6"/>
    </row>
    <row r="2660" spans="2:2" x14ac:dyDescent="0.25">
      <c r="B2660" s="6"/>
    </row>
    <row r="2661" spans="2:2" x14ac:dyDescent="0.25">
      <c r="B2661" s="6"/>
    </row>
    <row r="2662" spans="2:2" x14ac:dyDescent="0.25">
      <c r="B2662" s="6"/>
    </row>
    <row r="2663" spans="2:2" x14ac:dyDescent="0.25">
      <c r="B2663" s="6"/>
    </row>
    <row r="2664" spans="2:2" x14ac:dyDescent="0.25">
      <c r="B2664" s="6"/>
    </row>
    <row r="2665" spans="2:2" x14ac:dyDescent="0.25">
      <c r="B2665" s="6"/>
    </row>
    <row r="2666" spans="2:2" x14ac:dyDescent="0.25">
      <c r="B2666" s="6"/>
    </row>
    <row r="2667" spans="2:2" x14ac:dyDescent="0.25">
      <c r="B2667" s="6"/>
    </row>
    <row r="2668" spans="2:2" x14ac:dyDescent="0.25">
      <c r="B2668" s="6"/>
    </row>
    <row r="2669" spans="2:2" x14ac:dyDescent="0.25">
      <c r="B2669" s="6"/>
    </row>
    <row r="2670" spans="2:2" x14ac:dyDescent="0.25">
      <c r="B2670" s="6"/>
    </row>
    <row r="2671" spans="2:2" x14ac:dyDescent="0.25">
      <c r="B2671" s="6"/>
    </row>
    <row r="2672" spans="2:2" x14ac:dyDescent="0.25">
      <c r="B2672" s="6"/>
    </row>
    <row r="2673" spans="2:2" x14ac:dyDescent="0.25">
      <c r="B2673" s="6"/>
    </row>
    <row r="2674" spans="2:2" x14ac:dyDescent="0.25">
      <c r="B2674" s="6"/>
    </row>
    <row r="2675" spans="2:2" x14ac:dyDescent="0.25">
      <c r="B2675" s="6"/>
    </row>
    <row r="2676" spans="2:2" x14ac:dyDescent="0.25">
      <c r="B2676" s="6"/>
    </row>
    <row r="2677" spans="2:2" x14ac:dyDescent="0.25">
      <c r="B2677" s="6"/>
    </row>
    <row r="2678" spans="2:2" x14ac:dyDescent="0.25">
      <c r="B2678" s="6"/>
    </row>
    <row r="2679" spans="2:2" x14ac:dyDescent="0.25">
      <c r="B2679" s="6"/>
    </row>
    <row r="2680" spans="2:2" x14ac:dyDescent="0.25">
      <c r="B2680" s="6"/>
    </row>
    <row r="2681" spans="2:2" x14ac:dyDescent="0.25">
      <c r="B2681" s="6"/>
    </row>
    <row r="2682" spans="2:2" x14ac:dyDescent="0.25">
      <c r="B2682" s="6"/>
    </row>
    <row r="2683" spans="2:2" x14ac:dyDescent="0.25">
      <c r="B2683" s="6"/>
    </row>
    <row r="2684" spans="2:2" x14ac:dyDescent="0.25">
      <c r="B2684" s="6"/>
    </row>
    <row r="2685" spans="2:2" x14ac:dyDescent="0.25">
      <c r="B2685" s="6"/>
    </row>
    <row r="2686" spans="2:2" x14ac:dyDescent="0.25">
      <c r="B2686" s="6"/>
    </row>
    <row r="2687" spans="2:2" x14ac:dyDescent="0.25">
      <c r="B2687" s="6"/>
    </row>
    <row r="2688" spans="2:2" x14ac:dyDescent="0.25">
      <c r="B2688" s="6"/>
    </row>
    <row r="2689" spans="2:2" x14ac:dyDescent="0.25">
      <c r="B2689" s="6"/>
    </row>
    <row r="2690" spans="2:2" x14ac:dyDescent="0.25">
      <c r="B2690" s="6"/>
    </row>
    <row r="2691" spans="2:2" x14ac:dyDescent="0.25">
      <c r="B2691" s="6"/>
    </row>
    <row r="2692" spans="2:2" x14ac:dyDescent="0.25">
      <c r="B2692" s="6"/>
    </row>
    <row r="2693" spans="2:2" x14ac:dyDescent="0.25">
      <c r="B2693" s="6"/>
    </row>
    <row r="2694" spans="2:2" x14ac:dyDescent="0.25">
      <c r="B2694" s="6"/>
    </row>
    <row r="2695" spans="2:2" x14ac:dyDescent="0.25">
      <c r="B2695" s="6"/>
    </row>
    <row r="2696" spans="2:2" x14ac:dyDescent="0.25">
      <c r="B2696" s="6"/>
    </row>
    <row r="2697" spans="2:2" x14ac:dyDescent="0.25">
      <c r="B2697" s="6"/>
    </row>
    <row r="2698" spans="2:2" x14ac:dyDescent="0.25">
      <c r="B2698" s="6"/>
    </row>
    <row r="2699" spans="2:2" x14ac:dyDescent="0.25">
      <c r="B2699" s="6"/>
    </row>
    <row r="2700" spans="2:2" x14ac:dyDescent="0.25">
      <c r="B2700" s="6"/>
    </row>
    <row r="2701" spans="2:2" x14ac:dyDescent="0.25">
      <c r="B2701" s="6"/>
    </row>
    <row r="2702" spans="2:2" x14ac:dyDescent="0.25">
      <c r="B2702" s="6"/>
    </row>
    <row r="2703" spans="2:2" x14ac:dyDescent="0.25">
      <c r="B2703" s="6"/>
    </row>
    <row r="2704" spans="2:2" x14ac:dyDescent="0.25">
      <c r="B2704" s="6"/>
    </row>
    <row r="2705" spans="2:2" x14ac:dyDescent="0.25">
      <c r="B2705" s="6"/>
    </row>
    <row r="2706" spans="2:2" x14ac:dyDescent="0.25">
      <c r="B2706" s="6"/>
    </row>
    <row r="2707" spans="2:2" x14ac:dyDescent="0.25">
      <c r="B2707" s="6"/>
    </row>
    <row r="2708" spans="2:2" x14ac:dyDescent="0.25">
      <c r="B2708" s="6"/>
    </row>
    <row r="2709" spans="2:2" x14ac:dyDescent="0.25">
      <c r="B2709" s="6"/>
    </row>
    <row r="2710" spans="2:2" x14ac:dyDescent="0.25">
      <c r="B2710" s="6"/>
    </row>
    <row r="2711" spans="2:2" x14ac:dyDescent="0.25">
      <c r="B2711" s="6"/>
    </row>
    <row r="2712" spans="2:2" x14ac:dyDescent="0.25">
      <c r="B2712" s="6"/>
    </row>
    <row r="2713" spans="2:2" x14ac:dyDescent="0.25">
      <c r="B2713" s="6"/>
    </row>
    <row r="2714" spans="2:2" x14ac:dyDescent="0.25">
      <c r="B2714" s="6"/>
    </row>
    <row r="2715" spans="2:2" x14ac:dyDescent="0.25">
      <c r="B2715" s="6"/>
    </row>
    <row r="2716" spans="2:2" x14ac:dyDescent="0.25">
      <c r="B2716" s="6"/>
    </row>
    <row r="2717" spans="2:2" x14ac:dyDescent="0.25">
      <c r="B2717" s="6"/>
    </row>
    <row r="2718" spans="2:2" x14ac:dyDescent="0.25">
      <c r="B2718" s="6"/>
    </row>
    <row r="2719" spans="2:2" x14ac:dyDescent="0.25">
      <c r="B2719" s="6"/>
    </row>
    <row r="2720" spans="2:2" x14ac:dyDescent="0.25">
      <c r="B2720" s="6"/>
    </row>
    <row r="2721" spans="2:2" x14ac:dyDescent="0.25">
      <c r="B2721" s="6"/>
    </row>
    <row r="2722" spans="2:2" x14ac:dyDescent="0.25">
      <c r="B2722" s="6"/>
    </row>
    <row r="2723" spans="2:2" x14ac:dyDescent="0.25">
      <c r="B2723" s="6"/>
    </row>
    <row r="2724" spans="2:2" x14ac:dyDescent="0.25">
      <c r="B2724" s="6"/>
    </row>
    <row r="2725" spans="2:2" x14ac:dyDescent="0.25">
      <c r="B2725" s="6"/>
    </row>
    <row r="2726" spans="2:2" x14ac:dyDescent="0.25">
      <c r="B2726" s="6"/>
    </row>
    <row r="2727" spans="2:2" x14ac:dyDescent="0.25">
      <c r="B2727" s="6"/>
    </row>
    <row r="2728" spans="2:2" x14ac:dyDescent="0.25">
      <c r="B2728" s="6"/>
    </row>
    <row r="2729" spans="2:2" x14ac:dyDescent="0.25">
      <c r="B2729" s="6"/>
    </row>
    <row r="2730" spans="2:2" x14ac:dyDescent="0.25">
      <c r="B2730" s="6"/>
    </row>
    <row r="2731" spans="2:2" x14ac:dyDescent="0.25">
      <c r="B2731" s="6"/>
    </row>
    <row r="2732" spans="2:2" x14ac:dyDescent="0.25">
      <c r="B2732" s="6"/>
    </row>
    <row r="2733" spans="2:2" x14ac:dyDescent="0.25">
      <c r="B2733" s="6"/>
    </row>
    <row r="2734" spans="2:2" x14ac:dyDescent="0.25">
      <c r="B2734" s="6"/>
    </row>
    <row r="2735" spans="2:2" x14ac:dyDescent="0.25">
      <c r="B2735" s="6"/>
    </row>
    <row r="2736" spans="2:2" x14ac:dyDescent="0.25">
      <c r="B2736" s="6"/>
    </row>
    <row r="2737" spans="2:2" x14ac:dyDescent="0.25">
      <c r="B2737" s="6"/>
    </row>
    <row r="2738" spans="2:2" x14ac:dyDescent="0.25">
      <c r="B2738" s="6"/>
    </row>
    <row r="2739" spans="2:2" x14ac:dyDescent="0.25">
      <c r="B2739" s="6"/>
    </row>
    <row r="2740" spans="2:2" x14ac:dyDescent="0.25">
      <c r="B2740" s="6"/>
    </row>
    <row r="2741" spans="2:2" x14ac:dyDescent="0.25">
      <c r="B2741" s="6"/>
    </row>
    <row r="2742" spans="2:2" x14ac:dyDescent="0.25">
      <c r="B2742" s="6"/>
    </row>
    <row r="2743" spans="2:2" x14ac:dyDescent="0.25">
      <c r="B2743" s="6"/>
    </row>
    <row r="2744" spans="2:2" x14ac:dyDescent="0.25">
      <c r="B2744" s="6"/>
    </row>
    <row r="2745" spans="2:2" x14ac:dyDescent="0.25">
      <c r="B2745" s="6"/>
    </row>
    <row r="2746" spans="2:2" x14ac:dyDescent="0.25">
      <c r="B2746" s="6"/>
    </row>
    <row r="2747" spans="2:2" x14ac:dyDescent="0.25">
      <c r="B2747" s="6"/>
    </row>
    <row r="2748" spans="2:2" x14ac:dyDescent="0.25">
      <c r="B2748" s="6"/>
    </row>
    <row r="2749" spans="2:2" x14ac:dyDescent="0.25">
      <c r="B2749" s="6"/>
    </row>
    <row r="2750" spans="2:2" x14ac:dyDescent="0.25">
      <c r="B2750" s="6"/>
    </row>
    <row r="2751" spans="2:2" x14ac:dyDescent="0.25">
      <c r="B2751" s="6"/>
    </row>
    <row r="2752" spans="2:2" x14ac:dyDescent="0.25">
      <c r="B2752" s="6"/>
    </row>
    <row r="2753" spans="2:2" x14ac:dyDescent="0.25">
      <c r="B2753" s="6"/>
    </row>
    <row r="2754" spans="2:2" x14ac:dyDescent="0.25">
      <c r="B2754" s="6"/>
    </row>
    <row r="2755" spans="2:2" x14ac:dyDescent="0.25">
      <c r="B2755" s="6"/>
    </row>
    <row r="2756" spans="2:2" x14ac:dyDescent="0.25">
      <c r="B2756" s="6"/>
    </row>
    <row r="2757" spans="2:2" x14ac:dyDescent="0.25">
      <c r="B2757" s="6"/>
    </row>
    <row r="2758" spans="2:2" x14ac:dyDescent="0.25">
      <c r="B2758" s="6"/>
    </row>
    <row r="2759" spans="2:2" x14ac:dyDescent="0.25">
      <c r="B2759" s="6"/>
    </row>
    <row r="2760" spans="2:2" x14ac:dyDescent="0.25">
      <c r="B2760" s="6"/>
    </row>
    <row r="2761" spans="2:2" x14ac:dyDescent="0.25">
      <c r="B2761" s="6"/>
    </row>
    <row r="2762" spans="2:2" x14ac:dyDescent="0.25">
      <c r="B2762" s="6"/>
    </row>
    <row r="2763" spans="2:2" x14ac:dyDescent="0.25">
      <c r="B2763" s="6"/>
    </row>
    <row r="2764" spans="2:2" x14ac:dyDescent="0.25">
      <c r="B2764" s="6"/>
    </row>
    <row r="2765" spans="2:2" x14ac:dyDescent="0.25">
      <c r="B2765" s="6"/>
    </row>
    <row r="2766" spans="2:2" x14ac:dyDescent="0.25">
      <c r="B2766" s="6"/>
    </row>
    <row r="2767" spans="2:2" x14ac:dyDescent="0.25">
      <c r="B2767" s="6"/>
    </row>
    <row r="2768" spans="2:2" x14ac:dyDescent="0.25">
      <c r="B2768" s="6"/>
    </row>
    <row r="2769" spans="2:2" x14ac:dyDescent="0.25">
      <c r="B2769" s="6"/>
    </row>
    <row r="2770" spans="2:2" x14ac:dyDescent="0.25">
      <c r="B2770" s="6"/>
    </row>
    <row r="2771" spans="2:2" x14ac:dyDescent="0.25">
      <c r="B2771" s="6"/>
    </row>
    <row r="2772" spans="2:2" x14ac:dyDescent="0.25">
      <c r="B2772" s="6"/>
    </row>
    <row r="2773" spans="2:2" x14ac:dyDescent="0.25">
      <c r="B2773" s="6"/>
    </row>
    <row r="2774" spans="2:2" x14ac:dyDescent="0.25">
      <c r="B2774" s="6"/>
    </row>
    <row r="2775" spans="2:2" x14ac:dyDescent="0.25">
      <c r="B2775" s="6"/>
    </row>
    <row r="2776" spans="2:2" x14ac:dyDescent="0.25">
      <c r="B2776" s="6"/>
    </row>
    <row r="2777" spans="2:2" x14ac:dyDescent="0.25">
      <c r="B2777" s="6"/>
    </row>
    <row r="2778" spans="2:2" x14ac:dyDescent="0.25">
      <c r="B2778" s="6"/>
    </row>
    <row r="2779" spans="2:2" x14ac:dyDescent="0.25">
      <c r="B2779" s="6"/>
    </row>
    <row r="2780" spans="2:2" x14ac:dyDescent="0.25">
      <c r="B2780" s="6"/>
    </row>
    <row r="2781" spans="2:2" x14ac:dyDescent="0.25">
      <c r="B2781" s="6"/>
    </row>
    <row r="2782" spans="2:2" x14ac:dyDescent="0.25">
      <c r="B2782" s="6"/>
    </row>
    <row r="2783" spans="2:2" x14ac:dyDescent="0.25">
      <c r="B2783" s="6"/>
    </row>
    <row r="2784" spans="2:2" x14ac:dyDescent="0.25">
      <c r="B2784" s="6"/>
    </row>
    <row r="2785" spans="2:2" x14ac:dyDescent="0.25">
      <c r="B2785" s="6"/>
    </row>
    <row r="2786" spans="2:2" x14ac:dyDescent="0.25">
      <c r="B2786" s="6"/>
    </row>
    <row r="2787" spans="2:2" x14ac:dyDescent="0.25">
      <c r="B2787" s="6"/>
    </row>
    <row r="2788" spans="2:2" x14ac:dyDescent="0.25">
      <c r="B2788" s="6"/>
    </row>
    <row r="2789" spans="2:2" x14ac:dyDescent="0.25">
      <c r="B2789" s="6"/>
    </row>
    <row r="2790" spans="2:2" x14ac:dyDescent="0.25">
      <c r="B2790" s="6"/>
    </row>
    <row r="2791" spans="2:2" x14ac:dyDescent="0.25">
      <c r="B2791" s="6"/>
    </row>
    <row r="2792" spans="2:2" x14ac:dyDescent="0.25">
      <c r="B2792" s="6"/>
    </row>
    <row r="2793" spans="2:2" x14ac:dyDescent="0.25">
      <c r="B2793" s="6"/>
    </row>
    <row r="2794" spans="2:2" x14ac:dyDescent="0.25">
      <c r="B2794" s="6"/>
    </row>
    <row r="2795" spans="2:2" x14ac:dyDescent="0.25">
      <c r="B2795" s="6"/>
    </row>
    <row r="2796" spans="2:2" x14ac:dyDescent="0.25">
      <c r="B2796" s="6"/>
    </row>
    <row r="2797" spans="2:2" x14ac:dyDescent="0.25">
      <c r="B2797" s="6"/>
    </row>
    <row r="2798" spans="2:2" x14ac:dyDescent="0.25">
      <c r="B2798" s="6"/>
    </row>
    <row r="2799" spans="2:2" x14ac:dyDescent="0.25">
      <c r="B2799" s="6"/>
    </row>
    <row r="2800" spans="2:2" x14ac:dyDescent="0.25">
      <c r="B2800" s="6"/>
    </row>
    <row r="2801" spans="2:2" x14ac:dyDescent="0.25">
      <c r="B2801" s="6"/>
    </row>
    <row r="2802" spans="2:2" x14ac:dyDescent="0.25">
      <c r="B2802" s="6"/>
    </row>
    <row r="2803" spans="2:2" x14ac:dyDescent="0.25">
      <c r="B2803" s="6"/>
    </row>
    <row r="2804" spans="2:2" x14ac:dyDescent="0.25">
      <c r="B2804" s="6"/>
    </row>
    <row r="2805" spans="2:2" x14ac:dyDescent="0.25">
      <c r="B2805" s="6"/>
    </row>
    <row r="2806" spans="2:2" x14ac:dyDescent="0.25">
      <c r="B2806" s="6"/>
    </row>
    <row r="2807" spans="2:2" x14ac:dyDescent="0.25">
      <c r="B2807" s="6"/>
    </row>
    <row r="2808" spans="2:2" x14ac:dyDescent="0.25">
      <c r="B2808" s="6"/>
    </row>
    <row r="2809" spans="2:2" x14ac:dyDescent="0.25">
      <c r="B2809" s="6"/>
    </row>
    <row r="2810" spans="2:2" x14ac:dyDescent="0.25">
      <c r="B2810" s="6"/>
    </row>
    <row r="2811" spans="2:2" x14ac:dyDescent="0.25">
      <c r="B2811" s="6"/>
    </row>
    <row r="2812" spans="2:2" x14ac:dyDescent="0.25">
      <c r="B2812" s="6"/>
    </row>
    <row r="2813" spans="2:2" x14ac:dyDescent="0.25">
      <c r="B2813" s="6"/>
    </row>
    <row r="2814" spans="2:2" x14ac:dyDescent="0.25">
      <c r="B2814" s="6"/>
    </row>
    <row r="2815" spans="2:2" x14ac:dyDescent="0.25">
      <c r="B2815" s="6"/>
    </row>
    <row r="2816" spans="2:2" x14ac:dyDescent="0.25">
      <c r="B2816" s="6"/>
    </row>
    <row r="2817" spans="2:2" x14ac:dyDescent="0.25">
      <c r="B2817" s="6"/>
    </row>
    <row r="2818" spans="2:2" x14ac:dyDescent="0.25">
      <c r="B2818" s="6"/>
    </row>
    <row r="2819" spans="2:2" x14ac:dyDescent="0.25">
      <c r="B2819" s="6"/>
    </row>
    <row r="2820" spans="2:2" x14ac:dyDescent="0.25">
      <c r="B2820" s="6"/>
    </row>
    <row r="2821" spans="2:2" x14ac:dyDescent="0.25">
      <c r="B2821" s="6"/>
    </row>
    <row r="2822" spans="2:2" x14ac:dyDescent="0.25">
      <c r="B2822" s="6"/>
    </row>
    <row r="2823" spans="2:2" x14ac:dyDescent="0.25">
      <c r="B2823" s="6"/>
    </row>
    <row r="2824" spans="2:2" x14ac:dyDescent="0.25">
      <c r="B2824" s="6"/>
    </row>
    <row r="2825" spans="2:2" x14ac:dyDescent="0.25">
      <c r="B2825" s="6"/>
    </row>
    <row r="2826" spans="2:2" x14ac:dyDescent="0.25">
      <c r="B2826" s="6"/>
    </row>
    <row r="2827" spans="2:2" x14ac:dyDescent="0.25">
      <c r="B2827" s="6"/>
    </row>
    <row r="2828" spans="2:2" x14ac:dyDescent="0.25">
      <c r="B2828" s="6"/>
    </row>
    <row r="2829" spans="2:2" x14ac:dyDescent="0.25">
      <c r="B2829" s="6"/>
    </row>
    <row r="2830" spans="2:2" x14ac:dyDescent="0.25">
      <c r="B2830" s="6"/>
    </row>
    <row r="2831" spans="2:2" x14ac:dyDescent="0.25">
      <c r="B2831" s="6"/>
    </row>
    <row r="2832" spans="2:2" x14ac:dyDescent="0.25">
      <c r="B2832" s="6"/>
    </row>
    <row r="2833" spans="2:2" x14ac:dyDescent="0.25">
      <c r="B2833" s="6"/>
    </row>
    <row r="2834" spans="2:2" x14ac:dyDescent="0.25">
      <c r="B2834" s="6"/>
    </row>
    <row r="2835" spans="2:2" x14ac:dyDescent="0.25">
      <c r="B2835" s="6"/>
    </row>
    <row r="2836" spans="2:2" x14ac:dyDescent="0.25">
      <c r="B2836" s="6"/>
    </row>
    <row r="2837" spans="2:2" x14ac:dyDescent="0.25">
      <c r="B2837" s="6"/>
    </row>
    <row r="2838" spans="2:2" x14ac:dyDescent="0.25">
      <c r="B2838" s="6"/>
    </row>
    <row r="2839" spans="2:2" x14ac:dyDescent="0.25">
      <c r="B2839" s="6"/>
    </row>
    <row r="2840" spans="2:2" x14ac:dyDescent="0.25">
      <c r="B2840" s="6"/>
    </row>
    <row r="2841" spans="2:2" x14ac:dyDescent="0.25">
      <c r="B2841" s="6"/>
    </row>
    <row r="2842" spans="2:2" x14ac:dyDescent="0.25">
      <c r="B2842" s="6"/>
    </row>
    <row r="2843" spans="2:2" x14ac:dyDescent="0.25">
      <c r="B2843" s="6"/>
    </row>
    <row r="2844" spans="2:2" x14ac:dyDescent="0.25">
      <c r="B2844" s="6"/>
    </row>
    <row r="2845" spans="2:2" x14ac:dyDescent="0.25">
      <c r="B2845" s="6"/>
    </row>
    <row r="2846" spans="2:2" x14ac:dyDescent="0.25">
      <c r="B2846" s="6"/>
    </row>
    <row r="2847" spans="2:2" x14ac:dyDescent="0.25">
      <c r="B2847" s="6"/>
    </row>
    <row r="2848" spans="2:2" x14ac:dyDescent="0.25">
      <c r="B2848" s="6"/>
    </row>
    <row r="2849" spans="2:2" x14ac:dyDescent="0.25">
      <c r="B2849" s="6"/>
    </row>
    <row r="2850" spans="2:2" x14ac:dyDescent="0.25">
      <c r="B2850" s="6"/>
    </row>
    <row r="2851" spans="2:2" x14ac:dyDescent="0.25">
      <c r="B2851" s="6"/>
    </row>
    <row r="2852" spans="2:2" x14ac:dyDescent="0.25">
      <c r="B2852" s="6"/>
    </row>
    <row r="2853" spans="2:2" x14ac:dyDescent="0.25">
      <c r="B2853" s="6"/>
    </row>
    <row r="2854" spans="2:2" x14ac:dyDescent="0.25">
      <c r="B2854" s="6"/>
    </row>
    <row r="2855" spans="2:2" x14ac:dyDescent="0.25">
      <c r="B2855" s="6"/>
    </row>
    <row r="2856" spans="2:2" x14ac:dyDescent="0.25">
      <c r="B2856" s="6"/>
    </row>
    <row r="2857" spans="2:2" x14ac:dyDescent="0.25">
      <c r="B2857" s="6"/>
    </row>
    <row r="2858" spans="2:2" x14ac:dyDescent="0.25">
      <c r="B2858" s="6"/>
    </row>
    <row r="2859" spans="2:2" x14ac:dyDescent="0.25">
      <c r="B2859" s="6"/>
    </row>
    <row r="2860" spans="2:2" x14ac:dyDescent="0.25">
      <c r="B2860" s="6"/>
    </row>
    <row r="2861" spans="2:2" x14ac:dyDescent="0.25">
      <c r="B2861" s="6"/>
    </row>
    <row r="2862" spans="2:2" x14ac:dyDescent="0.25">
      <c r="B2862" s="6"/>
    </row>
    <row r="2863" spans="2:2" x14ac:dyDescent="0.25">
      <c r="B2863" s="6"/>
    </row>
    <row r="2864" spans="2:2" x14ac:dyDescent="0.25">
      <c r="B2864" s="6"/>
    </row>
    <row r="2865" spans="2:2" x14ac:dyDescent="0.25">
      <c r="B2865" s="6"/>
    </row>
    <row r="2866" spans="2:2" x14ac:dyDescent="0.25">
      <c r="B2866" s="6"/>
    </row>
    <row r="2867" spans="2:2" x14ac:dyDescent="0.25">
      <c r="B2867" s="6"/>
    </row>
    <row r="2868" spans="2:2" x14ac:dyDescent="0.25">
      <c r="B2868" s="6"/>
    </row>
    <row r="2869" spans="2:2" x14ac:dyDescent="0.25">
      <c r="B2869" s="6"/>
    </row>
    <row r="2870" spans="2:2" x14ac:dyDescent="0.25">
      <c r="B2870" s="6"/>
    </row>
    <row r="2871" spans="2:2" x14ac:dyDescent="0.25">
      <c r="B2871" s="6"/>
    </row>
    <row r="2872" spans="2:2" x14ac:dyDescent="0.25">
      <c r="B2872" s="6"/>
    </row>
    <row r="2873" spans="2:2" x14ac:dyDescent="0.25">
      <c r="B2873" s="6"/>
    </row>
    <row r="2874" spans="2:2" x14ac:dyDescent="0.25">
      <c r="B2874" s="6"/>
    </row>
    <row r="2875" spans="2:2" x14ac:dyDescent="0.25">
      <c r="B2875" s="6"/>
    </row>
    <row r="2876" spans="2:2" x14ac:dyDescent="0.25">
      <c r="B2876" s="6"/>
    </row>
    <row r="2877" spans="2:2" x14ac:dyDescent="0.25">
      <c r="B2877" s="6"/>
    </row>
    <row r="2878" spans="2:2" x14ac:dyDescent="0.25">
      <c r="B2878" s="6"/>
    </row>
    <row r="2879" spans="2:2" x14ac:dyDescent="0.25">
      <c r="B2879" s="6"/>
    </row>
    <row r="2880" spans="2:2" x14ac:dyDescent="0.25">
      <c r="B2880" s="6"/>
    </row>
    <row r="2881" spans="2:2" x14ac:dyDescent="0.25">
      <c r="B2881" s="6"/>
    </row>
    <row r="2882" spans="2:2" x14ac:dyDescent="0.25">
      <c r="B2882" s="6"/>
    </row>
    <row r="2883" spans="2:2" x14ac:dyDescent="0.25">
      <c r="B2883" s="6"/>
    </row>
    <row r="2884" spans="2:2" x14ac:dyDescent="0.25">
      <c r="B2884" s="6"/>
    </row>
    <row r="2885" spans="2:2" x14ac:dyDescent="0.25">
      <c r="B2885" s="6"/>
    </row>
    <row r="2886" spans="2:2" x14ac:dyDescent="0.25">
      <c r="B2886" s="6"/>
    </row>
    <row r="2887" spans="2:2" x14ac:dyDescent="0.25">
      <c r="B2887" s="6"/>
    </row>
    <row r="2888" spans="2:2" x14ac:dyDescent="0.25">
      <c r="B2888" s="6"/>
    </row>
    <row r="2889" spans="2:2" x14ac:dyDescent="0.25">
      <c r="B2889" s="6"/>
    </row>
    <row r="2890" spans="2:2" x14ac:dyDescent="0.25">
      <c r="B2890" s="6"/>
    </row>
    <row r="2891" spans="2:2" x14ac:dyDescent="0.25">
      <c r="B2891" s="6"/>
    </row>
    <row r="2892" spans="2:2" x14ac:dyDescent="0.25">
      <c r="B2892" s="6"/>
    </row>
    <row r="2893" spans="2:2" x14ac:dyDescent="0.25">
      <c r="B2893" s="6"/>
    </row>
    <row r="2894" spans="2:2" x14ac:dyDescent="0.25">
      <c r="B2894" s="6"/>
    </row>
    <row r="2895" spans="2:2" x14ac:dyDescent="0.25">
      <c r="B2895" s="6"/>
    </row>
    <row r="2896" spans="2:2" x14ac:dyDescent="0.25">
      <c r="B2896" s="6"/>
    </row>
    <row r="2897" spans="2:2" x14ac:dyDescent="0.25">
      <c r="B2897" s="6"/>
    </row>
    <row r="2898" spans="2:2" x14ac:dyDescent="0.25">
      <c r="B2898" s="6"/>
    </row>
    <row r="2899" spans="2:2" x14ac:dyDescent="0.25">
      <c r="B2899" s="6"/>
    </row>
    <row r="2900" spans="2:2" x14ac:dyDescent="0.25">
      <c r="B2900" s="6"/>
    </row>
    <row r="2901" spans="2:2" x14ac:dyDescent="0.25">
      <c r="B2901" s="6"/>
    </row>
    <row r="2902" spans="2:2" x14ac:dyDescent="0.25">
      <c r="B2902" s="6"/>
    </row>
    <row r="2903" spans="2:2" x14ac:dyDescent="0.25">
      <c r="B2903" s="6"/>
    </row>
    <row r="2904" spans="2:2" x14ac:dyDescent="0.25">
      <c r="B2904" s="6"/>
    </row>
    <row r="2905" spans="2:2" x14ac:dyDescent="0.25">
      <c r="B2905" s="6"/>
    </row>
    <row r="2906" spans="2:2" x14ac:dyDescent="0.25">
      <c r="B2906" s="6"/>
    </row>
    <row r="2907" spans="2:2" x14ac:dyDescent="0.25">
      <c r="B2907" s="6"/>
    </row>
    <row r="2908" spans="2:2" x14ac:dyDescent="0.25">
      <c r="B2908" s="6"/>
    </row>
    <row r="2909" spans="2:2" x14ac:dyDescent="0.25">
      <c r="B2909" s="6"/>
    </row>
    <row r="2910" spans="2:2" x14ac:dyDescent="0.25">
      <c r="B2910" s="6"/>
    </row>
    <row r="2911" spans="2:2" x14ac:dyDescent="0.25">
      <c r="B2911" s="6"/>
    </row>
    <row r="2912" spans="2:2" x14ac:dyDescent="0.25">
      <c r="B2912" s="6"/>
    </row>
    <row r="2913" spans="2:2" x14ac:dyDescent="0.25">
      <c r="B2913" s="6"/>
    </row>
    <row r="2914" spans="2:2" x14ac:dyDescent="0.25">
      <c r="B2914" s="6"/>
    </row>
    <row r="2915" spans="2:2" x14ac:dyDescent="0.25">
      <c r="B2915" s="6"/>
    </row>
    <row r="2916" spans="2:2" x14ac:dyDescent="0.25">
      <c r="B2916" s="6"/>
    </row>
    <row r="2917" spans="2:2" x14ac:dyDescent="0.25">
      <c r="B2917" s="6"/>
    </row>
    <row r="2918" spans="2:2" x14ac:dyDescent="0.25">
      <c r="B2918" s="6"/>
    </row>
    <row r="2919" spans="2:2" x14ac:dyDescent="0.25">
      <c r="B2919" s="6"/>
    </row>
    <row r="2920" spans="2:2" x14ac:dyDescent="0.25">
      <c r="B2920" s="6"/>
    </row>
    <row r="2921" spans="2:2" x14ac:dyDescent="0.25">
      <c r="B2921" s="6"/>
    </row>
    <row r="2922" spans="2:2" x14ac:dyDescent="0.25">
      <c r="B2922" s="6"/>
    </row>
    <row r="2923" spans="2:2" x14ac:dyDescent="0.25">
      <c r="B2923" s="6"/>
    </row>
    <row r="2924" spans="2:2" x14ac:dyDescent="0.25">
      <c r="B2924" s="6"/>
    </row>
    <row r="2925" spans="2:2" x14ac:dyDescent="0.25">
      <c r="B2925" s="6"/>
    </row>
    <row r="2926" spans="2:2" x14ac:dyDescent="0.25">
      <c r="B2926" s="6"/>
    </row>
    <row r="2927" spans="2:2" x14ac:dyDescent="0.25">
      <c r="B2927" s="6"/>
    </row>
    <row r="2928" spans="2:2" x14ac:dyDescent="0.25">
      <c r="B2928" s="6"/>
    </row>
    <row r="2929" spans="2:2" x14ac:dyDescent="0.25">
      <c r="B2929" s="6"/>
    </row>
    <row r="2930" spans="2:2" x14ac:dyDescent="0.25">
      <c r="B2930" s="6"/>
    </row>
    <row r="2931" spans="2:2" x14ac:dyDescent="0.25">
      <c r="B2931" s="6"/>
    </row>
    <row r="2932" spans="2:2" x14ac:dyDescent="0.25">
      <c r="B2932" s="6"/>
    </row>
    <row r="2933" spans="2:2" x14ac:dyDescent="0.25">
      <c r="B2933" s="6"/>
    </row>
    <row r="2934" spans="2:2" x14ac:dyDescent="0.25">
      <c r="B2934" s="6"/>
    </row>
    <row r="2935" spans="2:2" x14ac:dyDescent="0.25">
      <c r="B2935" s="6"/>
    </row>
    <row r="2936" spans="2:2" x14ac:dyDescent="0.25">
      <c r="B2936" s="6"/>
    </row>
    <row r="2937" spans="2:2" x14ac:dyDescent="0.25">
      <c r="B2937" s="6"/>
    </row>
    <row r="2938" spans="2:2" x14ac:dyDescent="0.25">
      <c r="B2938" s="6"/>
    </row>
    <row r="2939" spans="2:2" x14ac:dyDescent="0.25">
      <c r="B2939" s="6"/>
    </row>
    <row r="2940" spans="2:2" x14ac:dyDescent="0.25">
      <c r="B2940" s="6"/>
    </row>
    <row r="2941" spans="2:2" x14ac:dyDescent="0.25">
      <c r="B2941" s="6"/>
    </row>
    <row r="2942" spans="2:2" x14ac:dyDescent="0.25">
      <c r="B2942" s="6"/>
    </row>
    <row r="2943" spans="2:2" x14ac:dyDescent="0.25">
      <c r="B2943" s="6"/>
    </row>
    <row r="2944" spans="2:2" x14ac:dyDescent="0.25">
      <c r="B2944" s="6"/>
    </row>
    <row r="2945" spans="2:2" x14ac:dyDescent="0.25">
      <c r="B2945" s="6"/>
    </row>
    <row r="2946" spans="2:2" x14ac:dyDescent="0.25">
      <c r="B2946" s="6"/>
    </row>
    <row r="2947" spans="2:2" x14ac:dyDescent="0.25">
      <c r="B2947" s="6"/>
    </row>
    <row r="2948" spans="2:2" x14ac:dyDescent="0.25">
      <c r="B2948" s="6"/>
    </row>
    <row r="2949" spans="2:2" x14ac:dyDescent="0.25">
      <c r="B2949" s="6"/>
    </row>
    <row r="2950" spans="2:2" x14ac:dyDescent="0.25">
      <c r="B2950" s="6"/>
    </row>
    <row r="2951" spans="2:2" x14ac:dyDescent="0.25">
      <c r="B2951" s="6"/>
    </row>
    <row r="2952" spans="2:2" x14ac:dyDescent="0.25">
      <c r="B2952" s="6"/>
    </row>
    <row r="2953" spans="2:2" x14ac:dyDescent="0.25">
      <c r="B2953" s="6"/>
    </row>
    <row r="2954" spans="2:2" x14ac:dyDescent="0.25">
      <c r="B2954" s="6"/>
    </row>
    <row r="2955" spans="2:2" x14ac:dyDescent="0.25">
      <c r="B2955" s="6"/>
    </row>
    <row r="2956" spans="2:2" x14ac:dyDescent="0.25">
      <c r="B2956" s="6"/>
    </row>
    <row r="2957" spans="2:2" x14ac:dyDescent="0.25">
      <c r="B2957" s="6"/>
    </row>
    <row r="2958" spans="2:2" x14ac:dyDescent="0.25">
      <c r="B2958" s="6"/>
    </row>
    <row r="2959" spans="2:2" x14ac:dyDescent="0.25">
      <c r="B2959" s="6"/>
    </row>
    <row r="2960" spans="2:2" x14ac:dyDescent="0.25">
      <c r="B2960" s="6"/>
    </row>
    <row r="2961" spans="2:2" x14ac:dyDescent="0.25">
      <c r="B2961" s="6"/>
    </row>
    <row r="2962" spans="2:2" x14ac:dyDescent="0.25">
      <c r="B2962" s="6"/>
    </row>
    <row r="2963" spans="2:2" x14ac:dyDescent="0.25">
      <c r="B2963" s="6"/>
    </row>
    <row r="2964" spans="2:2" x14ac:dyDescent="0.25">
      <c r="B2964" s="6"/>
    </row>
    <row r="2965" spans="2:2" x14ac:dyDescent="0.25">
      <c r="B2965" s="6"/>
    </row>
    <row r="2966" spans="2:2" x14ac:dyDescent="0.25">
      <c r="B2966" s="6"/>
    </row>
    <row r="2967" spans="2:2" x14ac:dyDescent="0.25">
      <c r="B2967" s="6"/>
    </row>
    <row r="2968" spans="2:2" x14ac:dyDescent="0.25">
      <c r="B2968" s="6"/>
    </row>
    <row r="2969" spans="2:2" x14ac:dyDescent="0.25">
      <c r="B2969" s="6"/>
    </row>
    <row r="2970" spans="2:2" x14ac:dyDescent="0.25">
      <c r="B2970" s="6"/>
    </row>
    <row r="2971" spans="2:2" x14ac:dyDescent="0.25">
      <c r="B2971" s="6"/>
    </row>
    <row r="2972" spans="2:2" x14ac:dyDescent="0.25">
      <c r="B2972" s="6"/>
    </row>
    <row r="2973" spans="2:2" x14ac:dyDescent="0.25">
      <c r="B2973" s="6"/>
    </row>
    <row r="2974" spans="2:2" x14ac:dyDescent="0.25">
      <c r="B2974" s="6"/>
    </row>
    <row r="2975" spans="2:2" x14ac:dyDescent="0.25">
      <c r="B2975" s="6"/>
    </row>
    <row r="2976" spans="2:2" x14ac:dyDescent="0.25">
      <c r="B2976" s="6"/>
    </row>
    <row r="2977" spans="2:2" x14ac:dyDescent="0.25">
      <c r="B2977" s="6"/>
    </row>
    <row r="2978" spans="2:2" x14ac:dyDescent="0.25">
      <c r="B2978" s="6"/>
    </row>
    <row r="2979" spans="2:2" x14ac:dyDescent="0.25">
      <c r="B2979" s="6"/>
    </row>
    <row r="2980" spans="2:2" x14ac:dyDescent="0.25">
      <c r="B2980" s="6"/>
    </row>
    <row r="2981" spans="2:2" x14ac:dyDescent="0.25">
      <c r="B2981" s="6"/>
    </row>
    <row r="2982" spans="2:2" x14ac:dyDescent="0.25">
      <c r="B2982" s="6"/>
    </row>
    <row r="2983" spans="2:2" x14ac:dyDescent="0.25">
      <c r="B2983" s="6"/>
    </row>
    <row r="2984" spans="2:2" x14ac:dyDescent="0.25">
      <c r="B2984" s="6"/>
    </row>
    <row r="2985" spans="2:2" x14ac:dyDescent="0.25">
      <c r="B2985" s="6"/>
    </row>
    <row r="2986" spans="2:2" x14ac:dyDescent="0.25">
      <c r="B2986" s="6"/>
    </row>
    <row r="2987" spans="2:2" x14ac:dyDescent="0.25">
      <c r="B2987" s="6"/>
    </row>
    <row r="2988" spans="2:2" x14ac:dyDescent="0.25">
      <c r="B2988" s="6"/>
    </row>
    <row r="2989" spans="2:2" x14ac:dyDescent="0.25">
      <c r="B2989" s="6"/>
    </row>
    <row r="2990" spans="2:2" x14ac:dyDescent="0.25">
      <c r="B2990" s="6"/>
    </row>
    <row r="2991" spans="2:2" x14ac:dyDescent="0.25">
      <c r="B2991" s="6"/>
    </row>
    <row r="2992" spans="2:2" x14ac:dyDescent="0.25">
      <c r="B2992" s="6"/>
    </row>
    <row r="2993" spans="2:2" x14ac:dyDescent="0.25">
      <c r="B2993" s="6"/>
    </row>
    <row r="2994" spans="2:2" x14ac:dyDescent="0.25">
      <c r="B2994" s="6"/>
    </row>
    <row r="2995" spans="2:2" x14ac:dyDescent="0.25">
      <c r="B2995" s="6"/>
    </row>
    <row r="2996" spans="2:2" x14ac:dyDescent="0.25">
      <c r="B2996" s="6"/>
    </row>
    <row r="2997" spans="2:2" x14ac:dyDescent="0.25">
      <c r="B2997" s="6"/>
    </row>
    <row r="2998" spans="2:2" x14ac:dyDescent="0.25">
      <c r="B2998" s="6"/>
    </row>
    <row r="2999" spans="2:2" x14ac:dyDescent="0.25">
      <c r="B2999" s="6"/>
    </row>
    <row r="3000" spans="2:2" x14ac:dyDescent="0.25">
      <c r="B3000" s="6"/>
    </row>
    <row r="3001" spans="2:2" x14ac:dyDescent="0.25">
      <c r="B3001" s="6"/>
    </row>
    <row r="3002" spans="2:2" x14ac:dyDescent="0.25">
      <c r="B3002" s="6"/>
    </row>
    <row r="3003" spans="2:2" x14ac:dyDescent="0.25">
      <c r="B3003" s="6"/>
    </row>
    <row r="3004" spans="2:2" x14ac:dyDescent="0.25">
      <c r="B3004" s="6"/>
    </row>
    <row r="3005" spans="2:2" x14ac:dyDescent="0.25">
      <c r="B3005" s="6"/>
    </row>
    <row r="3006" spans="2:2" x14ac:dyDescent="0.25">
      <c r="B3006" s="6"/>
    </row>
    <row r="3007" spans="2:2" x14ac:dyDescent="0.25">
      <c r="B3007" s="6"/>
    </row>
    <row r="3008" spans="2:2" x14ac:dyDescent="0.25">
      <c r="B3008" s="6"/>
    </row>
    <row r="3009" spans="2:2" x14ac:dyDescent="0.25">
      <c r="B3009" s="6"/>
    </row>
    <row r="3010" spans="2:2" x14ac:dyDescent="0.25">
      <c r="B3010" s="6"/>
    </row>
    <row r="3011" spans="2:2" x14ac:dyDescent="0.25">
      <c r="B3011" s="6"/>
    </row>
    <row r="3012" spans="2:2" x14ac:dyDescent="0.25">
      <c r="B3012" s="6"/>
    </row>
    <row r="3013" spans="2:2" x14ac:dyDescent="0.25">
      <c r="B3013" s="6"/>
    </row>
    <row r="3014" spans="2:2" x14ac:dyDescent="0.25">
      <c r="B3014" s="6"/>
    </row>
    <row r="3015" spans="2:2" x14ac:dyDescent="0.25">
      <c r="B3015" s="6"/>
    </row>
    <row r="3016" spans="2:2" x14ac:dyDescent="0.25">
      <c r="B3016" s="6"/>
    </row>
    <row r="3017" spans="2:2" x14ac:dyDescent="0.25">
      <c r="B3017" s="6"/>
    </row>
    <row r="3018" spans="2:2" x14ac:dyDescent="0.25">
      <c r="B3018" s="6"/>
    </row>
    <row r="3019" spans="2:2" x14ac:dyDescent="0.25">
      <c r="B3019" s="6"/>
    </row>
    <row r="3020" spans="2:2" x14ac:dyDescent="0.25">
      <c r="B3020" s="6"/>
    </row>
    <row r="3021" spans="2:2" x14ac:dyDescent="0.25">
      <c r="B3021" s="6"/>
    </row>
    <row r="3022" spans="2:2" x14ac:dyDescent="0.25">
      <c r="B3022" s="6"/>
    </row>
    <row r="3023" spans="2:2" x14ac:dyDescent="0.25">
      <c r="B3023" s="6"/>
    </row>
    <row r="3024" spans="2:2" x14ac:dyDescent="0.25">
      <c r="B3024" s="6"/>
    </row>
    <row r="3025" spans="2:2" x14ac:dyDescent="0.25">
      <c r="B3025" s="6"/>
    </row>
    <row r="3026" spans="2:2" x14ac:dyDescent="0.25">
      <c r="B3026" s="6"/>
    </row>
    <row r="3027" spans="2:2" x14ac:dyDescent="0.25">
      <c r="B3027" s="6"/>
    </row>
    <row r="3028" spans="2:2" x14ac:dyDescent="0.25">
      <c r="B3028" s="6"/>
    </row>
    <row r="3029" spans="2:2" x14ac:dyDescent="0.25">
      <c r="B3029" s="6"/>
    </row>
    <row r="3030" spans="2:2" x14ac:dyDescent="0.25">
      <c r="B3030" s="6"/>
    </row>
    <row r="3031" spans="2:2" x14ac:dyDescent="0.25">
      <c r="B3031" s="6"/>
    </row>
    <row r="3032" spans="2:2" x14ac:dyDescent="0.25">
      <c r="B3032" s="6"/>
    </row>
    <row r="3033" spans="2:2" x14ac:dyDescent="0.25">
      <c r="B3033" s="6"/>
    </row>
    <row r="3034" spans="2:2" x14ac:dyDescent="0.25">
      <c r="B3034" s="6"/>
    </row>
    <row r="3035" spans="2:2" x14ac:dyDescent="0.25">
      <c r="B3035" s="6"/>
    </row>
    <row r="3036" spans="2:2" x14ac:dyDescent="0.25">
      <c r="B3036" s="6"/>
    </row>
    <row r="3037" spans="2:2" x14ac:dyDescent="0.25">
      <c r="B3037" s="6"/>
    </row>
    <row r="3038" spans="2:2" x14ac:dyDescent="0.25">
      <c r="B3038" s="6"/>
    </row>
    <row r="3039" spans="2:2" x14ac:dyDescent="0.25">
      <c r="B3039" s="6"/>
    </row>
    <row r="3040" spans="2:2" x14ac:dyDescent="0.25">
      <c r="B3040" s="6"/>
    </row>
    <row r="3041" spans="2:2" x14ac:dyDescent="0.25">
      <c r="B3041" s="6"/>
    </row>
    <row r="3042" spans="2:2" x14ac:dyDescent="0.25">
      <c r="B3042" s="6"/>
    </row>
    <row r="3043" spans="2:2" x14ac:dyDescent="0.25">
      <c r="B3043" s="6"/>
    </row>
    <row r="3044" spans="2:2" x14ac:dyDescent="0.25">
      <c r="B3044" s="6"/>
    </row>
    <row r="3045" spans="2:2" x14ac:dyDescent="0.25">
      <c r="B3045" s="6"/>
    </row>
    <row r="3046" spans="2:2" x14ac:dyDescent="0.25">
      <c r="B3046" s="6"/>
    </row>
    <row r="3047" spans="2:2" x14ac:dyDescent="0.25">
      <c r="B3047" s="6"/>
    </row>
    <row r="3048" spans="2:2" x14ac:dyDescent="0.25">
      <c r="B3048" s="6"/>
    </row>
    <row r="3049" spans="2:2" x14ac:dyDescent="0.25">
      <c r="B3049" s="6"/>
    </row>
    <row r="3050" spans="2:2" x14ac:dyDescent="0.25">
      <c r="B3050" s="6"/>
    </row>
    <row r="3051" spans="2:2" x14ac:dyDescent="0.25">
      <c r="B3051" s="6"/>
    </row>
    <row r="3052" spans="2:2" x14ac:dyDescent="0.25">
      <c r="B3052" s="6"/>
    </row>
    <row r="3053" spans="2:2" x14ac:dyDescent="0.25">
      <c r="B3053" s="6"/>
    </row>
    <row r="3054" spans="2:2" x14ac:dyDescent="0.25">
      <c r="B3054" s="6"/>
    </row>
    <row r="3055" spans="2:2" x14ac:dyDescent="0.25">
      <c r="B3055" s="6"/>
    </row>
    <row r="3056" spans="2:2" x14ac:dyDescent="0.25">
      <c r="B3056" s="6"/>
    </row>
    <row r="3057" spans="2:2" x14ac:dyDescent="0.25">
      <c r="B3057" s="6"/>
    </row>
    <row r="3058" spans="2:2" x14ac:dyDescent="0.25">
      <c r="B3058" s="6"/>
    </row>
    <row r="3059" spans="2:2" x14ac:dyDescent="0.25">
      <c r="B3059" s="6"/>
    </row>
    <row r="3060" spans="2:2" x14ac:dyDescent="0.25">
      <c r="B3060" s="6"/>
    </row>
    <row r="3061" spans="2:2" x14ac:dyDescent="0.25">
      <c r="B3061" s="6"/>
    </row>
    <row r="3062" spans="2:2" x14ac:dyDescent="0.25">
      <c r="B3062" s="6"/>
    </row>
    <row r="3063" spans="2:2" x14ac:dyDescent="0.25">
      <c r="B3063" s="6"/>
    </row>
    <row r="3064" spans="2:2" x14ac:dyDescent="0.25">
      <c r="B3064" s="6"/>
    </row>
    <row r="3065" spans="2:2" x14ac:dyDescent="0.25">
      <c r="B3065" s="6"/>
    </row>
    <row r="3066" spans="2:2" x14ac:dyDescent="0.25">
      <c r="B3066" s="6"/>
    </row>
    <row r="3067" spans="2:2" x14ac:dyDescent="0.25">
      <c r="B3067" s="6"/>
    </row>
    <row r="3068" spans="2:2" x14ac:dyDescent="0.25">
      <c r="B3068" s="6"/>
    </row>
    <row r="3069" spans="2:2" x14ac:dyDescent="0.25">
      <c r="B3069" s="6"/>
    </row>
    <row r="3070" spans="2:2" x14ac:dyDescent="0.25">
      <c r="B3070" s="6"/>
    </row>
    <row r="3071" spans="2:2" x14ac:dyDescent="0.25">
      <c r="B3071" s="6"/>
    </row>
    <row r="3072" spans="2:2" x14ac:dyDescent="0.25">
      <c r="B3072" s="6"/>
    </row>
    <row r="3073" spans="2:2" x14ac:dyDescent="0.25">
      <c r="B3073" s="6"/>
    </row>
    <row r="3074" spans="2:2" x14ac:dyDescent="0.25">
      <c r="B3074" s="6"/>
    </row>
    <row r="3075" spans="2:2" x14ac:dyDescent="0.25">
      <c r="B3075" s="6"/>
    </row>
    <row r="3076" spans="2:2" x14ac:dyDescent="0.25">
      <c r="B3076" s="6"/>
    </row>
    <row r="3077" spans="2:2" x14ac:dyDescent="0.25">
      <c r="B3077" s="6"/>
    </row>
    <row r="3078" spans="2:2" x14ac:dyDescent="0.25">
      <c r="B3078" s="6"/>
    </row>
    <row r="3079" spans="2:2" x14ac:dyDescent="0.25">
      <c r="B3079" s="6"/>
    </row>
    <row r="3080" spans="2:2" x14ac:dyDescent="0.25">
      <c r="B3080" s="6"/>
    </row>
    <row r="3081" spans="2:2" x14ac:dyDescent="0.25">
      <c r="B3081" s="6"/>
    </row>
    <row r="3082" spans="2:2" x14ac:dyDescent="0.25">
      <c r="B3082" s="6"/>
    </row>
    <row r="3083" spans="2:2" x14ac:dyDescent="0.25">
      <c r="B3083" s="6"/>
    </row>
    <row r="3084" spans="2:2" x14ac:dyDescent="0.25">
      <c r="B3084" s="6"/>
    </row>
    <row r="3085" spans="2:2" x14ac:dyDescent="0.25">
      <c r="B3085" s="6"/>
    </row>
    <row r="3086" spans="2:2" x14ac:dyDescent="0.25">
      <c r="B3086" s="6"/>
    </row>
    <row r="3087" spans="2:2" x14ac:dyDescent="0.25">
      <c r="B3087" s="6"/>
    </row>
    <row r="3088" spans="2:2" x14ac:dyDescent="0.25">
      <c r="B3088" s="6"/>
    </row>
    <row r="3089" spans="2:2" x14ac:dyDescent="0.25">
      <c r="B3089" s="6"/>
    </row>
    <row r="3090" spans="2:2" x14ac:dyDescent="0.25">
      <c r="B3090" s="6"/>
    </row>
    <row r="3091" spans="2:2" x14ac:dyDescent="0.25">
      <c r="B3091" s="6"/>
    </row>
    <row r="3092" spans="2:2" x14ac:dyDescent="0.25">
      <c r="B3092" s="6"/>
    </row>
    <row r="3093" spans="2:2" x14ac:dyDescent="0.25">
      <c r="B3093" s="6"/>
    </row>
    <row r="3094" spans="2:2" x14ac:dyDescent="0.25">
      <c r="B3094" s="6"/>
    </row>
    <row r="3095" spans="2:2" x14ac:dyDescent="0.25">
      <c r="B3095" s="6"/>
    </row>
    <row r="3096" spans="2:2" x14ac:dyDescent="0.25">
      <c r="B3096" s="6"/>
    </row>
    <row r="3097" spans="2:2" x14ac:dyDescent="0.25">
      <c r="B3097" s="6"/>
    </row>
    <row r="3098" spans="2:2" x14ac:dyDescent="0.25">
      <c r="B3098" s="6"/>
    </row>
    <row r="3099" spans="2:2" x14ac:dyDescent="0.25">
      <c r="B3099" s="6"/>
    </row>
    <row r="3100" spans="2:2" x14ac:dyDescent="0.25">
      <c r="B3100" s="6"/>
    </row>
    <row r="3101" spans="2:2" x14ac:dyDescent="0.25">
      <c r="B3101" s="6"/>
    </row>
    <row r="3102" spans="2:2" x14ac:dyDescent="0.25">
      <c r="B3102" s="6"/>
    </row>
    <row r="3103" spans="2:2" x14ac:dyDescent="0.25">
      <c r="B3103" s="6"/>
    </row>
    <row r="3104" spans="2:2" x14ac:dyDescent="0.25">
      <c r="B3104" s="6"/>
    </row>
    <row r="3105" spans="2:2" x14ac:dyDescent="0.25">
      <c r="B3105" s="6"/>
    </row>
    <row r="3106" spans="2:2" x14ac:dyDescent="0.25">
      <c r="B3106" s="6"/>
    </row>
    <row r="3107" spans="2:2" x14ac:dyDescent="0.25">
      <c r="B3107" s="6"/>
    </row>
    <row r="3108" spans="2:2" x14ac:dyDescent="0.25">
      <c r="B3108" s="6"/>
    </row>
    <row r="3109" spans="2:2" x14ac:dyDescent="0.25">
      <c r="B3109" s="6"/>
    </row>
    <row r="3110" spans="2:2" x14ac:dyDescent="0.25">
      <c r="B3110" s="6"/>
    </row>
    <row r="3111" spans="2:2" x14ac:dyDescent="0.25">
      <c r="B3111" s="6"/>
    </row>
    <row r="3112" spans="2:2" x14ac:dyDescent="0.25">
      <c r="B3112" s="6"/>
    </row>
    <row r="3113" spans="2:2" x14ac:dyDescent="0.25">
      <c r="B3113" s="6"/>
    </row>
    <row r="3114" spans="2:2" x14ac:dyDescent="0.25">
      <c r="B3114" s="6"/>
    </row>
    <row r="3115" spans="2:2" x14ac:dyDescent="0.25">
      <c r="B3115" s="6"/>
    </row>
    <row r="3116" spans="2:2" x14ac:dyDescent="0.25">
      <c r="B3116" s="6"/>
    </row>
    <row r="3117" spans="2:2" x14ac:dyDescent="0.25">
      <c r="B3117" s="6"/>
    </row>
    <row r="3118" spans="2:2" x14ac:dyDescent="0.25">
      <c r="B3118" s="6"/>
    </row>
    <row r="3119" spans="2:2" x14ac:dyDescent="0.25">
      <c r="B3119" s="6"/>
    </row>
    <row r="3120" spans="2:2" x14ac:dyDescent="0.25">
      <c r="B3120" s="6"/>
    </row>
    <row r="3121" spans="2:2" x14ac:dyDescent="0.25">
      <c r="B3121" s="6"/>
    </row>
    <row r="3122" spans="2:2" x14ac:dyDescent="0.25">
      <c r="B3122" s="6"/>
    </row>
    <row r="3123" spans="2:2" x14ac:dyDescent="0.25">
      <c r="B3123" s="6"/>
    </row>
    <row r="3124" spans="2:2" x14ac:dyDescent="0.25">
      <c r="B3124" s="6"/>
    </row>
    <row r="3125" spans="2:2" x14ac:dyDescent="0.25">
      <c r="B3125" s="6"/>
    </row>
    <row r="3126" spans="2:2" x14ac:dyDescent="0.25">
      <c r="B3126" s="6"/>
    </row>
    <row r="3127" spans="2:2" x14ac:dyDescent="0.25">
      <c r="B3127" s="6"/>
    </row>
    <row r="3128" spans="2:2" x14ac:dyDescent="0.25">
      <c r="B3128" s="6"/>
    </row>
    <row r="3129" spans="2:2" x14ac:dyDescent="0.25">
      <c r="B3129" s="6"/>
    </row>
    <row r="3130" spans="2:2" x14ac:dyDescent="0.25">
      <c r="B3130" s="6"/>
    </row>
    <row r="3131" spans="2:2" x14ac:dyDescent="0.25">
      <c r="B3131" s="6"/>
    </row>
    <row r="3132" spans="2:2" x14ac:dyDescent="0.25">
      <c r="B3132" s="6"/>
    </row>
    <row r="3133" spans="2:2" x14ac:dyDescent="0.25">
      <c r="B3133" s="6"/>
    </row>
    <row r="3134" spans="2:2" x14ac:dyDescent="0.25">
      <c r="B3134" s="6"/>
    </row>
    <row r="3135" spans="2:2" x14ac:dyDescent="0.25">
      <c r="B3135" s="6"/>
    </row>
    <row r="3136" spans="2:2" x14ac:dyDescent="0.25">
      <c r="B3136" s="6"/>
    </row>
    <row r="3137" spans="2:2" x14ac:dyDescent="0.25">
      <c r="B3137" s="6"/>
    </row>
    <row r="3138" spans="2:2" x14ac:dyDescent="0.25">
      <c r="B3138" s="6"/>
    </row>
    <row r="3139" spans="2:2" x14ac:dyDescent="0.25">
      <c r="B3139" s="6"/>
    </row>
    <row r="3140" spans="2:2" x14ac:dyDescent="0.25">
      <c r="B3140" s="6"/>
    </row>
    <row r="3141" spans="2:2" x14ac:dyDescent="0.25">
      <c r="B3141" s="6"/>
    </row>
    <row r="3142" spans="2:2" x14ac:dyDescent="0.25">
      <c r="B3142" s="6"/>
    </row>
    <row r="3143" spans="2:2" x14ac:dyDescent="0.25">
      <c r="B3143" s="6"/>
    </row>
    <row r="3144" spans="2:2" x14ac:dyDescent="0.25">
      <c r="B3144" s="6"/>
    </row>
    <row r="3145" spans="2:2" x14ac:dyDescent="0.25">
      <c r="B3145" s="6"/>
    </row>
    <row r="3146" spans="2:2" x14ac:dyDescent="0.25">
      <c r="B3146" s="6"/>
    </row>
    <row r="3147" spans="2:2" x14ac:dyDescent="0.25">
      <c r="B3147" s="6"/>
    </row>
    <row r="3148" spans="2:2" x14ac:dyDescent="0.25">
      <c r="B3148" s="6"/>
    </row>
    <row r="3149" spans="2:2" x14ac:dyDescent="0.25">
      <c r="B3149" s="6"/>
    </row>
    <row r="3150" spans="2:2" x14ac:dyDescent="0.25">
      <c r="B3150" s="6"/>
    </row>
    <row r="3151" spans="2:2" x14ac:dyDescent="0.25">
      <c r="B3151" s="6"/>
    </row>
    <row r="3152" spans="2:2" x14ac:dyDescent="0.25">
      <c r="B3152" s="6"/>
    </row>
    <row r="3153" spans="2:2" x14ac:dyDescent="0.25">
      <c r="B3153" s="6"/>
    </row>
    <row r="3154" spans="2:2" x14ac:dyDescent="0.25">
      <c r="B3154" s="6"/>
    </row>
    <row r="3155" spans="2:2" x14ac:dyDescent="0.25">
      <c r="B3155" s="6"/>
    </row>
    <row r="3156" spans="2:2" x14ac:dyDescent="0.25">
      <c r="B3156" s="6"/>
    </row>
    <row r="3157" spans="2:2" x14ac:dyDescent="0.25">
      <c r="B3157" s="6"/>
    </row>
    <row r="3158" spans="2:2" x14ac:dyDescent="0.25">
      <c r="B3158" s="6"/>
    </row>
    <row r="3159" spans="2:2" x14ac:dyDescent="0.25">
      <c r="B3159" s="6"/>
    </row>
    <row r="3160" spans="2:2" x14ac:dyDescent="0.25">
      <c r="B3160" s="6"/>
    </row>
    <row r="3161" spans="2:2" x14ac:dyDescent="0.25">
      <c r="B3161" s="6"/>
    </row>
    <row r="3162" spans="2:2" x14ac:dyDescent="0.25">
      <c r="B3162" s="6"/>
    </row>
    <row r="3163" spans="2:2" x14ac:dyDescent="0.25">
      <c r="B3163" s="6"/>
    </row>
    <row r="3164" spans="2:2" x14ac:dyDescent="0.25">
      <c r="B3164" s="6"/>
    </row>
    <row r="3165" spans="2:2" x14ac:dyDescent="0.25">
      <c r="B3165" s="6"/>
    </row>
    <row r="3166" spans="2:2" x14ac:dyDescent="0.25">
      <c r="B3166" s="6"/>
    </row>
    <row r="3167" spans="2:2" x14ac:dyDescent="0.25">
      <c r="B3167" s="6"/>
    </row>
    <row r="3168" spans="2:2" x14ac:dyDescent="0.25">
      <c r="B3168" s="6"/>
    </row>
    <row r="3169" spans="2:2" x14ac:dyDescent="0.25">
      <c r="B3169" s="6"/>
    </row>
    <row r="3170" spans="2:2" x14ac:dyDescent="0.25">
      <c r="B3170" s="6"/>
    </row>
    <row r="3171" spans="2:2" x14ac:dyDescent="0.25">
      <c r="B3171" s="6"/>
    </row>
    <row r="3172" spans="2:2" x14ac:dyDescent="0.25">
      <c r="B3172" s="6"/>
    </row>
    <row r="3173" spans="2:2" x14ac:dyDescent="0.25">
      <c r="B3173" s="6"/>
    </row>
    <row r="3174" spans="2:2" x14ac:dyDescent="0.25">
      <c r="B3174" s="6"/>
    </row>
    <row r="3175" spans="2:2" x14ac:dyDescent="0.25">
      <c r="B3175" s="6"/>
    </row>
    <row r="3176" spans="2:2" x14ac:dyDescent="0.25">
      <c r="B3176" s="6"/>
    </row>
    <row r="3177" spans="2:2" x14ac:dyDescent="0.25">
      <c r="B3177" s="6"/>
    </row>
    <row r="3178" spans="2:2" x14ac:dyDescent="0.25">
      <c r="B3178" s="6"/>
    </row>
    <row r="3179" spans="2:2" x14ac:dyDescent="0.25">
      <c r="B3179" s="6"/>
    </row>
    <row r="3180" spans="2:2" x14ac:dyDescent="0.25">
      <c r="B3180" s="6"/>
    </row>
    <row r="3181" spans="2:2" x14ac:dyDescent="0.25">
      <c r="B3181" s="6"/>
    </row>
    <row r="3182" spans="2:2" x14ac:dyDescent="0.25">
      <c r="B3182" s="6"/>
    </row>
    <row r="3183" spans="2:2" x14ac:dyDescent="0.25">
      <c r="B3183" s="6"/>
    </row>
    <row r="3184" spans="2:2" x14ac:dyDescent="0.25">
      <c r="B3184" s="6"/>
    </row>
    <row r="3185" spans="2:2" x14ac:dyDescent="0.25">
      <c r="B3185" s="6"/>
    </row>
    <row r="3186" spans="2:2" x14ac:dyDescent="0.25">
      <c r="B3186" s="6"/>
    </row>
    <row r="3187" spans="2:2" x14ac:dyDescent="0.25">
      <c r="B3187" s="6"/>
    </row>
    <row r="3188" spans="2:2" x14ac:dyDescent="0.25">
      <c r="B3188" s="6"/>
    </row>
    <row r="3189" spans="2:2" x14ac:dyDescent="0.25">
      <c r="B3189" s="6"/>
    </row>
    <row r="3190" spans="2:2" x14ac:dyDescent="0.25">
      <c r="B3190" s="6"/>
    </row>
    <row r="3191" spans="2:2" x14ac:dyDescent="0.25">
      <c r="B3191" s="6"/>
    </row>
    <row r="3192" spans="2:2" x14ac:dyDescent="0.25">
      <c r="B3192" s="6"/>
    </row>
    <row r="3193" spans="2:2" x14ac:dyDescent="0.25">
      <c r="B3193" s="6"/>
    </row>
    <row r="3194" spans="2:2" x14ac:dyDescent="0.25">
      <c r="B3194" s="6"/>
    </row>
    <row r="3195" spans="2:2" x14ac:dyDescent="0.25">
      <c r="B3195" s="6"/>
    </row>
    <row r="3196" spans="2:2" x14ac:dyDescent="0.25">
      <c r="B3196" s="6"/>
    </row>
    <row r="3197" spans="2:2" x14ac:dyDescent="0.25">
      <c r="B3197" s="6"/>
    </row>
    <row r="3198" spans="2:2" x14ac:dyDescent="0.25">
      <c r="B3198" s="6"/>
    </row>
    <row r="3199" spans="2:2" x14ac:dyDescent="0.25">
      <c r="B3199" s="6"/>
    </row>
    <row r="3200" spans="2:2" x14ac:dyDescent="0.25">
      <c r="B3200" s="6"/>
    </row>
    <row r="3201" spans="2:2" x14ac:dyDescent="0.25">
      <c r="B3201" s="6"/>
    </row>
    <row r="3202" spans="2:2" x14ac:dyDescent="0.25">
      <c r="B3202" s="6"/>
    </row>
    <row r="3203" spans="2:2" x14ac:dyDescent="0.25">
      <c r="B3203" s="6"/>
    </row>
    <row r="3204" spans="2:2" x14ac:dyDescent="0.25">
      <c r="B3204" s="6"/>
    </row>
    <row r="3205" spans="2:2" x14ac:dyDescent="0.25">
      <c r="B3205" s="6"/>
    </row>
    <row r="3206" spans="2:2" x14ac:dyDescent="0.25">
      <c r="B3206" s="6"/>
    </row>
    <row r="3207" spans="2:2" x14ac:dyDescent="0.25">
      <c r="B3207" s="6"/>
    </row>
    <row r="3208" spans="2:2" x14ac:dyDescent="0.25">
      <c r="B3208" s="6"/>
    </row>
    <row r="3209" spans="2:2" x14ac:dyDescent="0.25">
      <c r="B3209" s="6"/>
    </row>
    <row r="3210" spans="2:2" x14ac:dyDescent="0.25">
      <c r="B3210" s="6"/>
    </row>
    <row r="3211" spans="2:2" x14ac:dyDescent="0.25">
      <c r="B3211" s="6"/>
    </row>
    <row r="3212" spans="2:2" x14ac:dyDescent="0.25">
      <c r="B3212" s="6"/>
    </row>
    <row r="3213" spans="2:2" x14ac:dyDescent="0.25">
      <c r="B3213" s="6"/>
    </row>
    <row r="3214" spans="2:2" x14ac:dyDescent="0.25">
      <c r="B3214" s="6"/>
    </row>
    <row r="3215" spans="2:2" x14ac:dyDescent="0.25">
      <c r="B3215" s="6"/>
    </row>
    <row r="3216" spans="2:2" x14ac:dyDescent="0.25">
      <c r="B3216" s="6"/>
    </row>
    <row r="3217" spans="2:2" x14ac:dyDescent="0.25">
      <c r="B3217" s="6"/>
    </row>
    <row r="3218" spans="2:2" x14ac:dyDescent="0.25">
      <c r="B3218" s="6"/>
    </row>
    <row r="3219" spans="2:2" x14ac:dyDescent="0.25">
      <c r="B3219" s="6"/>
    </row>
    <row r="3220" spans="2:2" x14ac:dyDescent="0.25">
      <c r="B3220" s="6"/>
    </row>
    <row r="3221" spans="2:2" x14ac:dyDescent="0.25">
      <c r="B3221" s="6"/>
    </row>
    <row r="3222" spans="2:2" x14ac:dyDescent="0.25">
      <c r="B3222" s="6"/>
    </row>
    <row r="3223" spans="2:2" x14ac:dyDescent="0.25">
      <c r="B3223" s="6"/>
    </row>
    <row r="3224" spans="2:2" x14ac:dyDescent="0.25">
      <c r="B3224" s="6"/>
    </row>
    <row r="3225" spans="2:2" x14ac:dyDescent="0.25">
      <c r="B3225" s="6"/>
    </row>
    <row r="3226" spans="2:2" x14ac:dyDescent="0.25">
      <c r="B3226" s="6"/>
    </row>
    <row r="3227" spans="2:2" x14ac:dyDescent="0.25">
      <c r="B3227" s="6"/>
    </row>
    <row r="3228" spans="2:2" x14ac:dyDescent="0.25">
      <c r="B3228" s="6"/>
    </row>
    <row r="3229" spans="2:2" x14ac:dyDescent="0.25">
      <c r="B3229" s="6"/>
    </row>
    <row r="3230" spans="2:2" x14ac:dyDescent="0.25">
      <c r="B3230" s="6"/>
    </row>
    <row r="3231" spans="2:2" x14ac:dyDescent="0.25">
      <c r="B3231" s="6"/>
    </row>
    <row r="3232" spans="2:2" x14ac:dyDescent="0.25">
      <c r="B3232" s="6"/>
    </row>
    <row r="3233" spans="2:2" x14ac:dyDescent="0.25">
      <c r="B3233" s="6"/>
    </row>
    <row r="3234" spans="2:2" x14ac:dyDescent="0.25">
      <c r="B3234" s="6"/>
    </row>
    <row r="3235" spans="2:2" x14ac:dyDescent="0.25">
      <c r="B3235" s="6"/>
    </row>
    <row r="3236" spans="2:2" x14ac:dyDescent="0.25">
      <c r="B3236" s="6"/>
    </row>
    <row r="3237" spans="2:2" x14ac:dyDescent="0.25">
      <c r="B3237" s="6"/>
    </row>
    <row r="3238" spans="2:2" x14ac:dyDescent="0.25">
      <c r="B3238" s="6"/>
    </row>
    <row r="3239" spans="2:2" x14ac:dyDescent="0.25">
      <c r="B3239" s="6"/>
    </row>
    <row r="3240" spans="2:2" x14ac:dyDescent="0.25">
      <c r="B3240" s="6"/>
    </row>
    <row r="3241" spans="2:2" x14ac:dyDescent="0.25">
      <c r="B3241" s="6"/>
    </row>
    <row r="3242" spans="2:2" x14ac:dyDescent="0.25">
      <c r="B3242" s="6"/>
    </row>
    <row r="3243" spans="2:2" x14ac:dyDescent="0.25">
      <c r="B3243" s="6"/>
    </row>
    <row r="3244" spans="2:2" x14ac:dyDescent="0.25">
      <c r="B3244" s="6"/>
    </row>
    <row r="3245" spans="2:2" x14ac:dyDescent="0.25">
      <c r="B3245" s="6"/>
    </row>
    <row r="3246" spans="2:2" x14ac:dyDescent="0.25">
      <c r="B3246" s="6"/>
    </row>
    <row r="3247" spans="2:2" x14ac:dyDescent="0.25">
      <c r="B3247" s="6"/>
    </row>
    <row r="3248" spans="2:2" x14ac:dyDescent="0.25">
      <c r="B3248" s="6"/>
    </row>
    <row r="3249" spans="2:2" x14ac:dyDescent="0.25">
      <c r="B3249" s="6"/>
    </row>
    <row r="3250" spans="2:2" x14ac:dyDescent="0.25">
      <c r="B3250" s="6"/>
    </row>
    <row r="3251" spans="2:2" x14ac:dyDescent="0.25">
      <c r="B3251" s="6"/>
    </row>
    <row r="3252" spans="2:2" x14ac:dyDescent="0.25">
      <c r="B3252" s="6"/>
    </row>
    <row r="3253" spans="2:2" x14ac:dyDescent="0.25">
      <c r="B3253" s="6"/>
    </row>
    <row r="3254" spans="2:2" x14ac:dyDescent="0.25">
      <c r="B3254" s="6"/>
    </row>
    <row r="3255" spans="2:2" x14ac:dyDescent="0.25">
      <c r="B3255" s="6"/>
    </row>
    <row r="3256" spans="2:2" x14ac:dyDescent="0.25">
      <c r="B3256" s="6"/>
    </row>
    <row r="3257" spans="2:2" x14ac:dyDescent="0.25">
      <c r="B3257" s="6"/>
    </row>
    <row r="3258" spans="2:2" x14ac:dyDescent="0.25">
      <c r="B3258" s="6"/>
    </row>
    <row r="3259" spans="2:2" x14ac:dyDescent="0.25">
      <c r="B3259" s="6"/>
    </row>
    <row r="3260" spans="2:2" x14ac:dyDescent="0.25">
      <c r="B3260" s="6"/>
    </row>
    <row r="3261" spans="2:2" x14ac:dyDescent="0.25">
      <c r="B3261" s="6"/>
    </row>
    <row r="3262" spans="2:2" x14ac:dyDescent="0.25">
      <c r="B3262" s="6"/>
    </row>
    <row r="3263" spans="2:2" x14ac:dyDescent="0.25">
      <c r="B3263" s="6"/>
    </row>
    <row r="3264" spans="2:2" x14ac:dyDescent="0.25">
      <c r="B3264" s="6"/>
    </row>
    <row r="3265" spans="2:2" x14ac:dyDescent="0.25">
      <c r="B3265" s="6"/>
    </row>
    <row r="3266" spans="2:2" x14ac:dyDescent="0.25">
      <c r="B3266" s="6"/>
    </row>
    <row r="3267" spans="2:2" x14ac:dyDescent="0.25">
      <c r="B3267" s="6"/>
    </row>
    <row r="3268" spans="2:2" x14ac:dyDescent="0.25">
      <c r="B3268" s="6"/>
    </row>
    <row r="3269" spans="2:2" x14ac:dyDescent="0.25">
      <c r="B3269" s="6"/>
    </row>
    <row r="3270" spans="2:2" x14ac:dyDescent="0.25">
      <c r="B3270" s="6"/>
    </row>
    <row r="3271" spans="2:2" x14ac:dyDescent="0.25">
      <c r="B3271" s="6"/>
    </row>
    <row r="3272" spans="2:2" x14ac:dyDescent="0.25">
      <c r="B3272" s="6"/>
    </row>
    <row r="3273" spans="2:2" x14ac:dyDescent="0.25">
      <c r="B3273" s="6"/>
    </row>
    <row r="3274" spans="2:2" x14ac:dyDescent="0.25">
      <c r="B3274" s="6"/>
    </row>
    <row r="3275" spans="2:2" x14ac:dyDescent="0.25">
      <c r="B3275" s="6"/>
    </row>
    <row r="3276" spans="2:2" x14ac:dyDescent="0.25">
      <c r="B3276" s="6"/>
    </row>
    <row r="3277" spans="2:2" x14ac:dyDescent="0.25">
      <c r="B3277" s="6"/>
    </row>
    <row r="3278" spans="2:2" x14ac:dyDescent="0.25">
      <c r="B3278" s="6"/>
    </row>
    <row r="3279" spans="2:2" x14ac:dyDescent="0.25">
      <c r="B3279" s="6"/>
    </row>
    <row r="3280" spans="2:2" x14ac:dyDescent="0.25">
      <c r="B3280" s="6"/>
    </row>
    <row r="3281" spans="2:2" x14ac:dyDescent="0.25">
      <c r="B3281" s="6"/>
    </row>
    <row r="3282" spans="2:2" x14ac:dyDescent="0.25">
      <c r="B3282" s="6"/>
    </row>
    <row r="3283" spans="2:2" x14ac:dyDescent="0.25">
      <c r="B3283" s="6"/>
    </row>
    <row r="3284" spans="2:2" x14ac:dyDescent="0.25">
      <c r="B3284" s="6"/>
    </row>
    <row r="3285" spans="2:2" x14ac:dyDescent="0.25">
      <c r="B3285" s="6"/>
    </row>
    <row r="3286" spans="2:2" x14ac:dyDescent="0.25">
      <c r="B3286" s="6"/>
    </row>
    <row r="3287" spans="2:2" x14ac:dyDescent="0.25">
      <c r="B3287" s="6"/>
    </row>
    <row r="3288" spans="2:2" x14ac:dyDescent="0.25">
      <c r="B3288" s="6"/>
    </row>
    <row r="3289" spans="2:2" x14ac:dyDescent="0.25">
      <c r="B3289" s="6"/>
    </row>
    <row r="3290" spans="2:2" x14ac:dyDescent="0.25">
      <c r="B3290" s="6"/>
    </row>
    <row r="3291" spans="2:2" x14ac:dyDescent="0.25">
      <c r="B3291" s="6"/>
    </row>
    <row r="3292" spans="2:2" x14ac:dyDescent="0.25">
      <c r="B3292" s="6"/>
    </row>
    <row r="3293" spans="2:2" x14ac:dyDescent="0.25">
      <c r="B3293" s="6"/>
    </row>
    <row r="3294" spans="2:2" x14ac:dyDescent="0.25">
      <c r="B3294" s="6"/>
    </row>
    <row r="3295" spans="2:2" x14ac:dyDescent="0.25">
      <c r="B3295" s="6"/>
    </row>
    <row r="3296" spans="2:2" x14ac:dyDescent="0.25">
      <c r="B3296" s="6"/>
    </row>
    <row r="3297" spans="2:2" x14ac:dyDescent="0.25">
      <c r="B3297" s="6"/>
    </row>
    <row r="3298" spans="2:2" x14ac:dyDescent="0.25">
      <c r="B3298" s="6"/>
    </row>
    <row r="3299" spans="2:2" x14ac:dyDescent="0.25">
      <c r="B3299" s="6"/>
    </row>
    <row r="3300" spans="2:2" x14ac:dyDescent="0.25">
      <c r="B3300" s="6"/>
    </row>
    <row r="3301" spans="2:2" x14ac:dyDescent="0.25">
      <c r="B3301" s="6"/>
    </row>
    <row r="3302" spans="2:2" x14ac:dyDescent="0.25">
      <c r="B3302" s="6"/>
    </row>
    <row r="3303" spans="2:2" x14ac:dyDescent="0.25">
      <c r="B3303" s="6"/>
    </row>
    <row r="3304" spans="2:2" x14ac:dyDescent="0.25">
      <c r="B3304" s="6"/>
    </row>
    <row r="3305" spans="2:2" x14ac:dyDescent="0.25">
      <c r="B3305" s="6"/>
    </row>
    <row r="3306" spans="2:2" x14ac:dyDescent="0.25">
      <c r="B3306" s="6"/>
    </row>
    <row r="3307" spans="2:2" x14ac:dyDescent="0.25">
      <c r="B3307" s="6"/>
    </row>
    <row r="3308" spans="2:2" x14ac:dyDescent="0.25">
      <c r="B3308" s="6"/>
    </row>
    <row r="3309" spans="2:2" x14ac:dyDescent="0.25">
      <c r="B3309" s="6"/>
    </row>
    <row r="3310" spans="2:2" x14ac:dyDescent="0.25">
      <c r="B3310" s="6"/>
    </row>
    <row r="3311" spans="2:2" x14ac:dyDescent="0.25">
      <c r="B3311" s="6"/>
    </row>
    <row r="3312" spans="2:2" x14ac:dyDescent="0.25">
      <c r="B3312" s="6"/>
    </row>
    <row r="3313" spans="2:2" x14ac:dyDescent="0.25">
      <c r="B3313" s="6"/>
    </row>
    <row r="3314" spans="2:2" x14ac:dyDescent="0.25">
      <c r="B3314" s="6"/>
    </row>
    <row r="3315" spans="2:2" x14ac:dyDescent="0.25">
      <c r="B3315" s="6"/>
    </row>
    <row r="3316" spans="2:2" x14ac:dyDescent="0.25">
      <c r="B3316" s="6"/>
    </row>
    <row r="3317" spans="2:2" x14ac:dyDescent="0.25">
      <c r="B3317" s="6"/>
    </row>
    <row r="3318" spans="2:2" x14ac:dyDescent="0.25">
      <c r="B3318" s="6"/>
    </row>
    <row r="3319" spans="2:2" x14ac:dyDescent="0.25">
      <c r="B3319" s="6"/>
    </row>
    <row r="3320" spans="2:2" x14ac:dyDescent="0.25">
      <c r="B3320" s="6"/>
    </row>
    <row r="3321" spans="2:2" x14ac:dyDescent="0.25">
      <c r="B3321" s="6"/>
    </row>
    <row r="3322" spans="2:2" x14ac:dyDescent="0.25">
      <c r="B3322" s="6"/>
    </row>
    <row r="3323" spans="2:2" x14ac:dyDescent="0.25">
      <c r="B3323" s="6"/>
    </row>
    <row r="3324" spans="2:2" x14ac:dyDescent="0.25">
      <c r="B3324" s="6"/>
    </row>
    <row r="3325" spans="2:2" x14ac:dyDescent="0.25">
      <c r="B3325" s="6"/>
    </row>
    <row r="3326" spans="2:2" x14ac:dyDescent="0.25">
      <c r="B3326" s="6"/>
    </row>
    <row r="3327" spans="2:2" x14ac:dyDescent="0.25">
      <c r="B3327" s="6"/>
    </row>
    <row r="3328" spans="2:2" x14ac:dyDescent="0.25">
      <c r="B3328" s="6"/>
    </row>
    <row r="3329" spans="2:2" x14ac:dyDescent="0.25">
      <c r="B3329" s="6"/>
    </row>
    <row r="3330" spans="2:2" x14ac:dyDescent="0.25">
      <c r="B3330" s="6"/>
    </row>
    <row r="3331" spans="2:2" x14ac:dyDescent="0.25">
      <c r="B3331" s="6"/>
    </row>
    <row r="3332" spans="2:2" x14ac:dyDescent="0.25">
      <c r="B3332" s="6"/>
    </row>
    <row r="3333" spans="2:2" x14ac:dyDescent="0.25">
      <c r="B3333" s="6"/>
    </row>
    <row r="3334" spans="2:2" x14ac:dyDescent="0.25">
      <c r="B3334" s="6"/>
    </row>
    <row r="3335" spans="2:2" x14ac:dyDescent="0.25">
      <c r="B3335" s="6"/>
    </row>
    <row r="3336" spans="2:2" x14ac:dyDescent="0.25">
      <c r="B3336" s="6"/>
    </row>
    <row r="3337" spans="2:2" x14ac:dyDescent="0.25">
      <c r="B3337" s="6"/>
    </row>
    <row r="3338" spans="2:2" x14ac:dyDescent="0.25">
      <c r="B3338" s="6"/>
    </row>
    <row r="3339" spans="2:2" x14ac:dyDescent="0.25">
      <c r="B3339" s="6"/>
    </row>
    <row r="3340" spans="2:2" x14ac:dyDescent="0.25">
      <c r="B3340" s="6"/>
    </row>
    <row r="3341" spans="2:2" x14ac:dyDescent="0.25">
      <c r="B3341" s="6"/>
    </row>
    <row r="3342" spans="2:2" x14ac:dyDescent="0.25">
      <c r="B3342" s="6"/>
    </row>
    <row r="3343" spans="2:2" x14ac:dyDescent="0.25">
      <c r="B3343" s="6"/>
    </row>
    <row r="3344" spans="2:2" x14ac:dyDescent="0.25">
      <c r="B3344" s="6"/>
    </row>
    <row r="3345" spans="2:2" x14ac:dyDescent="0.25">
      <c r="B3345" s="6"/>
    </row>
    <row r="3346" spans="2:2" x14ac:dyDescent="0.25">
      <c r="B3346" s="6"/>
    </row>
    <row r="3347" spans="2:2" x14ac:dyDescent="0.25">
      <c r="B3347" s="6"/>
    </row>
    <row r="3348" spans="2:2" x14ac:dyDescent="0.25">
      <c r="B3348" s="6"/>
    </row>
    <row r="3349" spans="2:2" x14ac:dyDescent="0.25">
      <c r="B3349" s="6"/>
    </row>
    <row r="3350" spans="2:2" x14ac:dyDescent="0.25">
      <c r="B3350" s="6"/>
    </row>
    <row r="3351" spans="2:2" x14ac:dyDescent="0.25">
      <c r="B3351" s="6"/>
    </row>
    <row r="3352" spans="2:2" x14ac:dyDescent="0.25">
      <c r="B3352" s="6"/>
    </row>
    <row r="3353" spans="2:2" x14ac:dyDescent="0.25">
      <c r="B3353" s="6"/>
    </row>
    <row r="3354" spans="2:2" x14ac:dyDescent="0.25">
      <c r="B3354" s="6"/>
    </row>
    <row r="3355" spans="2:2" x14ac:dyDescent="0.25">
      <c r="B3355" s="6"/>
    </row>
    <row r="3356" spans="2:2" x14ac:dyDescent="0.25">
      <c r="B3356" s="6"/>
    </row>
    <row r="3357" spans="2:2" x14ac:dyDescent="0.25">
      <c r="B3357" s="6"/>
    </row>
    <row r="3358" spans="2:2" x14ac:dyDescent="0.25">
      <c r="B3358" s="6"/>
    </row>
    <row r="3359" spans="2:2" x14ac:dyDescent="0.25">
      <c r="B3359" s="6"/>
    </row>
    <row r="3360" spans="2:2" x14ac:dyDescent="0.25">
      <c r="B3360" s="6"/>
    </row>
    <row r="3361" spans="2:2" x14ac:dyDescent="0.25">
      <c r="B3361" s="6"/>
    </row>
    <row r="3362" spans="2:2" x14ac:dyDescent="0.25">
      <c r="B3362" s="6"/>
    </row>
    <row r="3363" spans="2:2" x14ac:dyDescent="0.25">
      <c r="B3363" s="6"/>
    </row>
    <row r="3364" spans="2:2" x14ac:dyDescent="0.25">
      <c r="B3364" s="6"/>
    </row>
    <row r="3365" spans="2:2" x14ac:dyDescent="0.25">
      <c r="B3365" s="6"/>
    </row>
    <row r="3366" spans="2:2" x14ac:dyDescent="0.25">
      <c r="B3366" s="6"/>
    </row>
    <row r="3367" spans="2:2" x14ac:dyDescent="0.25">
      <c r="B3367" s="6"/>
    </row>
    <row r="3368" spans="2:2" x14ac:dyDescent="0.25">
      <c r="B3368" s="6"/>
    </row>
    <row r="3369" spans="2:2" x14ac:dyDescent="0.25">
      <c r="B3369" s="6"/>
    </row>
    <row r="3370" spans="2:2" x14ac:dyDescent="0.25">
      <c r="B3370" s="6"/>
    </row>
    <row r="3371" spans="2:2" x14ac:dyDescent="0.25">
      <c r="B3371" s="6"/>
    </row>
    <row r="3372" spans="2:2" x14ac:dyDescent="0.25">
      <c r="B3372" s="6"/>
    </row>
    <row r="3373" spans="2:2" x14ac:dyDescent="0.25">
      <c r="B3373" s="6"/>
    </row>
    <row r="3374" spans="2:2" x14ac:dyDescent="0.25">
      <c r="B3374" s="6"/>
    </row>
    <row r="3375" spans="2:2" x14ac:dyDescent="0.25">
      <c r="B3375" s="6"/>
    </row>
    <row r="3376" spans="2:2" x14ac:dyDescent="0.25">
      <c r="B3376" s="6"/>
    </row>
    <row r="3377" spans="2:2" x14ac:dyDescent="0.25">
      <c r="B3377" s="6"/>
    </row>
    <row r="3378" spans="2:2" x14ac:dyDescent="0.25">
      <c r="B3378" s="6"/>
    </row>
    <row r="3379" spans="2:2" x14ac:dyDescent="0.25">
      <c r="B3379" s="6"/>
    </row>
    <row r="3380" spans="2:2" x14ac:dyDescent="0.25">
      <c r="B3380" s="6"/>
    </row>
    <row r="3381" spans="2:2" x14ac:dyDescent="0.25">
      <c r="B3381" s="6"/>
    </row>
    <row r="3382" spans="2:2" x14ac:dyDescent="0.25">
      <c r="B3382" s="6"/>
    </row>
    <row r="3383" spans="2:2" x14ac:dyDescent="0.25">
      <c r="B3383" s="6"/>
    </row>
    <row r="3384" spans="2:2" x14ac:dyDescent="0.25">
      <c r="B3384" s="6"/>
    </row>
    <row r="3385" spans="2:2" x14ac:dyDescent="0.25">
      <c r="B3385" s="6"/>
    </row>
    <row r="3386" spans="2:2" x14ac:dyDescent="0.25">
      <c r="B3386" s="6"/>
    </row>
    <row r="3387" spans="2:2" x14ac:dyDescent="0.25">
      <c r="B3387" s="6"/>
    </row>
    <row r="3388" spans="2:2" x14ac:dyDescent="0.25">
      <c r="B3388" s="6"/>
    </row>
    <row r="3389" spans="2:2" x14ac:dyDescent="0.25">
      <c r="B3389" s="6"/>
    </row>
    <row r="3390" spans="2:2" x14ac:dyDescent="0.25">
      <c r="B3390" s="6"/>
    </row>
    <row r="3391" spans="2:2" x14ac:dyDescent="0.25">
      <c r="B3391" s="6"/>
    </row>
    <row r="3392" spans="2:2" x14ac:dyDescent="0.25">
      <c r="B3392" s="6"/>
    </row>
    <row r="3393" spans="2:2" x14ac:dyDescent="0.25">
      <c r="B3393" s="6"/>
    </row>
    <row r="3394" spans="2:2" x14ac:dyDescent="0.25">
      <c r="B3394" s="6"/>
    </row>
    <row r="3395" spans="2:2" x14ac:dyDescent="0.25">
      <c r="B3395" s="6"/>
    </row>
    <row r="3396" spans="2:2" x14ac:dyDescent="0.25">
      <c r="B3396" s="6"/>
    </row>
    <row r="3397" spans="2:2" x14ac:dyDescent="0.25">
      <c r="B3397" s="6"/>
    </row>
    <row r="3398" spans="2:2" x14ac:dyDescent="0.25">
      <c r="B3398" s="6"/>
    </row>
    <row r="3399" spans="2:2" x14ac:dyDescent="0.25">
      <c r="B3399" s="6"/>
    </row>
    <row r="3400" spans="2:2" x14ac:dyDescent="0.25">
      <c r="B3400" s="6"/>
    </row>
    <row r="3401" spans="2:2" x14ac:dyDescent="0.25">
      <c r="B3401" s="6"/>
    </row>
    <row r="3402" spans="2:2" x14ac:dyDescent="0.25">
      <c r="B3402" s="6"/>
    </row>
    <row r="3403" spans="2:2" x14ac:dyDescent="0.25">
      <c r="B3403" s="6"/>
    </row>
    <row r="3404" spans="2:2" x14ac:dyDescent="0.25">
      <c r="B3404" s="6"/>
    </row>
    <row r="3405" spans="2:2" x14ac:dyDescent="0.25">
      <c r="B3405" s="6"/>
    </row>
    <row r="3406" spans="2:2" x14ac:dyDescent="0.25">
      <c r="B3406" s="6"/>
    </row>
    <row r="3407" spans="2:2" x14ac:dyDescent="0.25">
      <c r="B3407" s="6"/>
    </row>
    <row r="3408" spans="2:2" x14ac:dyDescent="0.25">
      <c r="B3408" s="6"/>
    </row>
    <row r="3409" spans="2:2" x14ac:dyDescent="0.25">
      <c r="B3409" s="6"/>
    </row>
    <row r="3410" spans="2:2" x14ac:dyDescent="0.25">
      <c r="B3410" s="6"/>
    </row>
    <row r="3411" spans="2:2" x14ac:dyDescent="0.25">
      <c r="B3411" s="6"/>
    </row>
    <row r="3412" spans="2:2" x14ac:dyDescent="0.25">
      <c r="B3412" s="6"/>
    </row>
    <row r="3413" spans="2:2" x14ac:dyDescent="0.25">
      <c r="B3413" s="6"/>
    </row>
    <row r="3414" spans="2:2" x14ac:dyDescent="0.25">
      <c r="B3414" s="6"/>
    </row>
    <row r="3415" spans="2:2" x14ac:dyDescent="0.25">
      <c r="B3415" s="6"/>
    </row>
    <row r="3416" spans="2:2" x14ac:dyDescent="0.25">
      <c r="B3416" s="6"/>
    </row>
    <row r="3417" spans="2:2" x14ac:dyDescent="0.25">
      <c r="B3417" s="6"/>
    </row>
    <row r="3418" spans="2:2" x14ac:dyDescent="0.25">
      <c r="B3418" s="6"/>
    </row>
    <row r="3419" spans="2:2" x14ac:dyDescent="0.25">
      <c r="B3419" s="6"/>
    </row>
    <row r="3420" spans="2:2" x14ac:dyDescent="0.25">
      <c r="B3420" s="6"/>
    </row>
    <row r="3421" spans="2:2" x14ac:dyDescent="0.25">
      <c r="B3421" s="6"/>
    </row>
    <row r="3422" spans="2:2" x14ac:dyDescent="0.25">
      <c r="B3422" s="6"/>
    </row>
    <row r="3423" spans="2:2" x14ac:dyDescent="0.25">
      <c r="B3423" s="6"/>
    </row>
    <row r="3424" spans="2:2" x14ac:dyDescent="0.25">
      <c r="B3424" s="6"/>
    </row>
    <row r="3425" spans="2:2" x14ac:dyDescent="0.25">
      <c r="B3425" s="6"/>
    </row>
    <row r="3426" spans="2:2" x14ac:dyDescent="0.25">
      <c r="B3426" s="6"/>
    </row>
    <row r="3427" spans="2:2" x14ac:dyDescent="0.25">
      <c r="B3427" s="6"/>
    </row>
    <row r="3428" spans="2:2" x14ac:dyDescent="0.25">
      <c r="B3428" s="6"/>
    </row>
    <row r="3429" spans="2:2" x14ac:dyDescent="0.25">
      <c r="B3429" s="6"/>
    </row>
    <row r="3430" spans="2:2" x14ac:dyDescent="0.25">
      <c r="B3430" s="6"/>
    </row>
    <row r="3431" spans="2:2" x14ac:dyDescent="0.25">
      <c r="B3431" s="6"/>
    </row>
    <row r="3432" spans="2:2" x14ac:dyDescent="0.25">
      <c r="B3432" s="6"/>
    </row>
    <row r="3433" spans="2:2" x14ac:dyDescent="0.25">
      <c r="B3433" s="6"/>
    </row>
    <row r="3434" spans="2:2" x14ac:dyDescent="0.25">
      <c r="B3434" s="6"/>
    </row>
    <row r="3435" spans="2:2" x14ac:dyDescent="0.25">
      <c r="B3435" s="6"/>
    </row>
    <row r="3436" spans="2:2" x14ac:dyDescent="0.25">
      <c r="B3436" s="6"/>
    </row>
    <row r="3437" spans="2:2" x14ac:dyDescent="0.25">
      <c r="B3437" s="6"/>
    </row>
    <row r="3438" spans="2:2" x14ac:dyDescent="0.25">
      <c r="B3438" s="6"/>
    </row>
    <row r="3439" spans="2:2" x14ac:dyDescent="0.25">
      <c r="B3439" s="6"/>
    </row>
    <row r="3440" spans="2:2" x14ac:dyDescent="0.25">
      <c r="B3440" s="6"/>
    </row>
    <row r="3441" spans="2:2" x14ac:dyDescent="0.25">
      <c r="B3441" s="6"/>
    </row>
    <row r="3442" spans="2:2" x14ac:dyDescent="0.25">
      <c r="B3442" s="6"/>
    </row>
    <row r="3443" spans="2:2" x14ac:dyDescent="0.25">
      <c r="B3443" s="6"/>
    </row>
    <row r="3444" spans="2:2" x14ac:dyDescent="0.25">
      <c r="B3444" s="6"/>
    </row>
    <row r="3445" spans="2:2" x14ac:dyDescent="0.25">
      <c r="B3445" s="6"/>
    </row>
    <row r="3446" spans="2:2" x14ac:dyDescent="0.25">
      <c r="B3446" s="6"/>
    </row>
    <row r="3447" spans="2:2" x14ac:dyDescent="0.25">
      <c r="B3447" s="6"/>
    </row>
    <row r="3448" spans="2:2" x14ac:dyDescent="0.25">
      <c r="B3448" s="6"/>
    </row>
    <row r="3449" spans="2:2" x14ac:dyDescent="0.25">
      <c r="B3449" s="6"/>
    </row>
    <row r="3450" spans="2:2" x14ac:dyDescent="0.25">
      <c r="B3450" s="6"/>
    </row>
    <row r="3451" spans="2:2" x14ac:dyDescent="0.25">
      <c r="B3451" s="6"/>
    </row>
    <row r="3452" spans="2:2" x14ac:dyDescent="0.25">
      <c r="B3452" s="6"/>
    </row>
    <row r="3453" spans="2:2" x14ac:dyDescent="0.25">
      <c r="B3453" s="6"/>
    </row>
    <row r="3454" spans="2:2" x14ac:dyDescent="0.25">
      <c r="B3454" s="6"/>
    </row>
    <row r="3455" spans="2:2" x14ac:dyDescent="0.25">
      <c r="B3455" s="6"/>
    </row>
    <row r="3456" spans="2:2" x14ac:dyDescent="0.25">
      <c r="B3456" s="6"/>
    </row>
    <row r="3457" spans="2:2" x14ac:dyDescent="0.25">
      <c r="B3457" s="6"/>
    </row>
    <row r="3458" spans="2:2" x14ac:dyDescent="0.25">
      <c r="B3458" s="6"/>
    </row>
    <row r="3459" spans="2:2" x14ac:dyDescent="0.25">
      <c r="B3459" s="6"/>
    </row>
    <row r="3460" spans="2:2" x14ac:dyDescent="0.25">
      <c r="B3460" s="6"/>
    </row>
    <row r="3461" spans="2:2" x14ac:dyDescent="0.25">
      <c r="B3461" s="6"/>
    </row>
    <row r="3462" spans="2:2" x14ac:dyDescent="0.25">
      <c r="B3462" s="6"/>
    </row>
    <row r="3463" spans="2:2" x14ac:dyDescent="0.25">
      <c r="B3463" s="6"/>
    </row>
    <row r="3464" spans="2:2" x14ac:dyDescent="0.25">
      <c r="B3464" s="6"/>
    </row>
    <row r="3465" spans="2:2" x14ac:dyDescent="0.25">
      <c r="B3465" s="6"/>
    </row>
    <row r="3466" spans="2:2" x14ac:dyDescent="0.25">
      <c r="B3466" s="6"/>
    </row>
    <row r="3467" spans="2:2" x14ac:dyDescent="0.25">
      <c r="B3467" s="6"/>
    </row>
    <row r="3468" spans="2:2" x14ac:dyDescent="0.25">
      <c r="B3468" s="6"/>
    </row>
    <row r="3469" spans="2:2" x14ac:dyDescent="0.25">
      <c r="B3469" s="6"/>
    </row>
    <row r="3470" spans="2:2" x14ac:dyDescent="0.25">
      <c r="B3470" s="6"/>
    </row>
    <row r="3471" spans="2:2" x14ac:dyDescent="0.25">
      <c r="B3471" s="6"/>
    </row>
    <row r="3472" spans="2:2" x14ac:dyDescent="0.25">
      <c r="B3472" s="6"/>
    </row>
    <row r="3473" spans="2:2" x14ac:dyDescent="0.25">
      <c r="B3473" s="6"/>
    </row>
    <row r="3474" spans="2:2" x14ac:dyDescent="0.25">
      <c r="B3474" s="6"/>
    </row>
    <row r="3475" spans="2:2" x14ac:dyDescent="0.25">
      <c r="B3475" s="6"/>
    </row>
    <row r="3476" spans="2:2" x14ac:dyDescent="0.25">
      <c r="B3476" s="6"/>
    </row>
    <row r="3477" spans="2:2" x14ac:dyDescent="0.25">
      <c r="B3477" s="6"/>
    </row>
    <row r="3478" spans="2:2" x14ac:dyDescent="0.25">
      <c r="B3478" s="6"/>
    </row>
    <row r="3479" spans="2:2" x14ac:dyDescent="0.25">
      <c r="B3479" s="6"/>
    </row>
    <row r="3480" spans="2:2" x14ac:dyDescent="0.25">
      <c r="B3480" s="6"/>
    </row>
    <row r="3481" spans="2:2" x14ac:dyDescent="0.25">
      <c r="B3481" s="6"/>
    </row>
    <row r="3482" spans="2:2" x14ac:dyDescent="0.25">
      <c r="B3482" s="6"/>
    </row>
    <row r="3483" spans="2:2" x14ac:dyDescent="0.25">
      <c r="B3483" s="6"/>
    </row>
    <row r="3484" spans="2:2" x14ac:dyDescent="0.25">
      <c r="B3484" s="6"/>
    </row>
    <row r="3485" spans="2:2" x14ac:dyDescent="0.25">
      <c r="B3485" s="6"/>
    </row>
    <row r="3486" spans="2:2" x14ac:dyDescent="0.25">
      <c r="B3486" s="6"/>
    </row>
    <row r="3487" spans="2:2" x14ac:dyDescent="0.25">
      <c r="B3487" s="6"/>
    </row>
    <row r="3488" spans="2:2" x14ac:dyDescent="0.25">
      <c r="B3488" s="6"/>
    </row>
    <row r="3489" spans="2:2" x14ac:dyDescent="0.25">
      <c r="B3489" s="6"/>
    </row>
    <row r="3490" spans="2:2" x14ac:dyDescent="0.25">
      <c r="B3490" s="6"/>
    </row>
    <row r="3491" spans="2:2" x14ac:dyDescent="0.25">
      <c r="B3491" s="6"/>
    </row>
    <row r="3492" spans="2:2" x14ac:dyDescent="0.25">
      <c r="B3492" s="6"/>
    </row>
    <row r="3493" spans="2:2" x14ac:dyDescent="0.25">
      <c r="B3493" s="6"/>
    </row>
    <row r="3494" spans="2:2" x14ac:dyDescent="0.25">
      <c r="B3494" s="6"/>
    </row>
    <row r="3495" spans="2:2" x14ac:dyDescent="0.25">
      <c r="B3495" s="6"/>
    </row>
    <row r="3496" spans="2:2" x14ac:dyDescent="0.25">
      <c r="B3496" s="6"/>
    </row>
    <row r="3497" spans="2:2" x14ac:dyDescent="0.25">
      <c r="B3497" s="6"/>
    </row>
    <row r="3498" spans="2:2" x14ac:dyDescent="0.25">
      <c r="B3498" s="6"/>
    </row>
    <row r="3499" spans="2:2" x14ac:dyDescent="0.25">
      <c r="B3499" s="6"/>
    </row>
    <row r="3500" spans="2:2" x14ac:dyDescent="0.25">
      <c r="B3500" s="6"/>
    </row>
    <row r="3501" spans="2:2" x14ac:dyDescent="0.25">
      <c r="B3501" s="6"/>
    </row>
    <row r="3502" spans="2:2" x14ac:dyDescent="0.25">
      <c r="B3502" s="6"/>
    </row>
    <row r="3503" spans="2:2" x14ac:dyDescent="0.25">
      <c r="B3503" s="6"/>
    </row>
    <row r="3504" spans="2:2" x14ac:dyDescent="0.25">
      <c r="B3504" s="6"/>
    </row>
    <row r="3505" spans="2:2" x14ac:dyDescent="0.25">
      <c r="B3505" s="6"/>
    </row>
    <row r="3506" spans="2:2" x14ac:dyDescent="0.25">
      <c r="B3506" s="6"/>
    </row>
    <row r="3507" spans="2:2" x14ac:dyDescent="0.25">
      <c r="B3507" s="6"/>
    </row>
    <row r="3508" spans="2:2" x14ac:dyDescent="0.25">
      <c r="B3508" s="6"/>
    </row>
    <row r="3509" spans="2:2" x14ac:dyDescent="0.25">
      <c r="B3509" s="6"/>
    </row>
    <row r="3510" spans="2:2" x14ac:dyDescent="0.25">
      <c r="B3510" s="6"/>
    </row>
    <row r="3511" spans="2:2" x14ac:dyDescent="0.25">
      <c r="B3511" s="6"/>
    </row>
    <row r="3512" spans="2:2" x14ac:dyDescent="0.25">
      <c r="B3512" s="6"/>
    </row>
    <row r="3513" spans="2:2" x14ac:dyDescent="0.25">
      <c r="B3513" s="6"/>
    </row>
    <row r="3514" spans="2:2" x14ac:dyDescent="0.25">
      <c r="B3514" s="6"/>
    </row>
    <row r="3515" spans="2:2" x14ac:dyDescent="0.25">
      <c r="B3515" s="6"/>
    </row>
    <row r="3516" spans="2:2" x14ac:dyDescent="0.25">
      <c r="B3516" s="6"/>
    </row>
    <row r="3517" spans="2:2" x14ac:dyDescent="0.25">
      <c r="B3517" s="6"/>
    </row>
    <row r="3518" spans="2:2" x14ac:dyDescent="0.25">
      <c r="B3518" s="6"/>
    </row>
    <row r="3519" spans="2:2" x14ac:dyDescent="0.25">
      <c r="B3519" s="6"/>
    </row>
    <row r="3520" spans="2:2" x14ac:dyDescent="0.25">
      <c r="B3520" s="6"/>
    </row>
    <row r="3521" spans="2:2" x14ac:dyDescent="0.25">
      <c r="B3521" s="6"/>
    </row>
    <row r="3522" spans="2:2" x14ac:dyDescent="0.25">
      <c r="B3522" s="6"/>
    </row>
    <row r="3523" spans="2:2" x14ac:dyDescent="0.25">
      <c r="B3523" s="6"/>
    </row>
    <row r="3524" spans="2:2" x14ac:dyDescent="0.25">
      <c r="B3524" s="6"/>
    </row>
    <row r="3525" spans="2:2" x14ac:dyDescent="0.25">
      <c r="B3525" s="6"/>
    </row>
    <row r="3526" spans="2:2" x14ac:dyDescent="0.25">
      <c r="B3526" s="6"/>
    </row>
    <row r="3527" spans="2:2" x14ac:dyDescent="0.25">
      <c r="B3527" s="6"/>
    </row>
    <row r="3528" spans="2:2" x14ac:dyDescent="0.25">
      <c r="B3528" s="6"/>
    </row>
    <row r="3529" spans="2:2" x14ac:dyDescent="0.25">
      <c r="B3529" s="6"/>
    </row>
    <row r="3530" spans="2:2" x14ac:dyDescent="0.25">
      <c r="B3530" s="6"/>
    </row>
    <row r="3531" spans="2:2" x14ac:dyDescent="0.25">
      <c r="B3531" s="6"/>
    </row>
    <row r="3532" spans="2:2" x14ac:dyDescent="0.25">
      <c r="B3532" s="6"/>
    </row>
    <row r="3533" spans="2:2" x14ac:dyDescent="0.25">
      <c r="B3533" s="6"/>
    </row>
    <row r="3534" spans="2:2" x14ac:dyDescent="0.25">
      <c r="B3534" s="6"/>
    </row>
    <row r="3535" spans="2:2" x14ac:dyDescent="0.25">
      <c r="B3535" s="6"/>
    </row>
    <row r="3536" spans="2:2" x14ac:dyDescent="0.25">
      <c r="B3536" s="6"/>
    </row>
    <row r="3537" spans="2:2" x14ac:dyDescent="0.25">
      <c r="B3537" s="6"/>
    </row>
    <row r="3538" spans="2:2" x14ac:dyDescent="0.25">
      <c r="B3538" s="6"/>
    </row>
    <row r="3539" spans="2:2" x14ac:dyDescent="0.25">
      <c r="B3539" s="6"/>
    </row>
    <row r="3540" spans="2:2" x14ac:dyDescent="0.25">
      <c r="B3540" s="6"/>
    </row>
    <row r="3541" spans="2:2" x14ac:dyDescent="0.25">
      <c r="B3541" s="6"/>
    </row>
    <row r="3542" spans="2:2" x14ac:dyDescent="0.25">
      <c r="B3542" s="6"/>
    </row>
    <row r="3543" spans="2:2" x14ac:dyDescent="0.25">
      <c r="B3543" s="6"/>
    </row>
    <row r="3544" spans="2:2" x14ac:dyDescent="0.25">
      <c r="B3544" s="6"/>
    </row>
    <row r="3545" spans="2:2" x14ac:dyDescent="0.25">
      <c r="B3545" s="6"/>
    </row>
    <row r="3546" spans="2:2" x14ac:dyDescent="0.25">
      <c r="B3546" s="6"/>
    </row>
    <row r="3547" spans="2:2" x14ac:dyDescent="0.25">
      <c r="B3547" s="6"/>
    </row>
    <row r="3548" spans="2:2" x14ac:dyDescent="0.25">
      <c r="B3548" s="6"/>
    </row>
    <row r="3549" spans="2:2" x14ac:dyDescent="0.25">
      <c r="B3549" s="6"/>
    </row>
    <row r="3550" spans="2:2" x14ac:dyDescent="0.25">
      <c r="B3550" s="6"/>
    </row>
    <row r="3551" spans="2:2" x14ac:dyDescent="0.25">
      <c r="B3551" s="6"/>
    </row>
    <row r="3552" spans="2:2" x14ac:dyDescent="0.25">
      <c r="B3552" s="6"/>
    </row>
    <row r="3553" spans="2:2" x14ac:dyDescent="0.25">
      <c r="B3553" s="6"/>
    </row>
    <row r="3554" spans="2:2" x14ac:dyDescent="0.25">
      <c r="B3554" s="6"/>
    </row>
    <row r="3555" spans="2:2" x14ac:dyDescent="0.25">
      <c r="B3555" s="6"/>
    </row>
    <row r="3556" spans="2:2" x14ac:dyDescent="0.25">
      <c r="B3556" s="6"/>
    </row>
    <row r="3557" spans="2:2" x14ac:dyDescent="0.25">
      <c r="B3557" s="6"/>
    </row>
    <row r="3558" spans="2:2" x14ac:dyDescent="0.25">
      <c r="B3558" s="6"/>
    </row>
    <row r="3559" spans="2:2" x14ac:dyDescent="0.25">
      <c r="B3559" s="6"/>
    </row>
    <row r="3560" spans="2:2" x14ac:dyDescent="0.25">
      <c r="B3560" s="6"/>
    </row>
    <row r="3561" spans="2:2" x14ac:dyDescent="0.25">
      <c r="B3561" s="6"/>
    </row>
    <row r="3562" spans="2:2" x14ac:dyDescent="0.25">
      <c r="B3562" s="6"/>
    </row>
    <row r="3563" spans="2:2" x14ac:dyDescent="0.25">
      <c r="B3563" s="6"/>
    </row>
    <row r="3564" spans="2:2" x14ac:dyDescent="0.25">
      <c r="B3564" s="6"/>
    </row>
    <row r="3565" spans="2:2" x14ac:dyDescent="0.25">
      <c r="B3565" s="6"/>
    </row>
    <row r="3566" spans="2:2" x14ac:dyDescent="0.25">
      <c r="B3566" s="6"/>
    </row>
    <row r="3567" spans="2:2" x14ac:dyDescent="0.25">
      <c r="B3567" s="6"/>
    </row>
    <row r="3568" spans="2:2" x14ac:dyDescent="0.25">
      <c r="B3568" s="6"/>
    </row>
    <row r="3569" spans="2:2" x14ac:dyDescent="0.25">
      <c r="B3569" s="6"/>
    </row>
    <row r="3570" spans="2:2" x14ac:dyDescent="0.25">
      <c r="B3570" s="6"/>
    </row>
    <row r="3571" spans="2:2" x14ac:dyDescent="0.25">
      <c r="B3571" s="6"/>
    </row>
    <row r="3572" spans="2:2" x14ac:dyDescent="0.25">
      <c r="B3572" s="6"/>
    </row>
    <row r="3573" spans="2:2" x14ac:dyDescent="0.25">
      <c r="B3573" s="6"/>
    </row>
    <row r="3574" spans="2:2" x14ac:dyDescent="0.25">
      <c r="B3574" s="6"/>
    </row>
    <row r="3575" spans="2:2" x14ac:dyDescent="0.25">
      <c r="B3575" s="6"/>
    </row>
    <row r="3576" spans="2:2" x14ac:dyDescent="0.25">
      <c r="B3576" s="6"/>
    </row>
    <row r="3577" spans="2:2" x14ac:dyDescent="0.25">
      <c r="B3577" s="6"/>
    </row>
    <row r="3578" spans="2:2" x14ac:dyDescent="0.25">
      <c r="B3578" s="6"/>
    </row>
    <row r="3579" spans="2:2" x14ac:dyDescent="0.25">
      <c r="B3579" s="6"/>
    </row>
    <row r="3580" spans="2:2" x14ac:dyDescent="0.25">
      <c r="B3580" s="6"/>
    </row>
    <row r="3581" spans="2:2" x14ac:dyDescent="0.25">
      <c r="B3581" s="6"/>
    </row>
    <row r="3582" spans="2:2" x14ac:dyDescent="0.25">
      <c r="B3582" s="6"/>
    </row>
    <row r="3583" spans="2:2" x14ac:dyDescent="0.25">
      <c r="B3583" s="6"/>
    </row>
    <row r="3584" spans="2:2" x14ac:dyDescent="0.25">
      <c r="B3584" s="6"/>
    </row>
    <row r="3585" spans="2:2" x14ac:dyDescent="0.25">
      <c r="B3585" s="6"/>
    </row>
    <row r="3586" spans="2:2" x14ac:dyDescent="0.25">
      <c r="B3586" s="6"/>
    </row>
    <row r="3587" spans="2:2" x14ac:dyDescent="0.25">
      <c r="B3587" s="6"/>
    </row>
    <row r="3588" spans="2:2" x14ac:dyDescent="0.25">
      <c r="B3588" s="6"/>
    </row>
    <row r="3589" spans="2:2" x14ac:dyDescent="0.25">
      <c r="B3589" s="6"/>
    </row>
    <row r="3590" spans="2:2" x14ac:dyDescent="0.25">
      <c r="B3590" s="6"/>
    </row>
    <row r="3591" spans="2:2" x14ac:dyDescent="0.25">
      <c r="B3591" s="6"/>
    </row>
    <row r="3592" spans="2:2" x14ac:dyDescent="0.25">
      <c r="B3592" s="6"/>
    </row>
    <row r="3593" spans="2:2" x14ac:dyDescent="0.25">
      <c r="B3593" s="6"/>
    </row>
    <row r="3594" spans="2:2" x14ac:dyDescent="0.25">
      <c r="B3594" s="6"/>
    </row>
    <row r="3595" spans="2:2" x14ac:dyDescent="0.25">
      <c r="B3595" s="6"/>
    </row>
    <row r="3596" spans="2:2" x14ac:dyDescent="0.25">
      <c r="B3596" s="6"/>
    </row>
    <row r="3597" spans="2:2" x14ac:dyDescent="0.25">
      <c r="B3597" s="6"/>
    </row>
    <row r="3598" spans="2:2" x14ac:dyDescent="0.25">
      <c r="B3598" s="6"/>
    </row>
    <row r="3599" spans="2:2" x14ac:dyDescent="0.25">
      <c r="B3599" s="6"/>
    </row>
    <row r="3600" spans="2:2" x14ac:dyDescent="0.25">
      <c r="B3600" s="6"/>
    </row>
    <row r="3601" spans="2:2" x14ac:dyDescent="0.25">
      <c r="B3601" s="6"/>
    </row>
    <row r="3602" spans="2:2" x14ac:dyDescent="0.25">
      <c r="B3602" s="6"/>
    </row>
    <row r="3603" spans="2:2" x14ac:dyDescent="0.25">
      <c r="B3603" s="6"/>
    </row>
    <row r="3604" spans="2:2" x14ac:dyDescent="0.25">
      <c r="B3604" s="6"/>
    </row>
    <row r="3605" spans="2:2" x14ac:dyDescent="0.25">
      <c r="B3605" s="6"/>
    </row>
    <row r="3606" spans="2:2" x14ac:dyDescent="0.25">
      <c r="B3606" s="6"/>
    </row>
    <row r="3607" spans="2:2" x14ac:dyDescent="0.25">
      <c r="B3607" s="6"/>
    </row>
    <row r="3608" spans="2:2" x14ac:dyDescent="0.25">
      <c r="B3608" s="6"/>
    </row>
    <row r="3609" spans="2:2" x14ac:dyDescent="0.25">
      <c r="B3609" s="6"/>
    </row>
    <row r="3610" spans="2:2" x14ac:dyDescent="0.25">
      <c r="B3610" s="6"/>
    </row>
    <row r="3611" spans="2:2" x14ac:dyDescent="0.25">
      <c r="B3611" s="6"/>
    </row>
    <row r="3612" spans="2:2" x14ac:dyDescent="0.25">
      <c r="B3612" s="6"/>
    </row>
    <row r="3613" spans="2:2" x14ac:dyDescent="0.25">
      <c r="B3613" s="6"/>
    </row>
    <row r="3614" spans="2:2" x14ac:dyDescent="0.25">
      <c r="B3614" s="6"/>
    </row>
    <row r="3615" spans="2:2" x14ac:dyDescent="0.25">
      <c r="B3615" s="6"/>
    </row>
    <row r="3616" spans="2:2" x14ac:dyDescent="0.25">
      <c r="B3616" s="6"/>
    </row>
    <row r="3617" spans="2:2" x14ac:dyDescent="0.25">
      <c r="B3617" s="6"/>
    </row>
    <row r="3618" spans="2:2" x14ac:dyDescent="0.25">
      <c r="B3618" s="6"/>
    </row>
    <row r="3619" spans="2:2" x14ac:dyDescent="0.25">
      <c r="B3619" s="6"/>
    </row>
    <row r="3620" spans="2:2" x14ac:dyDescent="0.25">
      <c r="B3620" s="6"/>
    </row>
    <row r="3621" spans="2:2" x14ac:dyDescent="0.25">
      <c r="B3621" s="6"/>
    </row>
    <row r="3622" spans="2:2" x14ac:dyDescent="0.25">
      <c r="B3622" s="6"/>
    </row>
    <row r="3623" spans="2:2" x14ac:dyDescent="0.25">
      <c r="B3623" s="6"/>
    </row>
    <row r="3624" spans="2:2" x14ac:dyDescent="0.25">
      <c r="B3624" s="6"/>
    </row>
    <row r="3625" spans="2:2" x14ac:dyDescent="0.25">
      <c r="B3625" s="6"/>
    </row>
    <row r="3626" spans="2:2" x14ac:dyDescent="0.25">
      <c r="B3626" s="6"/>
    </row>
    <row r="3627" spans="2:2" x14ac:dyDescent="0.25">
      <c r="B3627" s="6"/>
    </row>
    <row r="3628" spans="2:2" x14ac:dyDescent="0.25">
      <c r="B3628" s="6"/>
    </row>
    <row r="3629" spans="2:2" x14ac:dyDescent="0.25">
      <c r="B3629" s="6"/>
    </row>
    <row r="3630" spans="2:2" x14ac:dyDescent="0.25">
      <c r="B3630" s="6"/>
    </row>
    <row r="3631" spans="2:2" x14ac:dyDescent="0.25">
      <c r="B3631" s="6"/>
    </row>
    <row r="3632" spans="2:2" x14ac:dyDescent="0.25">
      <c r="B3632" s="6"/>
    </row>
    <row r="3633" spans="2:2" x14ac:dyDescent="0.25">
      <c r="B3633" s="6"/>
    </row>
    <row r="3634" spans="2:2" x14ac:dyDescent="0.25">
      <c r="B3634" s="6"/>
    </row>
    <row r="3635" spans="2:2" x14ac:dyDescent="0.25">
      <c r="B3635" s="6"/>
    </row>
    <row r="3636" spans="2:2" x14ac:dyDescent="0.25">
      <c r="B3636" s="6"/>
    </row>
    <row r="3637" spans="2:2" x14ac:dyDescent="0.25">
      <c r="B3637" s="6"/>
    </row>
    <row r="3638" spans="2:2" x14ac:dyDescent="0.25">
      <c r="B3638" s="6"/>
    </row>
    <row r="3639" spans="2:2" x14ac:dyDescent="0.25">
      <c r="B3639" s="6"/>
    </row>
    <row r="3640" spans="2:2" x14ac:dyDescent="0.25">
      <c r="B3640" s="6"/>
    </row>
    <row r="3641" spans="2:2" x14ac:dyDescent="0.25">
      <c r="B3641" s="6"/>
    </row>
    <row r="3642" spans="2:2" x14ac:dyDescent="0.25">
      <c r="B3642" s="6"/>
    </row>
    <row r="3643" spans="2:2" x14ac:dyDescent="0.25">
      <c r="B3643" s="6"/>
    </row>
    <row r="3644" spans="2:2" x14ac:dyDescent="0.25">
      <c r="B3644" s="6"/>
    </row>
    <row r="3645" spans="2:2" x14ac:dyDescent="0.25">
      <c r="B3645" s="6"/>
    </row>
    <row r="3646" spans="2:2" x14ac:dyDescent="0.25">
      <c r="B3646" s="6"/>
    </row>
    <row r="3647" spans="2:2" x14ac:dyDescent="0.25">
      <c r="B3647" s="6"/>
    </row>
    <row r="3648" spans="2:2" x14ac:dyDescent="0.25">
      <c r="B3648" s="6"/>
    </row>
    <row r="3649" spans="2:2" x14ac:dyDescent="0.25">
      <c r="B3649" s="6"/>
    </row>
    <row r="3650" spans="2:2" x14ac:dyDescent="0.25">
      <c r="B3650" s="6"/>
    </row>
    <row r="3651" spans="2:2" x14ac:dyDescent="0.25">
      <c r="B3651" s="6"/>
    </row>
    <row r="3652" spans="2:2" x14ac:dyDescent="0.25">
      <c r="B3652" s="6"/>
    </row>
    <row r="3653" spans="2:2" x14ac:dyDescent="0.25">
      <c r="B3653" s="6"/>
    </row>
    <row r="3654" spans="2:2" x14ac:dyDescent="0.25">
      <c r="B3654" s="6"/>
    </row>
    <row r="3655" spans="2:2" x14ac:dyDescent="0.25">
      <c r="B3655" s="6"/>
    </row>
    <row r="3656" spans="2:2" x14ac:dyDescent="0.25">
      <c r="B3656" s="6"/>
    </row>
    <row r="3657" spans="2:2" x14ac:dyDescent="0.25">
      <c r="B3657" s="6"/>
    </row>
    <row r="3658" spans="2:2" x14ac:dyDescent="0.25">
      <c r="B3658" s="6"/>
    </row>
    <row r="3659" spans="2:2" x14ac:dyDescent="0.25">
      <c r="B3659" s="6"/>
    </row>
    <row r="3660" spans="2:2" x14ac:dyDescent="0.25">
      <c r="B3660" s="6"/>
    </row>
    <row r="3661" spans="2:2" x14ac:dyDescent="0.25">
      <c r="B3661" s="6"/>
    </row>
    <row r="3662" spans="2:2" x14ac:dyDescent="0.25">
      <c r="B3662" s="6"/>
    </row>
    <row r="3663" spans="2:2" x14ac:dyDescent="0.25">
      <c r="B3663" s="6"/>
    </row>
    <row r="3664" spans="2:2" x14ac:dyDescent="0.25">
      <c r="B3664" s="6"/>
    </row>
    <row r="3665" spans="2:2" x14ac:dyDescent="0.25">
      <c r="B3665" s="6"/>
    </row>
    <row r="3666" spans="2:2" x14ac:dyDescent="0.25">
      <c r="B3666" s="6"/>
    </row>
    <row r="3667" spans="2:2" x14ac:dyDescent="0.25">
      <c r="B3667" s="6"/>
    </row>
    <row r="3668" spans="2:2" x14ac:dyDescent="0.25">
      <c r="B3668" s="6"/>
    </row>
    <row r="3669" spans="2:2" x14ac:dyDescent="0.25">
      <c r="B3669" s="6"/>
    </row>
    <row r="3670" spans="2:2" x14ac:dyDescent="0.25">
      <c r="B3670" s="6"/>
    </row>
    <row r="3671" spans="2:2" x14ac:dyDescent="0.25">
      <c r="B3671" s="6"/>
    </row>
    <row r="3672" spans="2:2" x14ac:dyDescent="0.25">
      <c r="B3672" s="6"/>
    </row>
    <row r="3673" spans="2:2" x14ac:dyDescent="0.25">
      <c r="B3673" s="6"/>
    </row>
    <row r="3674" spans="2:2" x14ac:dyDescent="0.25">
      <c r="B3674" s="6"/>
    </row>
    <row r="3675" spans="2:2" x14ac:dyDescent="0.25">
      <c r="B3675" s="6"/>
    </row>
    <row r="3676" spans="2:2" x14ac:dyDescent="0.25">
      <c r="B3676" s="6"/>
    </row>
    <row r="3677" spans="2:2" x14ac:dyDescent="0.25">
      <c r="B3677" s="6"/>
    </row>
    <row r="3678" spans="2:2" x14ac:dyDescent="0.25">
      <c r="B3678" s="6"/>
    </row>
    <row r="3679" spans="2:2" x14ac:dyDescent="0.25">
      <c r="B3679" s="6"/>
    </row>
    <row r="3680" spans="2:2" x14ac:dyDescent="0.25">
      <c r="B3680" s="6"/>
    </row>
    <row r="3681" spans="2:2" x14ac:dyDescent="0.25">
      <c r="B3681" s="6"/>
    </row>
    <row r="3682" spans="2:2" x14ac:dyDescent="0.25">
      <c r="B3682" s="6"/>
    </row>
    <row r="3683" spans="2:2" x14ac:dyDescent="0.25">
      <c r="B3683" s="6"/>
    </row>
    <row r="3684" spans="2:2" x14ac:dyDescent="0.25">
      <c r="B3684" s="6"/>
    </row>
    <row r="3685" spans="2:2" x14ac:dyDescent="0.25">
      <c r="B3685" s="6"/>
    </row>
    <row r="3686" spans="2:2" x14ac:dyDescent="0.25">
      <c r="B3686" s="6"/>
    </row>
    <row r="3687" spans="2:2" x14ac:dyDescent="0.25">
      <c r="B3687" s="6"/>
    </row>
    <row r="3688" spans="2:2" x14ac:dyDescent="0.25">
      <c r="B3688" s="6"/>
    </row>
    <row r="3689" spans="2:2" x14ac:dyDescent="0.25">
      <c r="B3689" s="6"/>
    </row>
    <row r="3690" spans="2:2" x14ac:dyDescent="0.25">
      <c r="B3690" s="6"/>
    </row>
    <row r="3691" spans="2:2" x14ac:dyDescent="0.25">
      <c r="B3691" s="6"/>
    </row>
    <row r="3692" spans="2:2" x14ac:dyDescent="0.25">
      <c r="B3692" s="6"/>
    </row>
    <row r="3693" spans="2:2" x14ac:dyDescent="0.25">
      <c r="B3693" s="6"/>
    </row>
    <row r="3694" spans="2:2" x14ac:dyDescent="0.25">
      <c r="B3694" s="6"/>
    </row>
    <row r="3695" spans="2:2" x14ac:dyDescent="0.25">
      <c r="B3695" s="6"/>
    </row>
    <row r="3696" spans="2:2" x14ac:dyDescent="0.25">
      <c r="B3696" s="6"/>
    </row>
    <row r="3697" spans="2:2" x14ac:dyDescent="0.25">
      <c r="B3697" s="6"/>
    </row>
    <row r="3698" spans="2:2" x14ac:dyDescent="0.25">
      <c r="B3698" s="6"/>
    </row>
    <row r="3699" spans="2:2" x14ac:dyDescent="0.25">
      <c r="B3699" s="6"/>
    </row>
    <row r="3700" spans="2:2" x14ac:dyDescent="0.25">
      <c r="B3700" s="6"/>
    </row>
    <row r="3701" spans="2:2" x14ac:dyDescent="0.25">
      <c r="B3701" s="6"/>
    </row>
    <row r="3702" spans="2:2" x14ac:dyDescent="0.25">
      <c r="B3702" s="6"/>
    </row>
    <row r="3703" spans="2:2" x14ac:dyDescent="0.25">
      <c r="B3703" s="6"/>
    </row>
    <row r="3704" spans="2:2" x14ac:dyDescent="0.25">
      <c r="B3704" s="6"/>
    </row>
    <row r="3705" spans="2:2" x14ac:dyDescent="0.25">
      <c r="B3705" s="6"/>
    </row>
    <row r="3706" spans="2:2" x14ac:dyDescent="0.25">
      <c r="B3706" s="6"/>
    </row>
    <row r="3707" spans="2:2" x14ac:dyDescent="0.25">
      <c r="B3707" s="6"/>
    </row>
    <row r="3708" spans="2:2" x14ac:dyDescent="0.25">
      <c r="B3708" s="6"/>
    </row>
    <row r="3709" spans="2:2" x14ac:dyDescent="0.25">
      <c r="B3709" s="6"/>
    </row>
    <row r="3710" spans="2:2" x14ac:dyDescent="0.25">
      <c r="B3710" s="6"/>
    </row>
    <row r="3711" spans="2:2" x14ac:dyDescent="0.25">
      <c r="B3711" s="6"/>
    </row>
    <row r="3712" spans="2:2" x14ac:dyDescent="0.25">
      <c r="B3712" s="6"/>
    </row>
    <row r="3713" spans="2:2" x14ac:dyDescent="0.25">
      <c r="B3713" s="6"/>
    </row>
    <row r="3714" spans="2:2" x14ac:dyDescent="0.25">
      <c r="B3714" s="6"/>
    </row>
    <row r="3715" spans="2:2" x14ac:dyDescent="0.25">
      <c r="B3715" s="6"/>
    </row>
    <row r="3716" spans="2:2" x14ac:dyDescent="0.25">
      <c r="B3716" s="6"/>
    </row>
    <row r="3717" spans="2:2" x14ac:dyDescent="0.25">
      <c r="B3717" s="6"/>
    </row>
    <row r="3718" spans="2:2" x14ac:dyDescent="0.25">
      <c r="B3718" s="6"/>
    </row>
    <row r="3719" spans="2:2" x14ac:dyDescent="0.25">
      <c r="B3719" s="6"/>
    </row>
    <row r="3720" spans="2:2" x14ac:dyDescent="0.25">
      <c r="B3720" s="6"/>
    </row>
    <row r="3721" spans="2:2" x14ac:dyDescent="0.25">
      <c r="B3721" s="6"/>
    </row>
    <row r="3722" spans="2:2" x14ac:dyDescent="0.25">
      <c r="B3722" s="6"/>
    </row>
    <row r="3723" spans="2:2" x14ac:dyDescent="0.25">
      <c r="B3723" s="6"/>
    </row>
    <row r="3724" spans="2:2" x14ac:dyDescent="0.25">
      <c r="B3724" s="6"/>
    </row>
    <row r="3725" spans="2:2" x14ac:dyDescent="0.25">
      <c r="B3725" s="6"/>
    </row>
    <row r="3726" spans="2:2" x14ac:dyDescent="0.25">
      <c r="B3726" s="6"/>
    </row>
    <row r="3727" spans="2:2" x14ac:dyDescent="0.25">
      <c r="B3727" s="6"/>
    </row>
    <row r="3728" spans="2:2" x14ac:dyDescent="0.25">
      <c r="B3728" s="6"/>
    </row>
    <row r="3729" spans="2:2" x14ac:dyDescent="0.25">
      <c r="B3729" s="6"/>
    </row>
    <row r="3730" spans="2:2" x14ac:dyDescent="0.25">
      <c r="B3730" s="6"/>
    </row>
    <row r="3731" spans="2:2" x14ac:dyDescent="0.25">
      <c r="B3731" s="6"/>
    </row>
    <row r="3732" spans="2:2" x14ac:dyDescent="0.25">
      <c r="B3732" s="6"/>
    </row>
    <row r="3733" spans="2:2" x14ac:dyDescent="0.25">
      <c r="B3733" s="6"/>
    </row>
    <row r="3734" spans="2:2" x14ac:dyDescent="0.25">
      <c r="B3734" s="6"/>
    </row>
    <row r="3735" spans="2:2" x14ac:dyDescent="0.25">
      <c r="B3735" s="6"/>
    </row>
    <row r="3736" spans="2:2" x14ac:dyDescent="0.25">
      <c r="B3736" s="6"/>
    </row>
    <row r="3737" spans="2:2" x14ac:dyDescent="0.25">
      <c r="B3737" s="6"/>
    </row>
    <row r="3738" spans="2:2" x14ac:dyDescent="0.25">
      <c r="B3738" s="6"/>
    </row>
    <row r="3739" spans="2:2" x14ac:dyDescent="0.25">
      <c r="B3739" s="6"/>
    </row>
    <row r="3740" spans="2:2" x14ac:dyDescent="0.25">
      <c r="B3740" s="6"/>
    </row>
    <row r="3741" spans="2:2" x14ac:dyDescent="0.25">
      <c r="B3741" s="6"/>
    </row>
    <row r="3742" spans="2:2" x14ac:dyDescent="0.25">
      <c r="B3742" s="6"/>
    </row>
    <row r="3743" spans="2:2" x14ac:dyDescent="0.25">
      <c r="B3743" s="6"/>
    </row>
    <row r="3744" spans="2:2" x14ac:dyDescent="0.25">
      <c r="B3744" s="6"/>
    </row>
    <row r="3745" spans="2:2" x14ac:dyDescent="0.25">
      <c r="B3745" s="6"/>
    </row>
    <row r="3746" spans="2:2" x14ac:dyDescent="0.25">
      <c r="B3746" s="6"/>
    </row>
    <row r="3747" spans="2:2" x14ac:dyDescent="0.25">
      <c r="B3747" s="6"/>
    </row>
    <row r="3748" spans="2:2" x14ac:dyDescent="0.25">
      <c r="B3748" s="6"/>
    </row>
    <row r="3749" spans="2:2" x14ac:dyDescent="0.25">
      <c r="B3749" s="6"/>
    </row>
    <row r="3750" spans="2:2" x14ac:dyDescent="0.25">
      <c r="B3750" s="6"/>
    </row>
    <row r="3751" spans="2:2" x14ac:dyDescent="0.25">
      <c r="B3751" s="6"/>
    </row>
    <row r="3752" spans="2:2" x14ac:dyDescent="0.25">
      <c r="B3752" s="6"/>
    </row>
    <row r="3753" spans="2:2" x14ac:dyDescent="0.25">
      <c r="B3753" s="6"/>
    </row>
    <row r="3754" spans="2:2" x14ac:dyDescent="0.25">
      <c r="B3754" s="6"/>
    </row>
    <row r="3755" spans="2:2" x14ac:dyDescent="0.25">
      <c r="B3755" s="6"/>
    </row>
    <row r="3756" spans="2:2" x14ac:dyDescent="0.25">
      <c r="B3756" s="6"/>
    </row>
    <row r="3757" spans="2:2" x14ac:dyDescent="0.25">
      <c r="B3757" s="6"/>
    </row>
    <row r="3758" spans="2:2" x14ac:dyDescent="0.25">
      <c r="B3758" s="6"/>
    </row>
    <row r="3759" spans="2:2" x14ac:dyDescent="0.25">
      <c r="B3759" s="6"/>
    </row>
    <row r="3760" spans="2:2" x14ac:dyDescent="0.25">
      <c r="B3760" s="6"/>
    </row>
    <row r="3761" spans="2:2" x14ac:dyDescent="0.25">
      <c r="B3761" s="6"/>
    </row>
    <row r="3762" spans="2:2" x14ac:dyDescent="0.25">
      <c r="B3762" s="6"/>
    </row>
    <row r="3763" spans="2:2" x14ac:dyDescent="0.25">
      <c r="B3763" s="6"/>
    </row>
    <row r="3764" spans="2:2" x14ac:dyDescent="0.25">
      <c r="B3764" s="6"/>
    </row>
    <row r="3765" spans="2:2" x14ac:dyDescent="0.25">
      <c r="B3765" s="6"/>
    </row>
    <row r="3766" spans="2:2" x14ac:dyDescent="0.25">
      <c r="B3766" s="6"/>
    </row>
    <row r="3767" spans="2:2" x14ac:dyDescent="0.25">
      <c r="B3767" s="6"/>
    </row>
    <row r="3768" spans="2:2" x14ac:dyDescent="0.25">
      <c r="B3768" s="6"/>
    </row>
    <row r="3769" spans="2:2" x14ac:dyDescent="0.25">
      <c r="B3769" s="6"/>
    </row>
    <row r="3770" spans="2:2" x14ac:dyDescent="0.25">
      <c r="B3770" s="6"/>
    </row>
    <row r="3771" spans="2:2" x14ac:dyDescent="0.25">
      <c r="B3771" s="6"/>
    </row>
    <row r="3772" spans="2:2" x14ac:dyDescent="0.25">
      <c r="B3772" s="6"/>
    </row>
    <row r="3773" spans="2:2" x14ac:dyDescent="0.25">
      <c r="B3773" s="6"/>
    </row>
    <row r="3774" spans="2:2" x14ac:dyDescent="0.25">
      <c r="B3774" s="6"/>
    </row>
    <row r="3775" spans="2:2" x14ac:dyDescent="0.25">
      <c r="B3775" s="6"/>
    </row>
    <row r="3776" spans="2:2" x14ac:dyDescent="0.25">
      <c r="B3776" s="6"/>
    </row>
    <row r="3777" spans="2:2" x14ac:dyDescent="0.25">
      <c r="B3777" s="6"/>
    </row>
    <row r="3778" spans="2:2" x14ac:dyDescent="0.25">
      <c r="B3778" s="6"/>
    </row>
    <row r="3779" spans="2:2" x14ac:dyDescent="0.25">
      <c r="B3779" s="6"/>
    </row>
    <row r="3780" spans="2:2" x14ac:dyDescent="0.25">
      <c r="B3780" s="6"/>
    </row>
    <row r="3781" spans="2:2" x14ac:dyDescent="0.25">
      <c r="B3781" s="6"/>
    </row>
    <row r="3782" spans="2:2" x14ac:dyDescent="0.25">
      <c r="B3782" s="6"/>
    </row>
    <row r="3783" spans="2:2" x14ac:dyDescent="0.25">
      <c r="B3783" s="6"/>
    </row>
    <row r="3784" spans="2:2" x14ac:dyDescent="0.25">
      <c r="B3784" s="6"/>
    </row>
    <row r="3785" spans="2:2" x14ac:dyDescent="0.25">
      <c r="B3785" s="6"/>
    </row>
    <row r="3786" spans="2:2" x14ac:dyDescent="0.25">
      <c r="B3786" s="6"/>
    </row>
    <row r="3787" spans="2:2" x14ac:dyDescent="0.25">
      <c r="B3787" s="6"/>
    </row>
    <row r="3788" spans="2:2" x14ac:dyDescent="0.25">
      <c r="B3788" s="6"/>
    </row>
    <row r="3789" spans="2:2" x14ac:dyDescent="0.25">
      <c r="B3789" s="6"/>
    </row>
    <row r="3790" spans="2:2" x14ac:dyDescent="0.25">
      <c r="B3790" s="6"/>
    </row>
    <row r="3791" spans="2:2" x14ac:dyDescent="0.25">
      <c r="B3791" s="6"/>
    </row>
    <row r="3792" spans="2:2" x14ac:dyDescent="0.25">
      <c r="B3792" s="6"/>
    </row>
    <row r="3793" spans="2:2" x14ac:dyDescent="0.25">
      <c r="B3793" s="6"/>
    </row>
    <row r="3794" spans="2:2" x14ac:dyDescent="0.25">
      <c r="B3794" s="6"/>
    </row>
    <row r="3795" spans="2:2" x14ac:dyDescent="0.25">
      <c r="B3795" s="6"/>
    </row>
    <row r="3796" spans="2:2" x14ac:dyDescent="0.25">
      <c r="B3796" s="6"/>
    </row>
    <row r="3797" spans="2:2" x14ac:dyDescent="0.25">
      <c r="B3797" s="6"/>
    </row>
    <row r="3798" spans="2:2" x14ac:dyDescent="0.25">
      <c r="B3798" s="6"/>
    </row>
    <row r="3799" spans="2:2" x14ac:dyDescent="0.25">
      <c r="B3799" s="6"/>
    </row>
    <row r="3800" spans="2:2" x14ac:dyDescent="0.25">
      <c r="B3800" s="6"/>
    </row>
    <row r="3801" spans="2:2" x14ac:dyDescent="0.25">
      <c r="B3801" s="6"/>
    </row>
    <row r="3802" spans="2:2" x14ac:dyDescent="0.25">
      <c r="B3802" s="6"/>
    </row>
    <row r="3803" spans="2:2" x14ac:dyDescent="0.25">
      <c r="B3803" s="6"/>
    </row>
    <row r="3804" spans="2:2" x14ac:dyDescent="0.25">
      <c r="B3804" s="6"/>
    </row>
    <row r="3805" spans="2:2" x14ac:dyDescent="0.25">
      <c r="B3805" s="6"/>
    </row>
    <row r="3806" spans="2:2" x14ac:dyDescent="0.25">
      <c r="B3806" s="6"/>
    </row>
    <row r="3807" spans="2:2" x14ac:dyDescent="0.25">
      <c r="B3807" s="6"/>
    </row>
    <row r="3808" spans="2:2" x14ac:dyDescent="0.25">
      <c r="B3808" s="6"/>
    </row>
    <row r="3809" spans="2:2" x14ac:dyDescent="0.25">
      <c r="B3809" s="6"/>
    </row>
    <row r="3810" spans="2:2" x14ac:dyDescent="0.25">
      <c r="B3810" s="6"/>
    </row>
    <row r="3811" spans="2:2" x14ac:dyDescent="0.25">
      <c r="B3811" s="6"/>
    </row>
    <row r="3812" spans="2:2" x14ac:dyDescent="0.25">
      <c r="B3812" s="6"/>
    </row>
    <row r="3813" spans="2:2" x14ac:dyDescent="0.25">
      <c r="B3813" s="6"/>
    </row>
    <row r="3814" spans="2:2" x14ac:dyDescent="0.25">
      <c r="B3814" s="6"/>
    </row>
    <row r="3815" spans="2:2" x14ac:dyDescent="0.25">
      <c r="B3815" s="6"/>
    </row>
    <row r="3816" spans="2:2" x14ac:dyDescent="0.25">
      <c r="B3816" s="6"/>
    </row>
    <row r="3817" spans="2:2" x14ac:dyDescent="0.25">
      <c r="B3817" s="6"/>
    </row>
    <row r="3818" spans="2:2" x14ac:dyDescent="0.25">
      <c r="B3818" s="6"/>
    </row>
    <row r="3819" spans="2:2" x14ac:dyDescent="0.25">
      <c r="B3819" s="6"/>
    </row>
    <row r="3820" spans="2:2" x14ac:dyDescent="0.25">
      <c r="B3820" s="6"/>
    </row>
    <row r="3821" spans="2:2" x14ac:dyDescent="0.25">
      <c r="B3821" s="6"/>
    </row>
    <row r="3822" spans="2:2" x14ac:dyDescent="0.25">
      <c r="B3822" s="6"/>
    </row>
    <row r="3823" spans="2:2" x14ac:dyDescent="0.25">
      <c r="B3823" s="6"/>
    </row>
    <row r="3824" spans="2:2" x14ac:dyDescent="0.25">
      <c r="B3824" s="6"/>
    </row>
    <row r="3825" spans="2:2" x14ac:dyDescent="0.25">
      <c r="B3825" s="6"/>
    </row>
    <row r="3826" spans="2:2" x14ac:dyDescent="0.25">
      <c r="B3826" s="6"/>
    </row>
    <row r="3827" spans="2:2" x14ac:dyDescent="0.25">
      <c r="B3827" s="6"/>
    </row>
    <row r="3828" spans="2:2" x14ac:dyDescent="0.25">
      <c r="B3828" s="6"/>
    </row>
    <row r="3829" spans="2:2" x14ac:dyDescent="0.25">
      <c r="B3829" s="6"/>
    </row>
    <row r="3830" spans="2:2" x14ac:dyDescent="0.25">
      <c r="B3830" s="6"/>
    </row>
    <row r="3831" spans="2:2" x14ac:dyDescent="0.25">
      <c r="B3831" s="6"/>
    </row>
    <row r="3832" spans="2:2" x14ac:dyDescent="0.25">
      <c r="B3832" s="6"/>
    </row>
    <row r="3833" spans="2:2" x14ac:dyDescent="0.25">
      <c r="B3833" s="6"/>
    </row>
    <row r="3834" spans="2:2" x14ac:dyDescent="0.25">
      <c r="B3834" s="6"/>
    </row>
    <row r="3835" spans="2:2" x14ac:dyDescent="0.25">
      <c r="B3835" s="6"/>
    </row>
    <row r="3836" spans="2:2" x14ac:dyDescent="0.25">
      <c r="B3836" s="6"/>
    </row>
    <row r="3837" spans="2:2" x14ac:dyDescent="0.25">
      <c r="B3837" s="6"/>
    </row>
    <row r="3838" spans="2:2" x14ac:dyDescent="0.25">
      <c r="B3838" s="6"/>
    </row>
    <row r="3839" spans="2:2" x14ac:dyDescent="0.25">
      <c r="B3839" s="6"/>
    </row>
    <row r="3840" spans="2:2" x14ac:dyDescent="0.25">
      <c r="B3840" s="6"/>
    </row>
    <row r="3841" spans="2:2" x14ac:dyDescent="0.25">
      <c r="B3841" s="6"/>
    </row>
    <row r="3842" spans="2:2" x14ac:dyDescent="0.25">
      <c r="B3842" s="6"/>
    </row>
    <row r="3843" spans="2:2" x14ac:dyDescent="0.25">
      <c r="B3843" s="6"/>
    </row>
    <row r="3844" spans="2:2" x14ac:dyDescent="0.25">
      <c r="B3844" s="6"/>
    </row>
    <row r="3845" spans="2:2" x14ac:dyDescent="0.25">
      <c r="B3845" s="6"/>
    </row>
    <row r="3846" spans="2:2" x14ac:dyDescent="0.25">
      <c r="B3846" s="6"/>
    </row>
    <row r="3847" spans="2:2" x14ac:dyDescent="0.25">
      <c r="B3847" s="6"/>
    </row>
    <row r="3848" spans="2:2" x14ac:dyDescent="0.25">
      <c r="B3848" s="6"/>
    </row>
    <row r="3849" spans="2:2" x14ac:dyDescent="0.25">
      <c r="B3849" s="6"/>
    </row>
    <row r="3850" spans="2:2" x14ac:dyDescent="0.25">
      <c r="B3850" s="6"/>
    </row>
    <row r="3851" spans="2:2" x14ac:dyDescent="0.25">
      <c r="B3851" s="6"/>
    </row>
    <row r="3852" spans="2:2" x14ac:dyDescent="0.25">
      <c r="B3852" s="6"/>
    </row>
    <row r="3853" spans="2:2" x14ac:dyDescent="0.25">
      <c r="B3853" s="6"/>
    </row>
    <row r="3854" spans="2:2" x14ac:dyDescent="0.25">
      <c r="B3854" s="6"/>
    </row>
    <row r="3855" spans="2:2" x14ac:dyDescent="0.25">
      <c r="B3855" s="6"/>
    </row>
    <row r="3856" spans="2:2" x14ac:dyDescent="0.25">
      <c r="B3856" s="6"/>
    </row>
    <row r="3857" spans="2:2" x14ac:dyDescent="0.25">
      <c r="B3857" s="6"/>
    </row>
    <row r="3858" spans="2:2" x14ac:dyDescent="0.25">
      <c r="B3858" s="6"/>
    </row>
    <row r="3859" spans="2:2" x14ac:dyDescent="0.25">
      <c r="B3859" s="6"/>
    </row>
    <row r="3860" spans="2:2" x14ac:dyDescent="0.25">
      <c r="B3860" s="6"/>
    </row>
    <row r="3861" spans="2:2" x14ac:dyDescent="0.25">
      <c r="B3861" s="6"/>
    </row>
    <row r="3862" spans="2:2" x14ac:dyDescent="0.25">
      <c r="B3862" s="6"/>
    </row>
    <row r="3863" spans="2:2" x14ac:dyDescent="0.25">
      <c r="B3863" s="6"/>
    </row>
    <row r="3864" spans="2:2" x14ac:dyDescent="0.25">
      <c r="B3864" s="6"/>
    </row>
    <row r="3865" spans="2:2" x14ac:dyDescent="0.25">
      <c r="B3865" s="6"/>
    </row>
    <row r="3866" spans="2:2" x14ac:dyDescent="0.25">
      <c r="B3866" s="6"/>
    </row>
    <row r="3867" spans="2:2" x14ac:dyDescent="0.25">
      <c r="B3867" s="6"/>
    </row>
    <row r="3868" spans="2:2" x14ac:dyDescent="0.25">
      <c r="B3868" s="6"/>
    </row>
    <row r="3869" spans="2:2" x14ac:dyDescent="0.25">
      <c r="B3869" s="6"/>
    </row>
    <row r="3870" spans="2:2" x14ac:dyDescent="0.25">
      <c r="B3870" s="6"/>
    </row>
    <row r="3871" spans="2:2" x14ac:dyDescent="0.25">
      <c r="B3871" s="6"/>
    </row>
    <row r="3872" spans="2:2" x14ac:dyDescent="0.25">
      <c r="B3872" s="6"/>
    </row>
    <row r="3873" spans="2:2" x14ac:dyDescent="0.25">
      <c r="B3873" s="6"/>
    </row>
    <row r="3874" spans="2:2" x14ac:dyDescent="0.25">
      <c r="B3874" s="6"/>
    </row>
    <row r="3875" spans="2:2" x14ac:dyDescent="0.25">
      <c r="B3875" s="6"/>
    </row>
    <row r="3876" spans="2:2" x14ac:dyDescent="0.25">
      <c r="B3876" s="6"/>
    </row>
    <row r="3877" spans="2:2" x14ac:dyDescent="0.25">
      <c r="B3877" s="6"/>
    </row>
    <row r="3878" spans="2:2" x14ac:dyDescent="0.25">
      <c r="B3878" s="6"/>
    </row>
    <row r="3879" spans="2:2" x14ac:dyDescent="0.25">
      <c r="B3879" s="6"/>
    </row>
    <row r="3880" spans="2:2" x14ac:dyDescent="0.25">
      <c r="B3880" s="6"/>
    </row>
    <row r="3881" spans="2:2" x14ac:dyDescent="0.25">
      <c r="B3881" s="6"/>
    </row>
    <row r="3882" spans="2:2" x14ac:dyDescent="0.25">
      <c r="B3882" s="6"/>
    </row>
    <row r="3883" spans="2:2" x14ac:dyDescent="0.25">
      <c r="B3883" s="6"/>
    </row>
    <row r="3884" spans="2:2" x14ac:dyDescent="0.25">
      <c r="B3884" s="6"/>
    </row>
    <row r="3885" spans="2:2" x14ac:dyDescent="0.25">
      <c r="B3885" s="6"/>
    </row>
    <row r="3886" spans="2:2" x14ac:dyDescent="0.25">
      <c r="B3886" s="6"/>
    </row>
    <row r="3887" spans="2:2" x14ac:dyDescent="0.25">
      <c r="B3887" s="6"/>
    </row>
    <row r="3888" spans="2:2" x14ac:dyDescent="0.25">
      <c r="B3888" s="6"/>
    </row>
    <row r="3889" spans="2:2" x14ac:dyDescent="0.25">
      <c r="B3889" s="6"/>
    </row>
    <row r="3890" spans="2:2" x14ac:dyDescent="0.25">
      <c r="B3890" s="6"/>
    </row>
    <row r="3891" spans="2:2" x14ac:dyDescent="0.25">
      <c r="B3891" s="6"/>
    </row>
    <row r="3892" spans="2:2" x14ac:dyDescent="0.25">
      <c r="B3892" s="6"/>
    </row>
    <row r="3893" spans="2:2" x14ac:dyDescent="0.25">
      <c r="B3893" s="6"/>
    </row>
    <row r="3894" spans="2:2" x14ac:dyDescent="0.25">
      <c r="B3894" s="6"/>
    </row>
    <row r="3895" spans="2:2" x14ac:dyDescent="0.25">
      <c r="B3895" s="6"/>
    </row>
    <row r="3896" spans="2:2" x14ac:dyDescent="0.25">
      <c r="B3896" s="6"/>
    </row>
    <row r="3897" spans="2:2" x14ac:dyDescent="0.25">
      <c r="B3897" s="6"/>
    </row>
    <row r="3898" spans="2:2" x14ac:dyDescent="0.25">
      <c r="B3898" s="6"/>
    </row>
    <row r="3899" spans="2:2" x14ac:dyDescent="0.25">
      <c r="B3899" s="6"/>
    </row>
    <row r="3900" spans="2:2" x14ac:dyDescent="0.25">
      <c r="B3900" s="6"/>
    </row>
    <row r="3901" spans="2:2" x14ac:dyDescent="0.25">
      <c r="B3901" s="6"/>
    </row>
    <row r="3902" spans="2:2" x14ac:dyDescent="0.25">
      <c r="B3902" s="6"/>
    </row>
    <row r="3903" spans="2:2" x14ac:dyDescent="0.25">
      <c r="B3903" s="6"/>
    </row>
    <row r="3904" spans="2:2" x14ac:dyDescent="0.25">
      <c r="B3904" s="6"/>
    </row>
    <row r="3905" spans="2:2" x14ac:dyDescent="0.25">
      <c r="B3905" s="6"/>
    </row>
    <row r="3906" spans="2:2" x14ac:dyDescent="0.25">
      <c r="B3906" s="6"/>
    </row>
    <row r="3907" spans="2:2" x14ac:dyDescent="0.25">
      <c r="B3907" s="6"/>
    </row>
    <row r="3908" spans="2:2" x14ac:dyDescent="0.25">
      <c r="B3908" s="6"/>
    </row>
    <row r="3909" spans="2:2" x14ac:dyDescent="0.25">
      <c r="B3909" s="6"/>
    </row>
    <row r="3910" spans="2:2" x14ac:dyDescent="0.25">
      <c r="B3910" s="6"/>
    </row>
    <row r="3911" spans="2:2" x14ac:dyDescent="0.25">
      <c r="B3911" s="6"/>
    </row>
    <row r="3912" spans="2:2" x14ac:dyDescent="0.25">
      <c r="B3912" s="6"/>
    </row>
    <row r="3913" spans="2:2" x14ac:dyDescent="0.25">
      <c r="B3913" s="6"/>
    </row>
    <row r="3914" spans="2:2" x14ac:dyDescent="0.25">
      <c r="B3914" s="6"/>
    </row>
    <row r="3915" spans="2:2" x14ac:dyDescent="0.25">
      <c r="B3915" s="6"/>
    </row>
    <row r="3916" spans="2:2" x14ac:dyDescent="0.25">
      <c r="B3916" s="6"/>
    </row>
    <row r="3917" spans="2:2" x14ac:dyDescent="0.25">
      <c r="B3917" s="6"/>
    </row>
    <row r="3918" spans="2:2" x14ac:dyDescent="0.25">
      <c r="B3918" s="6"/>
    </row>
    <row r="3919" spans="2:2" x14ac:dyDescent="0.25">
      <c r="B3919" s="6"/>
    </row>
    <row r="3920" spans="2:2" x14ac:dyDescent="0.25">
      <c r="B3920" s="6"/>
    </row>
    <row r="3921" spans="2:2" x14ac:dyDescent="0.25">
      <c r="B3921" s="6"/>
    </row>
    <row r="3922" spans="2:2" x14ac:dyDescent="0.25">
      <c r="B3922" s="6"/>
    </row>
    <row r="3923" spans="2:2" x14ac:dyDescent="0.25">
      <c r="B3923" s="6"/>
    </row>
    <row r="3924" spans="2:2" x14ac:dyDescent="0.25">
      <c r="B3924" s="6"/>
    </row>
    <row r="3925" spans="2:2" x14ac:dyDescent="0.25">
      <c r="B3925" s="6"/>
    </row>
    <row r="3926" spans="2:2" x14ac:dyDescent="0.25">
      <c r="B3926" s="6"/>
    </row>
    <row r="3927" spans="2:2" x14ac:dyDescent="0.25">
      <c r="B3927" s="6"/>
    </row>
    <row r="3928" spans="2:2" x14ac:dyDescent="0.25">
      <c r="B3928" s="6"/>
    </row>
    <row r="3929" spans="2:2" x14ac:dyDescent="0.25">
      <c r="B3929" s="6"/>
    </row>
    <row r="3930" spans="2:2" x14ac:dyDescent="0.25">
      <c r="B3930" s="6"/>
    </row>
    <row r="3931" spans="2:2" x14ac:dyDescent="0.25">
      <c r="B3931" s="6"/>
    </row>
    <row r="3932" spans="2:2" x14ac:dyDescent="0.25">
      <c r="B3932" s="6"/>
    </row>
    <row r="3933" spans="2:2" x14ac:dyDescent="0.25">
      <c r="B3933" s="6"/>
    </row>
    <row r="3934" spans="2:2" x14ac:dyDescent="0.25">
      <c r="B3934" s="6"/>
    </row>
    <row r="3935" spans="2:2" x14ac:dyDescent="0.25">
      <c r="B3935" s="6"/>
    </row>
    <row r="3936" spans="2:2" x14ac:dyDescent="0.25">
      <c r="B3936" s="6"/>
    </row>
    <row r="3937" spans="2:2" x14ac:dyDescent="0.25">
      <c r="B3937" s="6"/>
    </row>
    <row r="3938" spans="2:2" x14ac:dyDescent="0.25">
      <c r="B3938" s="6"/>
    </row>
    <row r="3939" spans="2:2" x14ac:dyDescent="0.25">
      <c r="B3939" s="6"/>
    </row>
    <row r="3940" spans="2:2" x14ac:dyDescent="0.25">
      <c r="B3940" s="6"/>
    </row>
    <row r="3941" spans="2:2" x14ac:dyDescent="0.25">
      <c r="B3941" s="6"/>
    </row>
    <row r="3942" spans="2:2" x14ac:dyDescent="0.25">
      <c r="B3942" s="6"/>
    </row>
    <row r="3943" spans="2:2" x14ac:dyDescent="0.25">
      <c r="B3943" s="6"/>
    </row>
    <row r="3944" spans="2:2" x14ac:dyDescent="0.25">
      <c r="B3944" s="6"/>
    </row>
    <row r="3945" spans="2:2" x14ac:dyDescent="0.25">
      <c r="B3945" s="6"/>
    </row>
    <row r="3946" spans="2:2" x14ac:dyDescent="0.25">
      <c r="B3946" s="6"/>
    </row>
    <row r="3947" spans="2:2" x14ac:dyDescent="0.25">
      <c r="B3947" s="6"/>
    </row>
    <row r="3948" spans="2:2" x14ac:dyDescent="0.25">
      <c r="B3948" s="6"/>
    </row>
    <row r="3949" spans="2:2" x14ac:dyDescent="0.25">
      <c r="B3949" s="6"/>
    </row>
    <row r="3950" spans="2:2" x14ac:dyDescent="0.25">
      <c r="B3950" s="6"/>
    </row>
    <row r="3951" spans="2:2" x14ac:dyDescent="0.25">
      <c r="B3951" s="6"/>
    </row>
    <row r="3952" spans="2:2" x14ac:dyDescent="0.25">
      <c r="B3952" s="6"/>
    </row>
    <row r="3953" spans="2:2" x14ac:dyDescent="0.25">
      <c r="B3953" s="6"/>
    </row>
    <row r="3954" spans="2:2" x14ac:dyDescent="0.25">
      <c r="B3954" s="6"/>
    </row>
    <row r="3955" spans="2:2" x14ac:dyDescent="0.25">
      <c r="B3955" s="6"/>
    </row>
    <row r="3956" spans="2:2" x14ac:dyDescent="0.25">
      <c r="B3956" s="6"/>
    </row>
    <row r="3957" spans="2:2" x14ac:dyDescent="0.25">
      <c r="B3957" s="6"/>
    </row>
    <row r="3958" spans="2:2" x14ac:dyDescent="0.25">
      <c r="B3958" s="6"/>
    </row>
    <row r="3959" spans="2:2" x14ac:dyDescent="0.25">
      <c r="B3959" s="6"/>
    </row>
    <row r="3960" spans="2:2" x14ac:dyDescent="0.25">
      <c r="B3960" s="6"/>
    </row>
    <row r="3961" spans="2:2" x14ac:dyDescent="0.25">
      <c r="B3961" s="6"/>
    </row>
    <row r="3962" spans="2:2" x14ac:dyDescent="0.25">
      <c r="B3962" s="6"/>
    </row>
    <row r="3963" spans="2:2" x14ac:dyDescent="0.25">
      <c r="B3963" s="6"/>
    </row>
    <row r="3964" spans="2:2" x14ac:dyDescent="0.25">
      <c r="B3964" s="6"/>
    </row>
    <row r="3965" spans="2:2" x14ac:dyDescent="0.25">
      <c r="B3965" s="6"/>
    </row>
    <row r="3966" spans="2:2" x14ac:dyDescent="0.25">
      <c r="B3966" s="6"/>
    </row>
    <row r="3967" spans="2:2" x14ac:dyDescent="0.25">
      <c r="B3967" s="6"/>
    </row>
    <row r="3968" spans="2:2" x14ac:dyDescent="0.25">
      <c r="B3968" s="6"/>
    </row>
    <row r="3969" spans="2:2" x14ac:dyDescent="0.25">
      <c r="B3969" s="6"/>
    </row>
    <row r="3970" spans="2:2" x14ac:dyDescent="0.25">
      <c r="B3970" s="6"/>
    </row>
    <row r="3971" spans="2:2" x14ac:dyDescent="0.25">
      <c r="B3971" s="6"/>
    </row>
    <row r="3972" spans="2:2" x14ac:dyDescent="0.25">
      <c r="B3972" s="6"/>
    </row>
    <row r="3973" spans="2:2" x14ac:dyDescent="0.25">
      <c r="B3973" s="6"/>
    </row>
    <row r="3974" spans="2:2" x14ac:dyDescent="0.25">
      <c r="B3974" s="6"/>
    </row>
    <row r="3975" spans="2:2" x14ac:dyDescent="0.25">
      <c r="B3975" s="6"/>
    </row>
    <row r="3976" spans="2:2" x14ac:dyDescent="0.25">
      <c r="B3976" s="6"/>
    </row>
    <row r="3977" spans="2:2" x14ac:dyDescent="0.25">
      <c r="B3977" s="6"/>
    </row>
    <row r="3978" spans="2:2" x14ac:dyDescent="0.25">
      <c r="B3978" s="6"/>
    </row>
    <row r="3979" spans="2:2" x14ac:dyDescent="0.25">
      <c r="B3979" s="6"/>
    </row>
    <row r="3980" spans="2:2" x14ac:dyDescent="0.25">
      <c r="B3980" s="6"/>
    </row>
    <row r="3981" spans="2:2" x14ac:dyDescent="0.25">
      <c r="B3981" s="6"/>
    </row>
    <row r="3982" spans="2:2" x14ac:dyDescent="0.25">
      <c r="B3982" s="6"/>
    </row>
    <row r="3983" spans="2:2" x14ac:dyDescent="0.25">
      <c r="B3983" s="6"/>
    </row>
    <row r="3984" spans="2:2" x14ac:dyDescent="0.25">
      <c r="B3984" s="6"/>
    </row>
    <row r="3985" spans="2:2" x14ac:dyDescent="0.25">
      <c r="B3985" s="6"/>
    </row>
    <row r="3986" spans="2:2" x14ac:dyDescent="0.25">
      <c r="B3986" s="6"/>
    </row>
    <row r="3987" spans="2:2" x14ac:dyDescent="0.25">
      <c r="B3987" s="6"/>
    </row>
    <row r="3988" spans="2:2" x14ac:dyDescent="0.25">
      <c r="B3988" s="6"/>
    </row>
    <row r="3989" spans="2:2" x14ac:dyDescent="0.25">
      <c r="B3989" s="6"/>
    </row>
    <row r="3990" spans="2:2" x14ac:dyDescent="0.25">
      <c r="B3990" s="6"/>
    </row>
    <row r="3991" spans="2:2" x14ac:dyDescent="0.25">
      <c r="B3991" s="6"/>
    </row>
    <row r="3992" spans="2:2" x14ac:dyDescent="0.25">
      <c r="B3992" s="6"/>
    </row>
    <row r="3993" spans="2:2" x14ac:dyDescent="0.25">
      <c r="B3993" s="6"/>
    </row>
    <row r="3994" spans="2:2" x14ac:dyDescent="0.25">
      <c r="B3994" s="6"/>
    </row>
    <row r="3995" spans="2:2" x14ac:dyDescent="0.25">
      <c r="B3995" s="6"/>
    </row>
    <row r="3996" spans="2:2" x14ac:dyDescent="0.25">
      <c r="B3996" s="6"/>
    </row>
    <row r="3997" spans="2:2" x14ac:dyDescent="0.25">
      <c r="B3997" s="6"/>
    </row>
    <row r="3998" spans="2:2" x14ac:dyDescent="0.25">
      <c r="B3998" s="6"/>
    </row>
    <row r="3999" spans="2:2" x14ac:dyDescent="0.25">
      <c r="B3999" s="6"/>
    </row>
    <row r="4000" spans="2:2" x14ac:dyDescent="0.25">
      <c r="B4000" s="6"/>
    </row>
    <row r="4001" spans="2:2" x14ac:dyDescent="0.25">
      <c r="B4001" s="6"/>
    </row>
    <row r="4002" spans="2:2" x14ac:dyDescent="0.25">
      <c r="B4002" s="6"/>
    </row>
    <row r="4003" spans="2:2" x14ac:dyDescent="0.25">
      <c r="B4003" s="6"/>
    </row>
    <row r="4004" spans="2:2" x14ac:dyDescent="0.25">
      <c r="B4004" s="6"/>
    </row>
    <row r="4005" spans="2:2" x14ac:dyDescent="0.25">
      <c r="B4005" s="6"/>
    </row>
    <row r="4006" spans="2:2" x14ac:dyDescent="0.25">
      <c r="B4006" s="6"/>
    </row>
    <row r="4007" spans="2:2" x14ac:dyDescent="0.25">
      <c r="B4007" s="6"/>
    </row>
    <row r="4008" spans="2:2" x14ac:dyDescent="0.25">
      <c r="B4008" s="6"/>
    </row>
    <row r="4009" spans="2:2" x14ac:dyDescent="0.25">
      <c r="B4009" s="6"/>
    </row>
    <row r="4010" spans="2:2" x14ac:dyDescent="0.25">
      <c r="B4010" s="6"/>
    </row>
    <row r="4011" spans="2:2" x14ac:dyDescent="0.25">
      <c r="B4011" s="6"/>
    </row>
    <row r="4012" spans="2:2" x14ac:dyDescent="0.25">
      <c r="B4012" s="6"/>
    </row>
    <row r="4013" spans="2:2" x14ac:dyDescent="0.25">
      <c r="B4013" s="6"/>
    </row>
    <row r="4014" spans="2:2" x14ac:dyDescent="0.25">
      <c r="B4014" s="6"/>
    </row>
    <row r="4015" spans="2:2" x14ac:dyDescent="0.25">
      <c r="B4015" s="6"/>
    </row>
    <row r="4016" spans="2:2" x14ac:dyDescent="0.25">
      <c r="B4016" s="6"/>
    </row>
    <row r="4017" spans="2:2" x14ac:dyDescent="0.25">
      <c r="B4017" s="6"/>
    </row>
    <row r="4018" spans="2:2" x14ac:dyDescent="0.25">
      <c r="B4018" s="6"/>
    </row>
    <row r="4019" spans="2:2" x14ac:dyDescent="0.25">
      <c r="B4019" s="6"/>
    </row>
    <row r="4020" spans="2:2" x14ac:dyDescent="0.25">
      <c r="B4020" s="6"/>
    </row>
    <row r="4021" spans="2:2" x14ac:dyDescent="0.25">
      <c r="B4021" s="6"/>
    </row>
    <row r="4022" spans="2:2" x14ac:dyDescent="0.25">
      <c r="B4022" s="6"/>
    </row>
    <row r="4023" spans="2:2" x14ac:dyDescent="0.25">
      <c r="B4023" s="6"/>
    </row>
    <row r="4024" spans="2:2" x14ac:dyDescent="0.25">
      <c r="B4024" s="6"/>
    </row>
    <row r="4025" spans="2:2" x14ac:dyDescent="0.25">
      <c r="B4025" s="6"/>
    </row>
    <row r="4026" spans="2:2" x14ac:dyDescent="0.25">
      <c r="B4026" s="6"/>
    </row>
    <row r="4027" spans="2:2" x14ac:dyDescent="0.25">
      <c r="B4027" s="6"/>
    </row>
    <row r="4028" spans="2:2" x14ac:dyDescent="0.25">
      <c r="B4028" s="6"/>
    </row>
    <row r="4029" spans="2:2" x14ac:dyDescent="0.25">
      <c r="B4029" s="6"/>
    </row>
    <row r="4030" spans="2:2" x14ac:dyDescent="0.25">
      <c r="B4030" s="6"/>
    </row>
    <row r="4031" spans="2:2" x14ac:dyDescent="0.25">
      <c r="B4031" s="6"/>
    </row>
    <row r="4032" spans="2:2" x14ac:dyDescent="0.25">
      <c r="B4032" s="6"/>
    </row>
    <row r="4033" spans="2:2" x14ac:dyDescent="0.25">
      <c r="B4033" s="6"/>
    </row>
    <row r="4034" spans="2:2" x14ac:dyDescent="0.25">
      <c r="B4034" s="6"/>
    </row>
    <row r="4035" spans="2:2" x14ac:dyDescent="0.25">
      <c r="B4035" s="6"/>
    </row>
    <row r="4036" spans="2:2" x14ac:dyDescent="0.25">
      <c r="B4036" s="6"/>
    </row>
    <row r="4037" spans="2:2" x14ac:dyDescent="0.25">
      <c r="B4037" s="6"/>
    </row>
    <row r="4038" spans="2:2" x14ac:dyDescent="0.25">
      <c r="B4038" s="6"/>
    </row>
    <row r="4039" spans="2:2" x14ac:dyDescent="0.25">
      <c r="B4039" s="6"/>
    </row>
    <row r="4040" spans="2:2" x14ac:dyDescent="0.25">
      <c r="B4040" s="6"/>
    </row>
    <row r="4041" spans="2:2" x14ac:dyDescent="0.25">
      <c r="B4041" s="6"/>
    </row>
    <row r="4042" spans="2:2" x14ac:dyDescent="0.25">
      <c r="B4042" s="6"/>
    </row>
    <row r="4043" spans="2:2" x14ac:dyDescent="0.25">
      <c r="B4043" s="6"/>
    </row>
    <row r="4044" spans="2:2" x14ac:dyDescent="0.25">
      <c r="B4044" s="6"/>
    </row>
    <row r="4045" spans="2:2" x14ac:dyDescent="0.25">
      <c r="B4045" s="6"/>
    </row>
    <row r="4046" spans="2:2" x14ac:dyDescent="0.25">
      <c r="B4046" s="6"/>
    </row>
    <row r="4047" spans="2:2" x14ac:dyDescent="0.25">
      <c r="B4047" s="6"/>
    </row>
    <row r="4048" spans="2:2" x14ac:dyDescent="0.25">
      <c r="B4048" s="6"/>
    </row>
    <row r="4049" spans="2:2" x14ac:dyDescent="0.25">
      <c r="B4049" s="6"/>
    </row>
    <row r="4050" spans="2:2" x14ac:dyDescent="0.25">
      <c r="B4050" s="6"/>
    </row>
    <row r="4051" spans="2:2" x14ac:dyDescent="0.25">
      <c r="B4051" s="6"/>
    </row>
    <row r="4052" spans="2:2" x14ac:dyDescent="0.25">
      <c r="B4052" s="6"/>
    </row>
    <row r="4053" spans="2:2" x14ac:dyDescent="0.25">
      <c r="B4053" s="6"/>
    </row>
    <row r="4054" spans="2:2" x14ac:dyDescent="0.25">
      <c r="B4054" s="6"/>
    </row>
    <row r="4055" spans="2:2" x14ac:dyDescent="0.25">
      <c r="B4055" s="6"/>
    </row>
    <row r="4056" spans="2:2" x14ac:dyDescent="0.25">
      <c r="B4056" s="6"/>
    </row>
    <row r="4057" spans="2:2" x14ac:dyDescent="0.25">
      <c r="B4057" s="6"/>
    </row>
    <row r="4058" spans="2:2" x14ac:dyDescent="0.25">
      <c r="B4058" s="6"/>
    </row>
    <row r="4059" spans="2:2" x14ac:dyDescent="0.25">
      <c r="B4059" s="6"/>
    </row>
    <row r="4060" spans="2:2" x14ac:dyDescent="0.25">
      <c r="B4060" s="6"/>
    </row>
    <row r="4061" spans="2:2" x14ac:dyDescent="0.25">
      <c r="B4061" s="6"/>
    </row>
    <row r="4062" spans="2:2" x14ac:dyDescent="0.25">
      <c r="B4062" s="6"/>
    </row>
    <row r="4063" spans="2:2" x14ac:dyDescent="0.25">
      <c r="B4063" s="6"/>
    </row>
    <row r="4064" spans="2:2" x14ac:dyDescent="0.25">
      <c r="B4064" s="6"/>
    </row>
    <row r="4065" spans="2:2" x14ac:dyDescent="0.25">
      <c r="B4065" s="6"/>
    </row>
    <row r="4066" spans="2:2" x14ac:dyDescent="0.25">
      <c r="B4066" s="6"/>
    </row>
    <row r="4067" spans="2:2" x14ac:dyDescent="0.25">
      <c r="B4067" s="6"/>
    </row>
    <row r="4068" spans="2:2" x14ac:dyDescent="0.25">
      <c r="B4068" s="6"/>
    </row>
    <row r="4069" spans="2:2" x14ac:dyDescent="0.25">
      <c r="B4069" s="6"/>
    </row>
    <row r="4070" spans="2:2" x14ac:dyDescent="0.25">
      <c r="B4070" s="6"/>
    </row>
    <row r="4071" spans="2:2" x14ac:dyDescent="0.25">
      <c r="B4071" s="6"/>
    </row>
    <row r="4072" spans="2:2" x14ac:dyDescent="0.25">
      <c r="B4072" s="6"/>
    </row>
    <row r="4073" spans="2:2" x14ac:dyDescent="0.25">
      <c r="B4073" s="6"/>
    </row>
    <row r="4074" spans="2:2" x14ac:dyDescent="0.25">
      <c r="B4074" s="6"/>
    </row>
    <row r="4075" spans="2:2" x14ac:dyDescent="0.25">
      <c r="B4075" s="6"/>
    </row>
    <row r="4076" spans="2:2" x14ac:dyDescent="0.25">
      <c r="B4076" s="6"/>
    </row>
    <row r="4077" spans="2:2" x14ac:dyDescent="0.25">
      <c r="B4077" s="6"/>
    </row>
    <row r="4078" spans="2:2" x14ac:dyDescent="0.25">
      <c r="B4078" s="6"/>
    </row>
    <row r="4079" spans="2:2" x14ac:dyDescent="0.25">
      <c r="B4079" s="6"/>
    </row>
    <row r="4080" spans="2:2" x14ac:dyDescent="0.25">
      <c r="B4080" s="6"/>
    </row>
    <row r="4081" spans="2:2" x14ac:dyDescent="0.25">
      <c r="B4081" s="6"/>
    </row>
    <row r="4082" spans="2:2" x14ac:dyDescent="0.25">
      <c r="B4082" s="6"/>
    </row>
    <row r="4083" spans="2:2" x14ac:dyDescent="0.25">
      <c r="B4083" s="6"/>
    </row>
    <row r="4084" spans="2:2" x14ac:dyDescent="0.25">
      <c r="B4084" s="6"/>
    </row>
    <row r="4085" spans="2:2" x14ac:dyDescent="0.25">
      <c r="B4085" s="6"/>
    </row>
    <row r="4086" spans="2:2" x14ac:dyDescent="0.25">
      <c r="B4086" s="6"/>
    </row>
    <row r="4087" spans="2:2" x14ac:dyDescent="0.25">
      <c r="B4087" s="6"/>
    </row>
    <row r="4088" spans="2:2" x14ac:dyDescent="0.25">
      <c r="B4088" s="6"/>
    </row>
    <row r="4089" spans="2:2" x14ac:dyDescent="0.25">
      <c r="B4089" s="6"/>
    </row>
    <row r="4090" spans="2:2" x14ac:dyDescent="0.25">
      <c r="B4090" s="6"/>
    </row>
    <row r="4091" spans="2:2" x14ac:dyDescent="0.25">
      <c r="B4091" s="6"/>
    </row>
    <row r="4092" spans="2:2" x14ac:dyDescent="0.25">
      <c r="B4092" s="6"/>
    </row>
    <row r="4093" spans="2:2" x14ac:dyDescent="0.25">
      <c r="B4093" s="6"/>
    </row>
    <row r="4094" spans="2:2" x14ac:dyDescent="0.25">
      <c r="B4094" s="6"/>
    </row>
    <row r="4095" spans="2:2" x14ac:dyDescent="0.25">
      <c r="B4095" s="6"/>
    </row>
    <row r="4096" spans="2:2" x14ac:dyDescent="0.25">
      <c r="B4096" s="6"/>
    </row>
    <row r="4097" spans="2:2" x14ac:dyDescent="0.25">
      <c r="B4097" s="6"/>
    </row>
    <row r="4098" spans="2:2" x14ac:dyDescent="0.25">
      <c r="B4098" s="6"/>
    </row>
    <row r="4099" spans="2:2" x14ac:dyDescent="0.25">
      <c r="B4099" s="6"/>
    </row>
    <row r="4100" spans="2:2" x14ac:dyDescent="0.25">
      <c r="B4100" s="6"/>
    </row>
    <row r="4101" spans="2:2" x14ac:dyDescent="0.25">
      <c r="B4101" s="6"/>
    </row>
    <row r="4102" spans="2:2" x14ac:dyDescent="0.25">
      <c r="B4102" s="6"/>
    </row>
    <row r="4103" spans="2:2" x14ac:dyDescent="0.25">
      <c r="B4103" s="6"/>
    </row>
    <row r="4104" spans="2:2" x14ac:dyDescent="0.25">
      <c r="B4104" s="6"/>
    </row>
    <row r="4105" spans="2:2" x14ac:dyDescent="0.25">
      <c r="B4105" s="6"/>
    </row>
    <row r="4106" spans="2:2" x14ac:dyDescent="0.25">
      <c r="B4106" s="6"/>
    </row>
    <row r="4107" spans="2:2" x14ac:dyDescent="0.25">
      <c r="B4107" s="6"/>
    </row>
    <row r="4108" spans="2:2" x14ac:dyDescent="0.25">
      <c r="B4108" s="6"/>
    </row>
    <row r="4109" spans="2:2" x14ac:dyDescent="0.25">
      <c r="B4109" s="6"/>
    </row>
    <row r="4110" spans="2:2" x14ac:dyDescent="0.25">
      <c r="B4110" s="6"/>
    </row>
    <row r="4111" spans="2:2" x14ac:dyDescent="0.25">
      <c r="B4111" s="6"/>
    </row>
    <row r="4112" spans="2:2" x14ac:dyDescent="0.25">
      <c r="B4112" s="6"/>
    </row>
    <row r="4113" spans="2:2" x14ac:dyDescent="0.25">
      <c r="B4113" s="6"/>
    </row>
    <row r="4114" spans="2:2" x14ac:dyDescent="0.25">
      <c r="B4114" s="6"/>
    </row>
    <row r="4115" spans="2:2" x14ac:dyDescent="0.25">
      <c r="B4115" s="6"/>
    </row>
    <row r="4116" spans="2:2" x14ac:dyDescent="0.25">
      <c r="B4116" s="6"/>
    </row>
    <row r="4117" spans="2:2" x14ac:dyDescent="0.25">
      <c r="B4117" s="6"/>
    </row>
    <row r="4118" spans="2:2" x14ac:dyDescent="0.25">
      <c r="B4118" s="6"/>
    </row>
    <row r="4119" spans="2:2" x14ac:dyDescent="0.25">
      <c r="B4119" s="6"/>
    </row>
    <row r="4120" spans="2:2" x14ac:dyDescent="0.25">
      <c r="B4120" s="6"/>
    </row>
    <row r="4121" spans="2:2" x14ac:dyDescent="0.25">
      <c r="B4121" s="6"/>
    </row>
    <row r="4122" spans="2:2" x14ac:dyDescent="0.25">
      <c r="B4122" s="6"/>
    </row>
    <row r="4123" spans="2:2" x14ac:dyDescent="0.25">
      <c r="B4123" s="6"/>
    </row>
    <row r="4124" spans="2:2" x14ac:dyDescent="0.25">
      <c r="B4124" s="6"/>
    </row>
    <row r="4125" spans="2:2" x14ac:dyDescent="0.25">
      <c r="B4125" s="6"/>
    </row>
    <row r="4126" spans="2:2" x14ac:dyDescent="0.25">
      <c r="B4126" s="6"/>
    </row>
    <row r="4127" spans="2:2" x14ac:dyDescent="0.25">
      <c r="B4127" s="6"/>
    </row>
    <row r="4128" spans="2:2" x14ac:dyDescent="0.25">
      <c r="B4128" s="6"/>
    </row>
    <row r="4129" spans="2:2" x14ac:dyDescent="0.25">
      <c r="B4129" s="6"/>
    </row>
    <row r="4130" spans="2:2" x14ac:dyDescent="0.25">
      <c r="B4130" s="6"/>
    </row>
    <row r="4131" spans="2:2" x14ac:dyDescent="0.25">
      <c r="B4131" s="6"/>
    </row>
    <row r="4132" spans="2:2" x14ac:dyDescent="0.25">
      <c r="B4132" s="6"/>
    </row>
    <row r="4133" spans="2:2" x14ac:dyDescent="0.25">
      <c r="B4133" s="6"/>
    </row>
    <row r="4134" spans="2:2" x14ac:dyDescent="0.25">
      <c r="B4134" s="6"/>
    </row>
    <row r="4135" spans="2:2" x14ac:dyDescent="0.25">
      <c r="B4135" s="6"/>
    </row>
    <row r="4136" spans="2:2" x14ac:dyDescent="0.25">
      <c r="B4136" s="6"/>
    </row>
    <row r="4137" spans="2:2" x14ac:dyDescent="0.25">
      <c r="B4137" s="6"/>
    </row>
    <row r="4138" spans="2:2" x14ac:dyDescent="0.25">
      <c r="B4138" s="6"/>
    </row>
    <row r="4139" spans="2:2" x14ac:dyDescent="0.25">
      <c r="B4139" s="6"/>
    </row>
    <row r="4140" spans="2:2" x14ac:dyDescent="0.25">
      <c r="B4140" s="6"/>
    </row>
    <row r="4141" spans="2:2" x14ac:dyDescent="0.25">
      <c r="B4141" s="6"/>
    </row>
    <row r="4142" spans="2:2" x14ac:dyDescent="0.25">
      <c r="B4142" s="6"/>
    </row>
    <row r="4143" spans="2:2" x14ac:dyDescent="0.25">
      <c r="B4143" s="6"/>
    </row>
    <row r="4144" spans="2:2" x14ac:dyDescent="0.25">
      <c r="B4144" s="6"/>
    </row>
    <row r="4145" spans="2:2" x14ac:dyDescent="0.25">
      <c r="B4145" s="6"/>
    </row>
    <row r="4146" spans="2:2" x14ac:dyDescent="0.25">
      <c r="B4146" s="6"/>
    </row>
    <row r="4147" spans="2:2" x14ac:dyDescent="0.25">
      <c r="B4147" s="6"/>
    </row>
    <row r="4148" spans="2:2" x14ac:dyDescent="0.25">
      <c r="B4148" s="6"/>
    </row>
    <row r="4149" spans="2:2" x14ac:dyDescent="0.25">
      <c r="B4149" s="6"/>
    </row>
    <row r="4150" spans="2:2" x14ac:dyDescent="0.25">
      <c r="B4150" s="6"/>
    </row>
    <row r="4151" spans="2:2" x14ac:dyDescent="0.25">
      <c r="B4151" s="6"/>
    </row>
    <row r="4152" spans="2:2" x14ac:dyDescent="0.25">
      <c r="B4152" s="6"/>
    </row>
    <row r="4153" spans="2:2" x14ac:dyDescent="0.25">
      <c r="B4153" s="6"/>
    </row>
    <row r="4154" spans="2:2" x14ac:dyDescent="0.25">
      <c r="B4154" s="6"/>
    </row>
    <row r="4155" spans="2:2" x14ac:dyDescent="0.25">
      <c r="B4155" s="6"/>
    </row>
    <row r="4156" spans="2:2" x14ac:dyDescent="0.25">
      <c r="B4156" s="6"/>
    </row>
    <row r="4157" spans="2:2" x14ac:dyDescent="0.25">
      <c r="B4157" s="6"/>
    </row>
    <row r="4158" spans="2:2" x14ac:dyDescent="0.25">
      <c r="B4158" s="6"/>
    </row>
    <row r="4159" spans="2:2" x14ac:dyDescent="0.25">
      <c r="B4159" s="6"/>
    </row>
    <row r="4160" spans="2:2" x14ac:dyDescent="0.25">
      <c r="B4160" s="6"/>
    </row>
    <row r="4161" spans="2:2" x14ac:dyDescent="0.25">
      <c r="B4161" s="6"/>
    </row>
    <row r="4162" spans="2:2" x14ac:dyDescent="0.25">
      <c r="B4162" s="6"/>
    </row>
    <row r="4163" spans="2:2" x14ac:dyDescent="0.25">
      <c r="B4163" s="6"/>
    </row>
    <row r="4164" spans="2:2" x14ac:dyDescent="0.25">
      <c r="B4164" s="6"/>
    </row>
    <row r="4165" spans="2:2" x14ac:dyDescent="0.25">
      <c r="B4165" s="6"/>
    </row>
    <row r="4166" spans="2:2" x14ac:dyDescent="0.25">
      <c r="B4166" s="6"/>
    </row>
    <row r="4167" spans="2:2" x14ac:dyDescent="0.25">
      <c r="B4167" s="6"/>
    </row>
    <row r="4168" spans="2:2" x14ac:dyDescent="0.25">
      <c r="B4168" s="6"/>
    </row>
    <row r="4169" spans="2:2" x14ac:dyDescent="0.25">
      <c r="B4169" s="6"/>
    </row>
    <row r="4170" spans="2:2" x14ac:dyDescent="0.25">
      <c r="B4170" s="6"/>
    </row>
    <row r="4171" spans="2:2" x14ac:dyDescent="0.25">
      <c r="B4171" s="6"/>
    </row>
    <row r="4172" spans="2:2" x14ac:dyDescent="0.25">
      <c r="B4172" s="6"/>
    </row>
    <row r="4173" spans="2:2" x14ac:dyDescent="0.25">
      <c r="B4173" s="6"/>
    </row>
    <row r="4174" spans="2:2" x14ac:dyDescent="0.25">
      <c r="B4174" s="6"/>
    </row>
    <row r="4175" spans="2:2" x14ac:dyDescent="0.25">
      <c r="B4175" s="6"/>
    </row>
    <row r="4176" spans="2:2" x14ac:dyDescent="0.25">
      <c r="B4176" s="6"/>
    </row>
    <row r="4177" spans="2:2" x14ac:dyDescent="0.25">
      <c r="B4177" s="6"/>
    </row>
    <row r="4178" spans="2:2" x14ac:dyDescent="0.25">
      <c r="B4178" s="6"/>
    </row>
    <row r="4179" spans="2:2" x14ac:dyDescent="0.25">
      <c r="B4179" s="6"/>
    </row>
    <row r="4180" spans="2:2" x14ac:dyDescent="0.25">
      <c r="B4180" s="6"/>
    </row>
    <row r="4181" spans="2:2" x14ac:dyDescent="0.25">
      <c r="B4181" s="6"/>
    </row>
    <row r="4182" spans="2:2" x14ac:dyDescent="0.25">
      <c r="B4182" s="6"/>
    </row>
    <row r="4183" spans="2:2" x14ac:dyDescent="0.25">
      <c r="B4183" s="6"/>
    </row>
    <row r="4184" spans="2:2" x14ac:dyDescent="0.25">
      <c r="B4184" s="6"/>
    </row>
    <row r="4185" spans="2:2" x14ac:dyDescent="0.25">
      <c r="B4185" s="6"/>
    </row>
    <row r="4186" spans="2:2" x14ac:dyDescent="0.25">
      <c r="B4186" s="6"/>
    </row>
    <row r="4187" spans="2:2" x14ac:dyDescent="0.25">
      <c r="B4187" s="6"/>
    </row>
    <row r="4188" spans="2:2" x14ac:dyDescent="0.25">
      <c r="B4188" s="6"/>
    </row>
    <row r="4189" spans="2:2" x14ac:dyDescent="0.25">
      <c r="B4189" s="6"/>
    </row>
    <row r="4190" spans="2:2" x14ac:dyDescent="0.25">
      <c r="B4190" s="6"/>
    </row>
    <row r="4191" spans="2:2" x14ac:dyDescent="0.25">
      <c r="B4191" s="6"/>
    </row>
    <row r="4192" spans="2:2" x14ac:dyDescent="0.25">
      <c r="B4192" s="6"/>
    </row>
    <row r="4193" spans="2:2" x14ac:dyDescent="0.25">
      <c r="B4193" s="6"/>
    </row>
    <row r="4194" spans="2:2" x14ac:dyDescent="0.25">
      <c r="B4194" s="6"/>
    </row>
    <row r="4195" spans="2:2" x14ac:dyDescent="0.25">
      <c r="B4195" s="6"/>
    </row>
    <row r="4196" spans="2:2" x14ac:dyDescent="0.25">
      <c r="B4196" s="6"/>
    </row>
    <row r="4197" spans="2:2" x14ac:dyDescent="0.25">
      <c r="B4197" s="6"/>
    </row>
    <row r="4198" spans="2:2" x14ac:dyDescent="0.25">
      <c r="B4198" s="6"/>
    </row>
    <row r="4199" spans="2:2" x14ac:dyDescent="0.25">
      <c r="B4199" s="6"/>
    </row>
    <row r="4200" spans="2:2" x14ac:dyDescent="0.25">
      <c r="B4200" s="6"/>
    </row>
    <row r="4201" spans="2:2" x14ac:dyDescent="0.25">
      <c r="B4201" s="6"/>
    </row>
    <row r="4202" spans="2:2" x14ac:dyDescent="0.25">
      <c r="B4202" s="6"/>
    </row>
    <row r="4203" spans="2:2" x14ac:dyDescent="0.25">
      <c r="B4203" s="6"/>
    </row>
    <row r="4204" spans="2:2" x14ac:dyDescent="0.25">
      <c r="B4204" s="6"/>
    </row>
    <row r="4205" spans="2:2" x14ac:dyDescent="0.25">
      <c r="B4205" s="6"/>
    </row>
    <row r="4206" spans="2:2" x14ac:dyDescent="0.25">
      <c r="B4206" s="6"/>
    </row>
    <row r="4207" spans="2:2" x14ac:dyDescent="0.25">
      <c r="B4207" s="6"/>
    </row>
    <row r="4208" spans="2:2" x14ac:dyDescent="0.25">
      <c r="B4208" s="6"/>
    </row>
    <row r="4209" spans="2:2" x14ac:dyDescent="0.25">
      <c r="B4209" s="6"/>
    </row>
    <row r="4210" spans="2:2" x14ac:dyDescent="0.25">
      <c r="B4210" s="6"/>
    </row>
    <row r="4211" spans="2:2" x14ac:dyDescent="0.25">
      <c r="B4211" s="6"/>
    </row>
    <row r="4212" spans="2:2" x14ac:dyDescent="0.25">
      <c r="B4212" s="6"/>
    </row>
    <row r="4213" spans="2:2" x14ac:dyDescent="0.25">
      <c r="B4213" s="6"/>
    </row>
    <row r="4214" spans="2:2" x14ac:dyDescent="0.25">
      <c r="B4214" s="6"/>
    </row>
    <row r="4215" spans="2:2" x14ac:dyDescent="0.25">
      <c r="B4215" s="6"/>
    </row>
    <row r="4216" spans="2:2" x14ac:dyDescent="0.25">
      <c r="B4216" s="6"/>
    </row>
    <row r="4217" spans="2:2" x14ac:dyDescent="0.25">
      <c r="B4217" s="6"/>
    </row>
    <row r="4218" spans="2:2" x14ac:dyDescent="0.25">
      <c r="B4218" s="6"/>
    </row>
    <row r="4219" spans="2:2" x14ac:dyDescent="0.25">
      <c r="B4219" s="6"/>
    </row>
    <row r="4220" spans="2:2" x14ac:dyDescent="0.25">
      <c r="B4220" s="6"/>
    </row>
    <row r="4221" spans="2:2" x14ac:dyDescent="0.25">
      <c r="B4221" s="6"/>
    </row>
    <row r="4222" spans="2:2" x14ac:dyDescent="0.25">
      <c r="B4222" s="6"/>
    </row>
    <row r="4223" spans="2:2" x14ac:dyDescent="0.25">
      <c r="B4223" s="6"/>
    </row>
    <row r="4224" spans="2:2" x14ac:dyDescent="0.25">
      <c r="B4224" s="6"/>
    </row>
    <row r="4225" spans="2:2" x14ac:dyDescent="0.25">
      <c r="B4225" s="6"/>
    </row>
    <row r="4226" spans="2:2" x14ac:dyDescent="0.25">
      <c r="B4226" s="6"/>
    </row>
    <row r="4227" spans="2:2" x14ac:dyDescent="0.25">
      <c r="B4227" s="6"/>
    </row>
    <row r="4228" spans="2:2" x14ac:dyDescent="0.25">
      <c r="B4228" s="6"/>
    </row>
    <row r="4229" spans="2:2" x14ac:dyDescent="0.25">
      <c r="B4229" s="6"/>
    </row>
    <row r="4230" spans="2:2" x14ac:dyDescent="0.25">
      <c r="B4230" s="6"/>
    </row>
    <row r="4231" spans="2:2" x14ac:dyDescent="0.25">
      <c r="B4231" s="6"/>
    </row>
    <row r="4232" spans="2:2" x14ac:dyDescent="0.25">
      <c r="B4232" s="6"/>
    </row>
    <row r="4233" spans="2:2" x14ac:dyDescent="0.25">
      <c r="B4233" s="6"/>
    </row>
    <row r="4234" spans="2:2" x14ac:dyDescent="0.25">
      <c r="B4234" s="6"/>
    </row>
    <row r="4235" spans="2:2" x14ac:dyDescent="0.25">
      <c r="B4235" s="6"/>
    </row>
    <row r="4236" spans="2:2" x14ac:dyDescent="0.25">
      <c r="B4236" s="6"/>
    </row>
    <row r="4237" spans="2:2" x14ac:dyDescent="0.25">
      <c r="B4237" s="6"/>
    </row>
    <row r="4238" spans="2:2" x14ac:dyDescent="0.25">
      <c r="B4238" s="6"/>
    </row>
    <row r="4239" spans="2:2" x14ac:dyDescent="0.25">
      <c r="B4239" s="6"/>
    </row>
    <row r="4240" spans="2:2" x14ac:dyDescent="0.25">
      <c r="B4240" s="6"/>
    </row>
    <row r="4241" spans="2:2" x14ac:dyDescent="0.25">
      <c r="B4241" s="6"/>
    </row>
    <row r="4242" spans="2:2" x14ac:dyDescent="0.25">
      <c r="B4242" s="6"/>
    </row>
    <row r="4243" spans="2:2" x14ac:dyDescent="0.25">
      <c r="B4243" s="6"/>
    </row>
    <row r="4244" spans="2:2" x14ac:dyDescent="0.25">
      <c r="B4244" s="6"/>
    </row>
    <row r="4245" spans="2:2" x14ac:dyDescent="0.25">
      <c r="B4245" s="6"/>
    </row>
    <row r="4246" spans="2:2" x14ac:dyDescent="0.25">
      <c r="B4246" s="6"/>
    </row>
    <row r="4247" spans="2:2" x14ac:dyDescent="0.25">
      <c r="B4247" s="6"/>
    </row>
    <row r="4248" spans="2:2" x14ac:dyDescent="0.25">
      <c r="B4248" s="6"/>
    </row>
    <row r="4249" spans="2:2" x14ac:dyDescent="0.25">
      <c r="B4249" s="6"/>
    </row>
    <row r="4250" spans="2:2" x14ac:dyDescent="0.25">
      <c r="B4250" s="6"/>
    </row>
    <row r="4251" spans="2:2" x14ac:dyDescent="0.25">
      <c r="B4251" s="6"/>
    </row>
    <row r="4252" spans="2:2" x14ac:dyDescent="0.25">
      <c r="B4252" s="6"/>
    </row>
    <row r="4253" spans="2:2" x14ac:dyDescent="0.25">
      <c r="B4253" s="6"/>
    </row>
    <row r="4254" spans="2:2" x14ac:dyDescent="0.25">
      <c r="B4254" s="6"/>
    </row>
    <row r="4255" spans="2:2" x14ac:dyDescent="0.25">
      <c r="B4255" s="6"/>
    </row>
    <row r="4256" spans="2:2" x14ac:dyDescent="0.25">
      <c r="B4256" s="6"/>
    </row>
    <row r="4257" spans="2:2" x14ac:dyDescent="0.25">
      <c r="B4257" s="6"/>
    </row>
    <row r="4258" spans="2:2" x14ac:dyDescent="0.25">
      <c r="B4258" s="6"/>
    </row>
    <row r="4259" spans="2:2" x14ac:dyDescent="0.25">
      <c r="B4259" s="6"/>
    </row>
    <row r="4260" spans="2:2" x14ac:dyDescent="0.25">
      <c r="B4260" s="6"/>
    </row>
    <row r="4261" spans="2:2" x14ac:dyDescent="0.25">
      <c r="B4261" s="6"/>
    </row>
    <row r="4262" spans="2:2" x14ac:dyDescent="0.25">
      <c r="B4262" s="6"/>
    </row>
    <row r="4263" spans="2:2" x14ac:dyDescent="0.25">
      <c r="B4263" s="6"/>
    </row>
    <row r="4264" spans="2:2" x14ac:dyDescent="0.25">
      <c r="B4264" s="6"/>
    </row>
    <row r="4265" spans="2:2" x14ac:dyDescent="0.25">
      <c r="B4265" s="6"/>
    </row>
    <row r="4266" spans="2:2" x14ac:dyDescent="0.25">
      <c r="B4266" s="6"/>
    </row>
    <row r="4267" spans="2:2" x14ac:dyDescent="0.25">
      <c r="B4267" s="6"/>
    </row>
    <row r="4268" spans="2:2" x14ac:dyDescent="0.25">
      <c r="B4268" s="6"/>
    </row>
    <row r="4269" spans="2:2" x14ac:dyDescent="0.25">
      <c r="B4269" s="6"/>
    </row>
    <row r="4270" spans="2:2" x14ac:dyDescent="0.25">
      <c r="B4270" s="6"/>
    </row>
    <row r="4271" spans="2:2" x14ac:dyDescent="0.25">
      <c r="B4271" s="6"/>
    </row>
    <row r="4272" spans="2:2" x14ac:dyDescent="0.25">
      <c r="B4272" s="6"/>
    </row>
    <row r="4273" spans="2:2" x14ac:dyDescent="0.25">
      <c r="B4273" s="6"/>
    </row>
    <row r="4274" spans="2:2" x14ac:dyDescent="0.25">
      <c r="B4274" s="6"/>
    </row>
    <row r="4275" spans="2:2" x14ac:dyDescent="0.25">
      <c r="B4275" s="6"/>
    </row>
    <row r="4276" spans="2:2" x14ac:dyDescent="0.25">
      <c r="B4276" s="6"/>
    </row>
    <row r="4277" spans="2:2" x14ac:dyDescent="0.25">
      <c r="B4277" s="6"/>
    </row>
    <row r="4278" spans="2:2" x14ac:dyDescent="0.25">
      <c r="B4278" s="6"/>
    </row>
    <row r="4279" spans="2:2" x14ac:dyDescent="0.25">
      <c r="B4279" s="6"/>
    </row>
    <row r="4280" spans="2:2" x14ac:dyDescent="0.25">
      <c r="B4280" s="6"/>
    </row>
    <row r="4281" spans="2:2" x14ac:dyDescent="0.25">
      <c r="B4281" s="6"/>
    </row>
    <row r="4282" spans="2:2" x14ac:dyDescent="0.25">
      <c r="B4282" s="6"/>
    </row>
    <row r="4283" spans="2:2" x14ac:dyDescent="0.25">
      <c r="B4283" s="6"/>
    </row>
    <row r="4284" spans="2:2" x14ac:dyDescent="0.25">
      <c r="B4284" s="6"/>
    </row>
    <row r="4285" spans="2:2" x14ac:dyDescent="0.25">
      <c r="B4285" s="6"/>
    </row>
    <row r="4286" spans="2:2" x14ac:dyDescent="0.25">
      <c r="B4286" s="6"/>
    </row>
    <row r="4287" spans="2:2" x14ac:dyDescent="0.25">
      <c r="B4287" s="6"/>
    </row>
    <row r="4288" spans="2:2" x14ac:dyDescent="0.25">
      <c r="B4288" s="6"/>
    </row>
    <row r="4289" spans="2:2" x14ac:dyDescent="0.25">
      <c r="B4289" s="6"/>
    </row>
    <row r="4290" spans="2:2" x14ac:dyDescent="0.25">
      <c r="B4290" s="6"/>
    </row>
    <row r="4291" spans="2:2" x14ac:dyDescent="0.25">
      <c r="B4291" s="6"/>
    </row>
    <row r="4292" spans="2:2" x14ac:dyDescent="0.25">
      <c r="B4292" s="6"/>
    </row>
    <row r="4293" spans="2:2" x14ac:dyDescent="0.25">
      <c r="B4293" s="6"/>
    </row>
    <row r="4294" spans="2:2" x14ac:dyDescent="0.25">
      <c r="B4294" s="6"/>
    </row>
    <row r="4295" spans="2:2" x14ac:dyDescent="0.25">
      <c r="B4295" s="6"/>
    </row>
    <row r="4296" spans="2:2" x14ac:dyDescent="0.25">
      <c r="B4296" s="6"/>
    </row>
    <row r="4297" spans="2:2" x14ac:dyDescent="0.25">
      <c r="B4297" s="6"/>
    </row>
    <row r="4298" spans="2:2" x14ac:dyDescent="0.25">
      <c r="B4298" s="6"/>
    </row>
    <row r="4299" spans="2:2" x14ac:dyDescent="0.25">
      <c r="B4299" s="6"/>
    </row>
    <row r="4300" spans="2:2" x14ac:dyDescent="0.25">
      <c r="B4300" s="6"/>
    </row>
    <row r="4301" spans="2:2" x14ac:dyDescent="0.25">
      <c r="B4301" s="6"/>
    </row>
    <row r="4302" spans="2:2" x14ac:dyDescent="0.25">
      <c r="B4302" s="6"/>
    </row>
    <row r="4303" spans="2:2" x14ac:dyDescent="0.25">
      <c r="B4303" s="6"/>
    </row>
    <row r="4304" spans="2:2" x14ac:dyDescent="0.25">
      <c r="B4304" s="6"/>
    </row>
    <row r="4305" spans="2:2" x14ac:dyDescent="0.25">
      <c r="B4305" s="6"/>
    </row>
    <row r="4306" spans="2:2" x14ac:dyDescent="0.25">
      <c r="B4306" s="6"/>
    </row>
    <row r="4307" spans="2:2" x14ac:dyDescent="0.25">
      <c r="B4307" s="6"/>
    </row>
    <row r="4308" spans="2:2" x14ac:dyDescent="0.25">
      <c r="B4308" s="6"/>
    </row>
    <row r="4309" spans="2:2" x14ac:dyDescent="0.25">
      <c r="B4309" s="6"/>
    </row>
    <row r="4310" spans="2:2" x14ac:dyDescent="0.25">
      <c r="B4310" s="6"/>
    </row>
    <row r="4311" spans="2:2" x14ac:dyDescent="0.25">
      <c r="B4311" s="6"/>
    </row>
    <row r="4312" spans="2:2" x14ac:dyDescent="0.25">
      <c r="B4312" s="6"/>
    </row>
    <row r="4313" spans="2:2" x14ac:dyDescent="0.25">
      <c r="B4313" s="6"/>
    </row>
    <row r="4314" spans="2:2" x14ac:dyDescent="0.25">
      <c r="B4314" s="6"/>
    </row>
    <row r="4315" spans="2:2" x14ac:dyDescent="0.25">
      <c r="B4315" s="6"/>
    </row>
    <row r="4316" spans="2:2" x14ac:dyDescent="0.25">
      <c r="B4316" s="6"/>
    </row>
    <row r="4317" spans="2:2" x14ac:dyDescent="0.25">
      <c r="B4317" s="6"/>
    </row>
    <row r="4318" spans="2:2" x14ac:dyDescent="0.25">
      <c r="B4318" s="6"/>
    </row>
    <row r="4319" spans="2:2" x14ac:dyDescent="0.25">
      <c r="B4319" s="6"/>
    </row>
    <row r="4320" spans="2:2" x14ac:dyDescent="0.25">
      <c r="B4320" s="6"/>
    </row>
    <row r="4321" spans="2:2" x14ac:dyDescent="0.25">
      <c r="B4321" s="6"/>
    </row>
    <row r="4322" spans="2:2" x14ac:dyDescent="0.25">
      <c r="B4322" s="6"/>
    </row>
    <row r="4323" spans="2:2" x14ac:dyDescent="0.25">
      <c r="B4323" s="6"/>
    </row>
    <row r="4324" spans="2:2" x14ac:dyDescent="0.25">
      <c r="B4324" s="6"/>
    </row>
    <row r="4325" spans="2:2" x14ac:dyDescent="0.25">
      <c r="B4325" s="6"/>
    </row>
    <row r="4326" spans="2:2" x14ac:dyDescent="0.25">
      <c r="B4326" s="6"/>
    </row>
    <row r="4327" spans="2:2" x14ac:dyDescent="0.25">
      <c r="B4327" s="6"/>
    </row>
    <row r="4328" spans="2:2" x14ac:dyDescent="0.25">
      <c r="B4328" s="6"/>
    </row>
    <row r="4329" spans="2:2" x14ac:dyDescent="0.25">
      <c r="B4329" s="6"/>
    </row>
    <row r="4330" spans="2:2" x14ac:dyDescent="0.25">
      <c r="B4330" s="6"/>
    </row>
    <row r="4331" spans="2:2" x14ac:dyDescent="0.25">
      <c r="B4331" s="6"/>
    </row>
    <row r="4332" spans="2:2" x14ac:dyDescent="0.25">
      <c r="B4332" s="6"/>
    </row>
    <row r="4333" spans="2:2" x14ac:dyDescent="0.25">
      <c r="B4333" s="6"/>
    </row>
    <row r="4334" spans="2:2" x14ac:dyDescent="0.25">
      <c r="B4334" s="6"/>
    </row>
    <row r="4335" spans="2:2" x14ac:dyDescent="0.25">
      <c r="B4335" s="6"/>
    </row>
    <row r="4336" spans="2:2" x14ac:dyDescent="0.25">
      <c r="B4336" s="6"/>
    </row>
    <row r="4337" spans="2:2" x14ac:dyDescent="0.25">
      <c r="B4337" s="6"/>
    </row>
    <row r="4338" spans="2:2" x14ac:dyDescent="0.25">
      <c r="B4338" s="6"/>
    </row>
    <row r="4339" spans="2:2" x14ac:dyDescent="0.25">
      <c r="B4339" s="6"/>
    </row>
    <row r="4340" spans="2:2" x14ac:dyDescent="0.25">
      <c r="B4340" s="6"/>
    </row>
    <row r="4341" spans="2:2" x14ac:dyDescent="0.25">
      <c r="B4341" s="6"/>
    </row>
    <row r="4342" spans="2:2" x14ac:dyDescent="0.25">
      <c r="B4342" s="6"/>
    </row>
    <row r="4343" spans="2:2" x14ac:dyDescent="0.25">
      <c r="B4343" s="6"/>
    </row>
    <row r="4344" spans="2:2" x14ac:dyDescent="0.25">
      <c r="B4344" s="6"/>
    </row>
    <row r="4345" spans="2:2" x14ac:dyDescent="0.25">
      <c r="B4345" s="6"/>
    </row>
    <row r="4346" spans="2:2" x14ac:dyDescent="0.25">
      <c r="B4346" s="6"/>
    </row>
    <row r="4347" spans="2:2" x14ac:dyDescent="0.25">
      <c r="B4347" s="6"/>
    </row>
    <row r="4348" spans="2:2" x14ac:dyDescent="0.25">
      <c r="B4348" s="6"/>
    </row>
    <row r="4349" spans="2:2" x14ac:dyDescent="0.25">
      <c r="B4349" s="6"/>
    </row>
    <row r="4350" spans="2:2" x14ac:dyDescent="0.25">
      <c r="B4350" s="6"/>
    </row>
    <row r="4351" spans="2:2" x14ac:dyDescent="0.25">
      <c r="B4351" s="6"/>
    </row>
    <row r="4352" spans="2:2" x14ac:dyDescent="0.25">
      <c r="B4352" s="6"/>
    </row>
    <row r="4353" spans="2:2" x14ac:dyDescent="0.25">
      <c r="B4353" s="6"/>
    </row>
    <row r="4354" spans="2:2" x14ac:dyDescent="0.25">
      <c r="B4354" s="6"/>
    </row>
    <row r="4355" spans="2:2" x14ac:dyDescent="0.25">
      <c r="B4355" s="6"/>
    </row>
    <row r="4356" spans="2:2" x14ac:dyDescent="0.25">
      <c r="B4356" s="6"/>
    </row>
    <row r="4357" spans="2:2" x14ac:dyDescent="0.25">
      <c r="B4357" s="6"/>
    </row>
    <row r="4358" spans="2:2" x14ac:dyDescent="0.25">
      <c r="B4358" s="6"/>
    </row>
    <row r="4359" spans="2:2" x14ac:dyDescent="0.25">
      <c r="B4359" s="6"/>
    </row>
    <row r="4360" spans="2:2" x14ac:dyDescent="0.25">
      <c r="B4360" s="6"/>
    </row>
    <row r="4361" spans="2:2" x14ac:dyDescent="0.25">
      <c r="B4361" s="6"/>
    </row>
    <row r="4362" spans="2:2" x14ac:dyDescent="0.25">
      <c r="B4362" s="6"/>
    </row>
    <row r="4363" spans="2:2" x14ac:dyDescent="0.25">
      <c r="B4363" s="6"/>
    </row>
    <row r="4364" spans="2:2" x14ac:dyDescent="0.25">
      <c r="B4364" s="6"/>
    </row>
    <row r="4365" spans="2:2" x14ac:dyDescent="0.25">
      <c r="B4365" s="6"/>
    </row>
    <row r="4366" spans="2:2" x14ac:dyDescent="0.25">
      <c r="B4366" s="6"/>
    </row>
    <row r="4367" spans="2:2" x14ac:dyDescent="0.25">
      <c r="B4367" s="6"/>
    </row>
    <row r="4368" spans="2:2" x14ac:dyDescent="0.25">
      <c r="B4368" s="6"/>
    </row>
    <row r="4369" spans="2:2" x14ac:dyDescent="0.25">
      <c r="B4369" s="6"/>
    </row>
    <row r="4370" spans="2:2" x14ac:dyDescent="0.25">
      <c r="B4370" s="6"/>
    </row>
    <row r="4371" spans="2:2" x14ac:dyDescent="0.25">
      <c r="B4371" s="6"/>
    </row>
    <row r="4372" spans="2:2" x14ac:dyDescent="0.25">
      <c r="B4372" s="6"/>
    </row>
    <row r="4373" spans="2:2" x14ac:dyDescent="0.25">
      <c r="B4373" s="6"/>
    </row>
    <row r="4374" spans="2:2" x14ac:dyDescent="0.25">
      <c r="B4374" s="6"/>
    </row>
    <row r="4375" spans="2:2" x14ac:dyDescent="0.25">
      <c r="B4375" s="6"/>
    </row>
    <row r="4376" spans="2:2" x14ac:dyDescent="0.25">
      <c r="B4376" s="6"/>
    </row>
    <row r="4377" spans="2:2" x14ac:dyDescent="0.25">
      <c r="B4377" s="6"/>
    </row>
    <row r="4378" spans="2:2" x14ac:dyDescent="0.25">
      <c r="B4378" s="6"/>
    </row>
    <row r="4379" spans="2:2" x14ac:dyDescent="0.25">
      <c r="B4379" s="6"/>
    </row>
    <row r="4380" spans="2:2" x14ac:dyDescent="0.25">
      <c r="B4380" s="6"/>
    </row>
    <row r="4381" spans="2:2" x14ac:dyDescent="0.25">
      <c r="B4381" s="6"/>
    </row>
    <row r="4382" spans="2:2" x14ac:dyDescent="0.25">
      <c r="B4382" s="6"/>
    </row>
    <row r="4383" spans="2:2" x14ac:dyDescent="0.25">
      <c r="B4383" s="6"/>
    </row>
    <row r="4384" spans="2:2" x14ac:dyDescent="0.25">
      <c r="B4384" s="6"/>
    </row>
    <row r="4385" spans="2:2" x14ac:dyDescent="0.25">
      <c r="B4385" s="6"/>
    </row>
    <row r="4386" spans="2:2" x14ac:dyDescent="0.25">
      <c r="B4386" s="6"/>
    </row>
    <row r="4387" spans="2:2" x14ac:dyDescent="0.25">
      <c r="B4387" s="6"/>
    </row>
    <row r="4388" spans="2:2" x14ac:dyDescent="0.25">
      <c r="B4388" s="6"/>
    </row>
    <row r="4389" spans="2:2" x14ac:dyDescent="0.25">
      <c r="B4389" s="6"/>
    </row>
    <row r="4390" spans="2:2" x14ac:dyDescent="0.25">
      <c r="B4390" s="6"/>
    </row>
    <row r="4391" spans="2:2" x14ac:dyDescent="0.25">
      <c r="B4391" s="6"/>
    </row>
    <row r="4392" spans="2:2" x14ac:dyDescent="0.25">
      <c r="B4392" s="6"/>
    </row>
    <row r="4393" spans="2:2" x14ac:dyDescent="0.25">
      <c r="B4393" s="6"/>
    </row>
    <row r="4394" spans="2:2" x14ac:dyDescent="0.25">
      <c r="B4394" s="6"/>
    </row>
    <row r="4395" spans="2:2" x14ac:dyDescent="0.25">
      <c r="B4395" s="6"/>
    </row>
    <row r="4396" spans="2:2" x14ac:dyDescent="0.25">
      <c r="B4396" s="6"/>
    </row>
    <row r="4397" spans="2:2" x14ac:dyDescent="0.25">
      <c r="B4397" s="6"/>
    </row>
    <row r="4398" spans="2:2" x14ac:dyDescent="0.25">
      <c r="B4398" s="6"/>
    </row>
    <row r="4399" spans="2:2" x14ac:dyDescent="0.25">
      <c r="B4399" s="6"/>
    </row>
    <row r="4400" spans="2:2" x14ac:dyDescent="0.25">
      <c r="B4400" s="6"/>
    </row>
    <row r="4401" spans="2:2" x14ac:dyDescent="0.25">
      <c r="B4401" s="6"/>
    </row>
    <row r="4402" spans="2:2" x14ac:dyDescent="0.25">
      <c r="B4402" s="6"/>
    </row>
    <row r="4403" spans="2:2" x14ac:dyDescent="0.25">
      <c r="B4403" s="6"/>
    </row>
    <row r="4404" spans="2:2" x14ac:dyDescent="0.25">
      <c r="B4404" s="6"/>
    </row>
    <row r="4405" spans="2:2" x14ac:dyDescent="0.25">
      <c r="B4405" s="6"/>
    </row>
    <row r="4406" spans="2:2" x14ac:dyDescent="0.25">
      <c r="B4406" s="6"/>
    </row>
    <row r="4407" spans="2:2" x14ac:dyDescent="0.25">
      <c r="B4407" s="6"/>
    </row>
    <row r="4408" spans="2:2" x14ac:dyDescent="0.25">
      <c r="B4408" s="6"/>
    </row>
    <row r="4409" spans="2:2" x14ac:dyDescent="0.25">
      <c r="B4409" s="6"/>
    </row>
    <row r="4410" spans="2:2" x14ac:dyDescent="0.25">
      <c r="B4410" s="6"/>
    </row>
    <row r="4411" spans="2:2" x14ac:dyDescent="0.25">
      <c r="B4411" s="6"/>
    </row>
    <row r="4412" spans="2:2" x14ac:dyDescent="0.25">
      <c r="B4412" s="6"/>
    </row>
    <row r="4413" spans="2:2" x14ac:dyDescent="0.25">
      <c r="B4413" s="6"/>
    </row>
    <row r="4414" spans="2:2" x14ac:dyDescent="0.25">
      <c r="B4414" s="6"/>
    </row>
    <row r="4415" spans="2:2" x14ac:dyDescent="0.25">
      <c r="B4415" s="6"/>
    </row>
    <row r="4416" spans="2:2" x14ac:dyDescent="0.25">
      <c r="B4416" s="6"/>
    </row>
    <row r="4417" spans="2:2" x14ac:dyDescent="0.25">
      <c r="B4417" s="6"/>
    </row>
    <row r="4418" spans="2:2" x14ac:dyDescent="0.25">
      <c r="B4418" s="6"/>
    </row>
    <row r="4419" spans="2:2" x14ac:dyDescent="0.25">
      <c r="B4419" s="6"/>
    </row>
    <row r="4420" spans="2:2" x14ac:dyDescent="0.25">
      <c r="B4420" s="6"/>
    </row>
    <row r="4421" spans="2:2" x14ac:dyDescent="0.25">
      <c r="B4421" s="6"/>
    </row>
    <row r="4422" spans="2:2" x14ac:dyDescent="0.25">
      <c r="B4422" s="6"/>
    </row>
    <row r="4423" spans="2:2" x14ac:dyDescent="0.25">
      <c r="B4423" s="6"/>
    </row>
    <row r="4424" spans="2:2" x14ac:dyDescent="0.25">
      <c r="B4424" s="6"/>
    </row>
    <row r="4425" spans="2:2" x14ac:dyDescent="0.25">
      <c r="B4425" s="6"/>
    </row>
    <row r="4426" spans="2:2" x14ac:dyDescent="0.25">
      <c r="B4426" s="6"/>
    </row>
    <row r="4427" spans="2:2" x14ac:dyDescent="0.25">
      <c r="B4427" s="6"/>
    </row>
    <row r="4428" spans="2:2" x14ac:dyDescent="0.25">
      <c r="B4428" s="6"/>
    </row>
    <row r="4429" spans="2:2" x14ac:dyDescent="0.25">
      <c r="B4429" s="6"/>
    </row>
    <row r="4430" spans="2:2" x14ac:dyDescent="0.25">
      <c r="B4430" s="6"/>
    </row>
    <row r="4431" spans="2:2" x14ac:dyDescent="0.25">
      <c r="B4431" s="6"/>
    </row>
    <row r="4432" spans="2:2" x14ac:dyDescent="0.25">
      <c r="B4432" s="6"/>
    </row>
    <row r="4433" spans="2:2" x14ac:dyDescent="0.25">
      <c r="B4433" s="6"/>
    </row>
    <row r="4434" spans="2:2" x14ac:dyDescent="0.25">
      <c r="B4434" s="6"/>
    </row>
    <row r="4435" spans="2:2" x14ac:dyDescent="0.25">
      <c r="B4435" s="6"/>
    </row>
    <row r="4436" spans="2:2" x14ac:dyDescent="0.25">
      <c r="B4436" s="6"/>
    </row>
    <row r="4437" spans="2:2" x14ac:dyDescent="0.25">
      <c r="B4437" s="6"/>
    </row>
    <row r="4438" spans="2:2" x14ac:dyDescent="0.25">
      <c r="B4438" s="6"/>
    </row>
    <row r="4439" spans="2:2" x14ac:dyDescent="0.25">
      <c r="B4439" s="6"/>
    </row>
    <row r="4440" spans="2:2" x14ac:dyDescent="0.25">
      <c r="B4440" s="6"/>
    </row>
    <row r="4441" spans="2:2" x14ac:dyDescent="0.25">
      <c r="B4441" s="6"/>
    </row>
    <row r="4442" spans="2:2" x14ac:dyDescent="0.25">
      <c r="B4442" s="6"/>
    </row>
    <row r="4443" spans="2:2" x14ac:dyDescent="0.25">
      <c r="B4443" s="6"/>
    </row>
    <row r="4444" spans="2:2" x14ac:dyDescent="0.25">
      <c r="B4444" s="6"/>
    </row>
    <row r="4445" spans="2:2" x14ac:dyDescent="0.25">
      <c r="B4445" s="6"/>
    </row>
    <row r="4446" spans="2:2" x14ac:dyDescent="0.25">
      <c r="B4446" s="6"/>
    </row>
    <row r="4447" spans="2:2" x14ac:dyDescent="0.25">
      <c r="B4447" s="6"/>
    </row>
    <row r="4448" spans="2:2" x14ac:dyDescent="0.25">
      <c r="B4448" s="6"/>
    </row>
    <row r="4449" spans="2:2" x14ac:dyDescent="0.25">
      <c r="B4449" s="6"/>
    </row>
    <row r="4450" spans="2:2" x14ac:dyDescent="0.25">
      <c r="B4450" s="6"/>
    </row>
    <row r="4451" spans="2:2" x14ac:dyDescent="0.25">
      <c r="B4451" s="6"/>
    </row>
    <row r="4452" spans="2:2" x14ac:dyDescent="0.25">
      <c r="B4452" s="6"/>
    </row>
    <row r="4453" spans="2:2" x14ac:dyDescent="0.25">
      <c r="B4453" s="6"/>
    </row>
    <row r="4454" spans="2:2" x14ac:dyDescent="0.25">
      <c r="B4454" s="6"/>
    </row>
    <row r="4455" spans="2:2" x14ac:dyDescent="0.25">
      <c r="B4455" s="6"/>
    </row>
    <row r="4456" spans="2:2" x14ac:dyDescent="0.25">
      <c r="B4456" s="6"/>
    </row>
    <row r="4457" spans="2:2" x14ac:dyDescent="0.25">
      <c r="B4457" s="6"/>
    </row>
    <row r="4458" spans="2:2" x14ac:dyDescent="0.25">
      <c r="B4458" s="6"/>
    </row>
    <row r="4459" spans="2:2" x14ac:dyDescent="0.25">
      <c r="B4459" s="6"/>
    </row>
    <row r="4460" spans="2:2" x14ac:dyDescent="0.25">
      <c r="B4460" s="6"/>
    </row>
    <row r="4461" spans="2:2" x14ac:dyDescent="0.25">
      <c r="B4461" s="6"/>
    </row>
    <row r="4462" spans="2:2" x14ac:dyDescent="0.25">
      <c r="B4462" s="6"/>
    </row>
    <row r="4463" spans="2:2" x14ac:dyDescent="0.25">
      <c r="B4463" s="6"/>
    </row>
    <row r="4464" spans="2:2" x14ac:dyDescent="0.25">
      <c r="B4464" s="6"/>
    </row>
    <row r="4465" spans="2:2" x14ac:dyDescent="0.25">
      <c r="B4465" s="6"/>
    </row>
    <row r="4466" spans="2:2" x14ac:dyDescent="0.25">
      <c r="B4466" s="6"/>
    </row>
    <row r="4467" spans="2:2" x14ac:dyDescent="0.25">
      <c r="B4467" s="6"/>
    </row>
    <row r="4468" spans="2:2" x14ac:dyDescent="0.25">
      <c r="B4468" s="6"/>
    </row>
    <row r="4469" spans="2:2" x14ac:dyDescent="0.25">
      <c r="B4469" s="6"/>
    </row>
    <row r="4470" spans="2:2" x14ac:dyDescent="0.25">
      <c r="B4470" s="6"/>
    </row>
    <row r="4471" spans="2:2" x14ac:dyDescent="0.25">
      <c r="B4471" s="6"/>
    </row>
    <row r="4472" spans="2:2" x14ac:dyDescent="0.25">
      <c r="B4472" s="6"/>
    </row>
    <row r="4473" spans="2:2" x14ac:dyDescent="0.25">
      <c r="B4473" s="6"/>
    </row>
    <row r="4474" spans="2:2" x14ac:dyDescent="0.25">
      <c r="B4474" s="6"/>
    </row>
    <row r="4475" spans="2:2" x14ac:dyDescent="0.25">
      <c r="B4475" s="6"/>
    </row>
    <row r="4476" spans="2:2" x14ac:dyDescent="0.25">
      <c r="B4476" s="6"/>
    </row>
    <row r="4477" spans="2:2" x14ac:dyDescent="0.25">
      <c r="B4477" s="6"/>
    </row>
    <row r="4478" spans="2:2" x14ac:dyDescent="0.25">
      <c r="B4478" s="6"/>
    </row>
    <row r="4479" spans="2:2" x14ac:dyDescent="0.25">
      <c r="B4479" s="6"/>
    </row>
    <row r="4480" spans="2:2" x14ac:dyDescent="0.25">
      <c r="B4480" s="6"/>
    </row>
    <row r="4481" spans="2:2" x14ac:dyDescent="0.25">
      <c r="B4481" s="6"/>
    </row>
    <row r="4482" spans="2:2" x14ac:dyDescent="0.25">
      <c r="B4482" s="6"/>
    </row>
    <row r="4483" spans="2:2" x14ac:dyDescent="0.25">
      <c r="B4483" s="6"/>
    </row>
    <row r="4484" spans="2:2" x14ac:dyDescent="0.25">
      <c r="B4484" s="6"/>
    </row>
    <row r="4485" spans="2:2" x14ac:dyDescent="0.25">
      <c r="B4485" s="6"/>
    </row>
    <row r="4486" spans="2:2" x14ac:dyDescent="0.25">
      <c r="B4486" s="6"/>
    </row>
    <row r="4487" spans="2:2" x14ac:dyDescent="0.25">
      <c r="B4487" s="6"/>
    </row>
    <row r="4488" spans="2:2" x14ac:dyDescent="0.25">
      <c r="B4488" s="6"/>
    </row>
    <row r="4489" spans="2:2" x14ac:dyDescent="0.25">
      <c r="B4489" s="6"/>
    </row>
    <row r="4490" spans="2:2" x14ac:dyDescent="0.25">
      <c r="B4490" s="6"/>
    </row>
    <row r="4491" spans="2:2" x14ac:dyDescent="0.25">
      <c r="B4491" s="6"/>
    </row>
    <row r="4492" spans="2:2" x14ac:dyDescent="0.25">
      <c r="B4492" s="6"/>
    </row>
    <row r="4493" spans="2:2" x14ac:dyDescent="0.25">
      <c r="B4493" s="6"/>
    </row>
    <row r="4494" spans="2:2" x14ac:dyDescent="0.25">
      <c r="B4494" s="6"/>
    </row>
    <row r="4495" spans="2:2" x14ac:dyDescent="0.25">
      <c r="B4495" s="6"/>
    </row>
    <row r="4496" spans="2:2" x14ac:dyDescent="0.25">
      <c r="B4496" s="6"/>
    </row>
    <row r="4497" spans="2:2" x14ac:dyDescent="0.25">
      <c r="B4497" s="6"/>
    </row>
    <row r="4498" spans="2:2" x14ac:dyDescent="0.25">
      <c r="B4498" s="6"/>
    </row>
    <row r="4499" spans="2:2" x14ac:dyDescent="0.25">
      <c r="B4499" s="6"/>
    </row>
    <row r="4500" spans="2:2" x14ac:dyDescent="0.25">
      <c r="B4500" s="6"/>
    </row>
    <row r="4501" spans="2:2" x14ac:dyDescent="0.25">
      <c r="B4501" s="6"/>
    </row>
    <row r="4502" spans="2:2" x14ac:dyDescent="0.25">
      <c r="B4502" s="6"/>
    </row>
    <row r="4503" spans="2:2" x14ac:dyDescent="0.25">
      <c r="B4503" s="6"/>
    </row>
    <row r="4504" spans="2:2" x14ac:dyDescent="0.25">
      <c r="B4504" s="6"/>
    </row>
    <row r="4505" spans="2:2" x14ac:dyDescent="0.25">
      <c r="B4505" s="6"/>
    </row>
    <row r="4506" spans="2:2" x14ac:dyDescent="0.25">
      <c r="B4506" s="6"/>
    </row>
    <row r="4507" spans="2:2" x14ac:dyDescent="0.25">
      <c r="B4507" s="6"/>
    </row>
    <row r="4508" spans="2:2" x14ac:dyDescent="0.25">
      <c r="B4508" s="6"/>
    </row>
    <row r="4509" spans="2:2" x14ac:dyDescent="0.25">
      <c r="B4509" s="6"/>
    </row>
    <row r="4510" spans="2:2" x14ac:dyDescent="0.25">
      <c r="B4510" s="6"/>
    </row>
    <row r="4511" spans="2:2" x14ac:dyDescent="0.25">
      <c r="B4511" s="6"/>
    </row>
    <row r="4512" spans="2:2" x14ac:dyDescent="0.25">
      <c r="B4512" s="6"/>
    </row>
    <row r="4513" spans="2:2" x14ac:dyDescent="0.25">
      <c r="B4513" s="6"/>
    </row>
    <row r="4514" spans="2:2" x14ac:dyDescent="0.25">
      <c r="B4514" s="6"/>
    </row>
    <row r="4515" spans="2:2" x14ac:dyDescent="0.25">
      <c r="B4515" s="6"/>
    </row>
    <row r="4516" spans="2:2" x14ac:dyDescent="0.25">
      <c r="B4516" s="6"/>
    </row>
    <row r="4517" spans="2:2" x14ac:dyDescent="0.25">
      <c r="B4517" s="6"/>
    </row>
    <row r="4518" spans="2:2" x14ac:dyDescent="0.25">
      <c r="B4518" s="6"/>
    </row>
    <row r="4519" spans="2:2" x14ac:dyDescent="0.25">
      <c r="B4519" s="6"/>
    </row>
    <row r="4520" spans="2:2" x14ac:dyDescent="0.25">
      <c r="B4520" s="6"/>
    </row>
    <row r="4521" spans="2:2" x14ac:dyDescent="0.25">
      <c r="B4521" s="6"/>
    </row>
    <row r="4522" spans="2:2" x14ac:dyDescent="0.25">
      <c r="B4522" s="6"/>
    </row>
    <row r="4523" spans="2:2" x14ac:dyDescent="0.25">
      <c r="B4523" s="6"/>
    </row>
    <row r="4524" spans="2:2" x14ac:dyDescent="0.25">
      <c r="B4524" s="6"/>
    </row>
    <row r="4525" spans="2:2" x14ac:dyDescent="0.25">
      <c r="B4525" s="6"/>
    </row>
    <row r="4526" spans="2:2" x14ac:dyDescent="0.25">
      <c r="B4526" s="6"/>
    </row>
    <row r="4527" spans="2:2" x14ac:dyDescent="0.25">
      <c r="B4527" s="6"/>
    </row>
    <row r="4528" spans="2:2" x14ac:dyDescent="0.25">
      <c r="B4528" s="6"/>
    </row>
    <row r="4529" spans="2:2" x14ac:dyDescent="0.25">
      <c r="B4529" s="6"/>
    </row>
    <row r="4530" spans="2:2" x14ac:dyDescent="0.25">
      <c r="B4530" s="6"/>
    </row>
    <row r="4531" spans="2:2" x14ac:dyDescent="0.25">
      <c r="B4531" s="6"/>
    </row>
    <row r="4532" spans="2:2" x14ac:dyDescent="0.25">
      <c r="B4532" s="6"/>
    </row>
    <row r="4533" spans="2:2" x14ac:dyDescent="0.25">
      <c r="B4533" s="6"/>
    </row>
    <row r="4534" spans="2:2" x14ac:dyDescent="0.25">
      <c r="B4534" s="6"/>
    </row>
    <row r="4535" spans="2:2" x14ac:dyDescent="0.25">
      <c r="B4535" s="6"/>
    </row>
    <row r="4536" spans="2:2" x14ac:dyDescent="0.25">
      <c r="B4536" s="6"/>
    </row>
    <row r="4537" spans="2:2" x14ac:dyDescent="0.25">
      <c r="B4537" s="6"/>
    </row>
    <row r="4538" spans="2:2" x14ac:dyDescent="0.25">
      <c r="B4538" s="6"/>
    </row>
    <row r="4539" spans="2:2" x14ac:dyDescent="0.25">
      <c r="B4539" s="6"/>
    </row>
    <row r="4540" spans="2:2" x14ac:dyDescent="0.25">
      <c r="B4540" s="6"/>
    </row>
    <row r="4541" spans="2:2" x14ac:dyDescent="0.25">
      <c r="B4541" s="6"/>
    </row>
    <row r="4542" spans="2:2" x14ac:dyDescent="0.25">
      <c r="B4542" s="6"/>
    </row>
    <row r="4543" spans="2:2" x14ac:dyDescent="0.25">
      <c r="B4543" s="6"/>
    </row>
    <row r="4544" spans="2:2" x14ac:dyDescent="0.25">
      <c r="B4544" s="6"/>
    </row>
    <row r="4545" spans="2:2" x14ac:dyDescent="0.25">
      <c r="B4545" s="6"/>
    </row>
    <row r="4546" spans="2:2" x14ac:dyDescent="0.25">
      <c r="B4546" s="6"/>
    </row>
    <row r="4547" spans="2:2" x14ac:dyDescent="0.25">
      <c r="B4547" s="6"/>
    </row>
    <row r="4548" spans="2:2" x14ac:dyDescent="0.25">
      <c r="B4548" s="6"/>
    </row>
    <row r="4549" spans="2:2" x14ac:dyDescent="0.25">
      <c r="B4549" s="6"/>
    </row>
    <row r="4550" spans="2:2" x14ac:dyDescent="0.25">
      <c r="B4550" s="6"/>
    </row>
    <row r="4551" spans="2:2" x14ac:dyDescent="0.25">
      <c r="B4551" s="6"/>
    </row>
    <row r="4552" spans="2:2" x14ac:dyDescent="0.25">
      <c r="B4552" s="6"/>
    </row>
    <row r="4553" spans="2:2" x14ac:dyDescent="0.25">
      <c r="B4553" s="6"/>
    </row>
    <row r="4554" spans="2:2" x14ac:dyDescent="0.25">
      <c r="B4554" s="6"/>
    </row>
    <row r="4555" spans="2:2" x14ac:dyDescent="0.25">
      <c r="B4555" s="6"/>
    </row>
    <row r="4556" spans="2:2" x14ac:dyDescent="0.25">
      <c r="B4556" s="6"/>
    </row>
    <row r="4557" spans="2:2" x14ac:dyDescent="0.25">
      <c r="B4557" s="6"/>
    </row>
    <row r="4558" spans="2:2" x14ac:dyDescent="0.25">
      <c r="B4558" s="6"/>
    </row>
    <row r="4559" spans="2:2" x14ac:dyDescent="0.25">
      <c r="B4559" s="6"/>
    </row>
    <row r="4560" spans="2:2" x14ac:dyDescent="0.25">
      <c r="B4560" s="6"/>
    </row>
    <row r="4561" spans="2:2" x14ac:dyDescent="0.25">
      <c r="B4561" s="6"/>
    </row>
    <row r="4562" spans="2:2" x14ac:dyDescent="0.25">
      <c r="B4562" s="6"/>
    </row>
    <row r="4563" spans="2:2" x14ac:dyDescent="0.25">
      <c r="B4563" s="6"/>
    </row>
    <row r="4564" spans="2:2" x14ac:dyDescent="0.25">
      <c r="B4564" s="6"/>
    </row>
    <row r="4565" spans="2:2" x14ac:dyDescent="0.25">
      <c r="B4565" s="6"/>
    </row>
    <row r="4566" spans="2:2" x14ac:dyDescent="0.25">
      <c r="B4566" s="6"/>
    </row>
    <row r="4567" spans="2:2" x14ac:dyDescent="0.25">
      <c r="B4567" s="6"/>
    </row>
    <row r="4568" spans="2:2" x14ac:dyDescent="0.25">
      <c r="B4568" s="6"/>
    </row>
    <row r="4569" spans="2:2" x14ac:dyDescent="0.25">
      <c r="B4569" s="6"/>
    </row>
    <row r="4570" spans="2:2" x14ac:dyDescent="0.25">
      <c r="B4570" s="6"/>
    </row>
    <row r="4571" spans="2:2" x14ac:dyDescent="0.25">
      <c r="B4571" s="6"/>
    </row>
    <row r="4572" spans="2:2" x14ac:dyDescent="0.25">
      <c r="B4572" s="6"/>
    </row>
    <row r="4573" spans="2:2" x14ac:dyDescent="0.25">
      <c r="B4573" s="6"/>
    </row>
    <row r="4574" spans="2:2" x14ac:dyDescent="0.25">
      <c r="B4574" s="6"/>
    </row>
    <row r="4575" spans="2:2" x14ac:dyDescent="0.25">
      <c r="B4575" s="6"/>
    </row>
    <row r="4576" spans="2:2" x14ac:dyDescent="0.25">
      <c r="B4576" s="6"/>
    </row>
    <row r="4577" spans="2:2" x14ac:dyDescent="0.25">
      <c r="B4577" s="6"/>
    </row>
    <row r="4578" spans="2:2" x14ac:dyDescent="0.25">
      <c r="B4578" s="6"/>
    </row>
    <row r="4579" spans="2:2" x14ac:dyDescent="0.25">
      <c r="B4579" s="6"/>
    </row>
    <row r="4580" spans="2:2" x14ac:dyDescent="0.25">
      <c r="B4580" s="6"/>
    </row>
    <row r="4581" spans="2:2" x14ac:dyDescent="0.25">
      <c r="B4581" s="6"/>
    </row>
    <row r="4582" spans="2:2" x14ac:dyDescent="0.25">
      <c r="B4582" s="6"/>
    </row>
    <row r="4583" spans="2:2" x14ac:dyDescent="0.25">
      <c r="B4583" s="6"/>
    </row>
    <row r="4584" spans="2:2" x14ac:dyDescent="0.25">
      <c r="B4584" s="6"/>
    </row>
    <row r="4585" spans="2:2" x14ac:dyDescent="0.25">
      <c r="B4585" s="6"/>
    </row>
    <row r="4586" spans="2:2" x14ac:dyDescent="0.25">
      <c r="B4586" s="6"/>
    </row>
    <row r="4587" spans="2:2" x14ac:dyDescent="0.25">
      <c r="B4587" s="6"/>
    </row>
    <row r="4588" spans="2:2" x14ac:dyDescent="0.25">
      <c r="B4588" s="6"/>
    </row>
    <row r="4589" spans="2:2" x14ac:dyDescent="0.25">
      <c r="B4589" s="6"/>
    </row>
    <row r="4590" spans="2:2" x14ac:dyDescent="0.25">
      <c r="B4590" s="6"/>
    </row>
    <row r="4591" spans="2:2" x14ac:dyDescent="0.25">
      <c r="B4591" s="6"/>
    </row>
    <row r="4592" spans="2:2" x14ac:dyDescent="0.25">
      <c r="B4592" s="6"/>
    </row>
    <row r="4593" spans="2:2" x14ac:dyDescent="0.25">
      <c r="B4593" s="6"/>
    </row>
    <row r="4594" spans="2:2" x14ac:dyDescent="0.25">
      <c r="B4594" s="6"/>
    </row>
    <row r="4595" spans="2:2" x14ac:dyDescent="0.25">
      <c r="B4595" s="6"/>
    </row>
    <row r="4596" spans="2:2" x14ac:dyDescent="0.25">
      <c r="B4596" s="6"/>
    </row>
    <row r="4597" spans="2:2" x14ac:dyDescent="0.25">
      <c r="B4597" s="6"/>
    </row>
    <row r="4598" spans="2:2" x14ac:dyDescent="0.25">
      <c r="B4598" s="6"/>
    </row>
    <row r="4599" spans="2:2" x14ac:dyDescent="0.25">
      <c r="B4599" s="6"/>
    </row>
    <row r="4600" spans="2:2" x14ac:dyDescent="0.25">
      <c r="B4600" s="6"/>
    </row>
    <row r="4601" spans="2:2" x14ac:dyDescent="0.25">
      <c r="B4601" s="6"/>
    </row>
    <row r="4602" spans="2:2" x14ac:dyDescent="0.25">
      <c r="B4602" s="6"/>
    </row>
    <row r="4603" spans="2:2" x14ac:dyDescent="0.25">
      <c r="B4603" s="6"/>
    </row>
    <row r="4604" spans="2:2" x14ac:dyDescent="0.25">
      <c r="B4604" s="6"/>
    </row>
    <row r="4605" spans="2:2" x14ac:dyDescent="0.25">
      <c r="B4605" s="6"/>
    </row>
    <row r="4606" spans="2:2" x14ac:dyDescent="0.25">
      <c r="B4606" s="6"/>
    </row>
    <row r="4607" spans="2:2" x14ac:dyDescent="0.25">
      <c r="B4607" s="6"/>
    </row>
    <row r="4608" spans="2:2" x14ac:dyDescent="0.25">
      <c r="B4608" s="6"/>
    </row>
    <row r="4609" spans="2:2" x14ac:dyDescent="0.25">
      <c r="B4609" s="6"/>
    </row>
    <row r="4610" spans="2:2" x14ac:dyDescent="0.25">
      <c r="B4610" s="6"/>
    </row>
    <row r="4611" spans="2:2" x14ac:dyDescent="0.25">
      <c r="B4611" s="6"/>
    </row>
    <row r="4612" spans="2:2" x14ac:dyDescent="0.25">
      <c r="B4612" s="6"/>
    </row>
    <row r="4613" spans="2:2" x14ac:dyDescent="0.25">
      <c r="B4613" s="6"/>
    </row>
    <row r="4614" spans="2:2" x14ac:dyDescent="0.25">
      <c r="B4614" s="6"/>
    </row>
    <row r="4615" spans="2:2" x14ac:dyDescent="0.25">
      <c r="B4615" s="6"/>
    </row>
    <row r="4616" spans="2:2" x14ac:dyDescent="0.25">
      <c r="B4616" s="6"/>
    </row>
    <row r="4617" spans="2:2" x14ac:dyDescent="0.25">
      <c r="B4617" s="6"/>
    </row>
    <row r="4618" spans="2:2" x14ac:dyDescent="0.25">
      <c r="B4618" s="6"/>
    </row>
    <row r="4619" spans="2:2" x14ac:dyDescent="0.25">
      <c r="B4619" s="6"/>
    </row>
    <row r="4620" spans="2:2" x14ac:dyDescent="0.25">
      <c r="B4620" s="6"/>
    </row>
    <row r="4621" spans="2:2" x14ac:dyDescent="0.25">
      <c r="B4621" s="6"/>
    </row>
    <row r="4622" spans="2:2" x14ac:dyDescent="0.25">
      <c r="B4622" s="6"/>
    </row>
    <row r="4623" spans="2:2" x14ac:dyDescent="0.25">
      <c r="B4623" s="6"/>
    </row>
    <row r="4624" spans="2:2" x14ac:dyDescent="0.25">
      <c r="B4624" s="6"/>
    </row>
    <row r="4625" spans="2:2" x14ac:dyDescent="0.25">
      <c r="B4625" s="6"/>
    </row>
    <row r="4626" spans="2:2" x14ac:dyDescent="0.25">
      <c r="B4626" s="6"/>
    </row>
    <row r="4627" spans="2:2" x14ac:dyDescent="0.25">
      <c r="B4627" s="6"/>
    </row>
    <row r="4628" spans="2:2" x14ac:dyDescent="0.25">
      <c r="B4628" s="6"/>
    </row>
    <row r="4629" spans="2:2" x14ac:dyDescent="0.25">
      <c r="B4629" s="6"/>
    </row>
    <row r="4630" spans="2:2" x14ac:dyDescent="0.25">
      <c r="B4630" s="6"/>
    </row>
    <row r="4631" spans="2:2" x14ac:dyDescent="0.25">
      <c r="B4631" s="6"/>
    </row>
    <row r="4632" spans="2:2" x14ac:dyDescent="0.25">
      <c r="B4632" s="6"/>
    </row>
    <row r="4633" spans="2:2" x14ac:dyDescent="0.25">
      <c r="B4633" s="6"/>
    </row>
    <row r="4634" spans="2:2" x14ac:dyDescent="0.25">
      <c r="B4634" s="6"/>
    </row>
    <row r="4635" spans="2:2" x14ac:dyDescent="0.25">
      <c r="B4635" s="6"/>
    </row>
    <row r="4636" spans="2:2" x14ac:dyDescent="0.25">
      <c r="B4636" s="6"/>
    </row>
    <row r="4637" spans="2:2" x14ac:dyDescent="0.25">
      <c r="B4637" s="6"/>
    </row>
    <row r="4638" spans="2:2" x14ac:dyDescent="0.25">
      <c r="B4638" s="6"/>
    </row>
    <row r="4639" spans="2:2" x14ac:dyDescent="0.25">
      <c r="B4639" s="6"/>
    </row>
    <row r="4640" spans="2:2" x14ac:dyDescent="0.25">
      <c r="B4640" s="6"/>
    </row>
    <row r="4641" spans="2:2" x14ac:dyDescent="0.25">
      <c r="B4641" s="6"/>
    </row>
    <row r="4642" spans="2:2" x14ac:dyDescent="0.25">
      <c r="B4642" s="6"/>
    </row>
    <row r="4643" spans="2:2" x14ac:dyDescent="0.25">
      <c r="B4643" s="6"/>
    </row>
    <row r="4644" spans="2:2" x14ac:dyDescent="0.25">
      <c r="B4644" s="6"/>
    </row>
    <row r="4645" spans="2:2" x14ac:dyDescent="0.25">
      <c r="B4645" s="6"/>
    </row>
    <row r="4646" spans="2:2" x14ac:dyDescent="0.25">
      <c r="B4646" s="6"/>
    </row>
    <row r="4647" spans="2:2" x14ac:dyDescent="0.25">
      <c r="B4647" s="6"/>
    </row>
    <row r="4648" spans="2:2" x14ac:dyDescent="0.25">
      <c r="B4648" s="6"/>
    </row>
    <row r="4649" spans="2:2" x14ac:dyDescent="0.25">
      <c r="B4649" s="6"/>
    </row>
    <row r="4650" spans="2:2" x14ac:dyDescent="0.25">
      <c r="B4650" s="6"/>
    </row>
    <row r="4651" spans="2:2" x14ac:dyDescent="0.25">
      <c r="B4651" s="6"/>
    </row>
    <row r="4652" spans="2:2" x14ac:dyDescent="0.25">
      <c r="B4652" s="6"/>
    </row>
    <row r="4653" spans="2:2" x14ac:dyDescent="0.25">
      <c r="B4653" s="6"/>
    </row>
    <row r="4654" spans="2:2" x14ac:dyDescent="0.25">
      <c r="B4654" s="6"/>
    </row>
    <row r="4655" spans="2:2" x14ac:dyDescent="0.25">
      <c r="B4655" s="6"/>
    </row>
    <row r="4656" spans="2:2" x14ac:dyDescent="0.25">
      <c r="B4656" s="6"/>
    </row>
    <row r="4657" spans="2:2" x14ac:dyDescent="0.25">
      <c r="B4657" s="6"/>
    </row>
    <row r="4658" spans="2:2" x14ac:dyDescent="0.25">
      <c r="B4658" s="6"/>
    </row>
    <row r="4659" spans="2:2" x14ac:dyDescent="0.25">
      <c r="B4659" s="6"/>
    </row>
    <row r="4660" spans="2:2" x14ac:dyDescent="0.25">
      <c r="B4660" s="6"/>
    </row>
    <row r="4661" spans="2:2" x14ac:dyDescent="0.25">
      <c r="B4661" s="6"/>
    </row>
    <row r="4662" spans="2:2" x14ac:dyDescent="0.25">
      <c r="B4662" s="6"/>
    </row>
    <row r="4663" spans="2:2" x14ac:dyDescent="0.25">
      <c r="B4663" s="6"/>
    </row>
    <row r="4664" spans="2:2" x14ac:dyDescent="0.25">
      <c r="B4664" s="6"/>
    </row>
    <row r="4665" spans="2:2" x14ac:dyDescent="0.25">
      <c r="B4665" s="6"/>
    </row>
    <row r="4666" spans="2:2" x14ac:dyDescent="0.25">
      <c r="B4666" s="6"/>
    </row>
    <row r="4667" spans="2:2" x14ac:dyDescent="0.25">
      <c r="B4667" s="6"/>
    </row>
    <row r="4668" spans="2:2" x14ac:dyDescent="0.25">
      <c r="B4668" s="6"/>
    </row>
    <row r="4669" spans="2:2" x14ac:dyDescent="0.25">
      <c r="B4669" s="6"/>
    </row>
    <row r="4670" spans="2:2" x14ac:dyDescent="0.25">
      <c r="B4670" s="6"/>
    </row>
    <row r="4671" spans="2:2" x14ac:dyDescent="0.25">
      <c r="B4671" s="6"/>
    </row>
    <row r="4672" spans="2:2" x14ac:dyDescent="0.25">
      <c r="B4672" s="6"/>
    </row>
    <row r="4673" spans="2:2" x14ac:dyDescent="0.25">
      <c r="B4673" s="6"/>
    </row>
    <row r="4674" spans="2:2" x14ac:dyDescent="0.25">
      <c r="B4674" s="6"/>
    </row>
    <row r="4675" spans="2:2" x14ac:dyDescent="0.25">
      <c r="B4675" s="6"/>
    </row>
    <row r="4676" spans="2:2" x14ac:dyDescent="0.25">
      <c r="B4676" s="6"/>
    </row>
    <row r="4677" spans="2:2" x14ac:dyDescent="0.25">
      <c r="B4677" s="6"/>
    </row>
    <row r="4678" spans="2:2" x14ac:dyDescent="0.25">
      <c r="B4678" s="6"/>
    </row>
    <row r="4679" spans="2:2" x14ac:dyDescent="0.25">
      <c r="B4679" s="6"/>
    </row>
    <row r="4680" spans="2:2" x14ac:dyDescent="0.25">
      <c r="B4680" s="6"/>
    </row>
    <row r="4681" spans="2:2" x14ac:dyDescent="0.25">
      <c r="B4681" s="6"/>
    </row>
    <row r="4682" spans="2:2" x14ac:dyDescent="0.25">
      <c r="B4682" s="6"/>
    </row>
    <row r="4683" spans="2:2" x14ac:dyDescent="0.25">
      <c r="B4683" s="6"/>
    </row>
    <row r="4684" spans="2:2" x14ac:dyDescent="0.25">
      <c r="B4684" s="6"/>
    </row>
    <row r="4685" spans="2:2" x14ac:dyDescent="0.25">
      <c r="B4685" s="6"/>
    </row>
    <row r="4686" spans="2:2" x14ac:dyDescent="0.25">
      <c r="B4686" s="6"/>
    </row>
    <row r="4687" spans="2:2" x14ac:dyDescent="0.25">
      <c r="B4687" s="6"/>
    </row>
    <row r="4688" spans="2:2" x14ac:dyDescent="0.25">
      <c r="B4688" s="6"/>
    </row>
    <row r="4689" spans="2:2" x14ac:dyDescent="0.25">
      <c r="B4689" s="6"/>
    </row>
    <row r="4690" spans="2:2" x14ac:dyDescent="0.25">
      <c r="B4690" s="6"/>
    </row>
    <row r="4691" spans="2:2" x14ac:dyDescent="0.25">
      <c r="B4691" s="6"/>
    </row>
    <row r="4692" spans="2:2" x14ac:dyDescent="0.25">
      <c r="B4692" s="6"/>
    </row>
    <row r="4693" spans="2:2" x14ac:dyDescent="0.25">
      <c r="B4693" s="6"/>
    </row>
    <row r="4694" spans="2:2" x14ac:dyDescent="0.25">
      <c r="B4694" s="6"/>
    </row>
    <row r="4695" spans="2:2" x14ac:dyDescent="0.25">
      <c r="B4695" s="6"/>
    </row>
    <row r="4696" spans="2:2" x14ac:dyDescent="0.25">
      <c r="B4696" s="6"/>
    </row>
    <row r="4697" spans="2:2" x14ac:dyDescent="0.25">
      <c r="B4697" s="6"/>
    </row>
    <row r="4698" spans="2:2" x14ac:dyDescent="0.25">
      <c r="B4698" s="6"/>
    </row>
    <row r="4699" spans="2:2" x14ac:dyDescent="0.25">
      <c r="B4699" s="6"/>
    </row>
    <row r="4700" spans="2:2" x14ac:dyDescent="0.25">
      <c r="B4700" s="6"/>
    </row>
    <row r="4701" spans="2:2" x14ac:dyDescent="0.25">
      <c r="B4701" s="6"/>
    </row>
    <row r="4702" spans="2:2" x14ac:dyDescent="0.25">
      <c r="B4702" s="6"/>
    </row>
    <row r="4703" spans="2:2" x14ac:dyDescent="0.25">
      <c r="B4703" s="6"/>
    </row>
    <row r="4704" spans="2:2" x14ac:dyDescent="0.25">
      <c r="B4704" s="6"/>
    </row>
    <row r="4705" spans="2:2" x14ac:dyDescent="0.25">
      <c r="B4705" s="6"/>
    </row>
    <row r="4706" spans="2:2" x14ac:dyDescent="0.25">
      <c r="B4706" s="6"/>
    </row>
    <row r="4707" spans="2:2" x14ac:dyDescent="0.25">
      <c r="B4707" s="6"/>
    </row>
    <row r="4708" spans="2:2" x14ac:dyDescent="0.25">
      <c r="B4708" s="6"/>
    </row>
    <row r="4709" spans="2:2" x14ac:dyDescent="0.25">
      <c r="B4709" s="6"/>
    </row>
    <row r="4710" spans="2:2" x14ac:dyDescent="0.25">
      <c r="B4710" s="6"/>
    </row>
    <row r="4711" spans="2:2" x14ac:dyDescent="0.25">
      <c r="B4711" s="6"/>
    </row>
    <row r="4712" spans="2:2" x14ac:dyDescent="0.25">
      <c r="B4712" s="6"/>
    </row>
    <row r="4713" spans="2:2" x14ac:dyDescent="0.25">
      <c r="B4713" s="6"/>
    </row>
    <row r="4714" spans="2:2" x14ac:dyDescent="0.25">
      <c r="B4714" s="6"/>
    </row>
    <row r="4715" spans="2:2" x14ac:dyDescent="0.25">
      <c r="B4715" s="6"/>
    </row>
    <row r="4716" spans="2:2" x14ac:dyDescent="0.25">
      <c r="B4716" s="6"/>
    </row>
    <row r="4717" spans="2:2" x14ac:dyDescent="0.25">
      <c r="B4717" s="6"/>
    </row>
    <row r="4718" spans="2:2" x14ac:dyDescent="0.25">
      <c r="B4718" s="6"/>
    </row>
    <row r="4719" spans="2:2" x14ac:dyDescent="0.25">
      <c r="B4719" s="6"/>
    </row>
    <row r="4720" spans="2:2" x14ac:dyDescent="0.25">
      <c r="B4720" s="6"/>
    </row>
    <row r="4721" spans="2:2" x14ac:dyDescent="0.25">
      <c r="B4721" s="6"/>
    </row>
    <row r="4722" spans="2:2" x14ac:dyDescent="0.25">
      <c r="B4722" s="6"/>
    </row>
    <row r="4723" spans="2:2" x14ac:dyDescent="0.25">
      <c r="B4723" s="6"/>
    </row>
    <row r="4724" spans="2:2" x14ac:dyDescent="0.25">
      <c r="B4724" s="6"/>
    </row>
    <row r="4725" spans="2:2" x14ac:dyDescent="0.25">
      <c r="B4725" s="6"/>
    </row>
    <row r="4726" spans="2:2" x14ac:dyDescent="0.25">
      <c r="B4726" s="6"/>
    </row>
    <row r="4727" spans="2:2" x14ac:dyDescent="0.25">
      <c r="B4727" s="6"/>
    </row>
    <row r="4728" spans="2:2" x14ac:dyDescent="0.25">
      <c r="B4728" s="6"/>
    </row>
    <row r="4729" spans="2:2" x14ac:dyDescent="0.25">
      <c r="B4729" s="6"/>
    </row>
    <row r="4730" spans="2:2" x14ac:dyDescent="0.25">
      <c r="B4730" s="6"/>
    </row>
    <row r="4731" spans="2:2" x14ac:dyDescent="0.25">
      <c r="B4731" s="6"/>
    </row>
    <row r="4732" spans="2:2" x14ac:dyDescent="0.25">
      <c r="B4732" s="6"/>
    </row>
    <row r="4733" spans="2:2" x14ac:dyDescent="0.25">
      <c r="B4733" s="6"/>
    </row>
    <row r="4734" spans="2:2" x14ac:dyDescent="0.25">
      <c r="B4734" s="6"/>
    </row>
    <row r="4735" spans="2:2" x14ac:dyDescent="0.25">
      <c r="B4735" s="6"/>
    </row>
    <row r="4736" spans="2:2" x14ac:dyDescent="0.25">
      <c r="B4736" s="6"/>
    </row>
    <row r="4737" spans="2:2" x14ac:dyDescent="0.25">
      <c r="B4737" s="6"/>
    </row>
    <row r="4738" spans="2:2" x14ac:dyDescent="0.25">
      <c r="B4738" s="6"/>
    </row>
    <row r="4739" spans="2:2" x14ac:dyDescent="0.25">
      <c r="B4739" s="6"/>
    </row>
    <row r="4740" spans="2:2" x14ac:dyDescent="0.25">
      <c r="B4740" s="6"/>
    </row>
    <row r="4741" spans="2:2" x14ac:dyDescent="0.25">
      <c r="B4741" s="6"/>
    </row>
    <row r="4742" spans="2:2" x14ac:dyDescent="0.25">
      <c r="B4742" s="6"/>
    </row>
    <row r="4743" spans="2:2" x14ac:dyDescent="0.25">
      <c r="B4743" s="6"/>
    </row>
    <row r="4744" spans="2:2" x14ac:dyDescent="0.25">
      <c r="B4744" s="6"/>
    </row>
    <row r="4745" spans="2:2" x14ac:dyDescent="0.25">
      <c r="B4745" s="6"/>
    </row>
    <row r="4746" spans="2:2" x14ac:dyDescent="0.25">
      <c r="B4746" s="6"/>
    </row>
    <row r="4747" spans="2:2" x14ac:dyDescent="0.25">
      <c r="B4747" s="6"/>
    </row>
    <row r="4748" spans="2:2" x14ac:dyDescent="0.25">
      <c r="B4748" s="6"/>
    </row>
    <row r="4749" spans="2:2" x14ac:dyDescent="0.25">
      <c r="B4749" s="6"/>
    </row>
    <row r="4750" spans="2:2" x14ac:dyDescent="0.25">
      <c r="B4750" s="6"/>
    </row>
    <row r="4751" spans="2:2" x14ac:dyDescent="0.25">
      <c r="B4751" s="6"/>
    </row>
    <row r="4752" spans="2:2" x14ac:dyDescent="0.25">
      <c r="B4752" s="6"/>
    </row>
    <row r="4753" spans="2:2" x14ac:dyDescent="0.25">
      <c r="B4753" s="6"/>
    </row>
    <row r="4754" spans="2:2" x14ac:dyDescent="0.25">
      <c r="B4754" s="6"/>
    </row>
    <row r="4755" spans="2:2" x14ac:dyDescent="0.25">
      <c r="B4755" s="6"/>
    </row>
    <row r="4756" spans="2:2" x14ac:dyDescent="0.25">
      <c r="B4756" s="6"/>
    </row>
    <row r="4757" spans="2:2" x14ac:dyDescent="0.25">
      <c r="B4757" s="6"/>
    </row>
    <row r="4758" spans="2:2" x14ac:dyDescent="0.25">
      <c r="B4758" s="6"/>
    </row>
    <row r="4759" spans="2:2" x14ac:dyDescent="0.25">
      <c r="B4759" s="6"/>
    </row>
    <row r="4760" spans="2:2" x14ac:dyDescent="0.25">
      <c r="B4760" s="6"/>
    </row>
    <row r="4761" spans="2:2" x14ac:dyDescent="0.25">
      <c r="B4761" s="6"/>
    </row>
    <row r="4762" spans="2:2" x14ac:dyDescent="0.25">
      <c r="B4762" s="6"/>
    </row>
    <row r="4763" spans="2:2" x14ac:dyDescent="0.25">
      <c r="B4763" s="6"/>
    </row>
    <row r="4764" spans="2:2" x14ac:dyDescent="0.25">
      <c r="B4764" s="6"/>
    </row>
    <row r="4765" spans="2:2" x14ac:dyDescent="0.25">
      <c r="B4765" s="6"/>
    </row>
    <row r="4766" spans="2:2" x14ac:dyDescent="0.25">
      <c r="B4766" s="6"/>
    </row>
    <row r="4767" spans="2:2" x14ac:dyDescent="0.25">
      <c r="B4767" s="6"/>
    </row>
    <row r="4768" spans="2:2" x14ac:dyDescent="0.25">
      <c r="B4768" s="6"/>
    </row>
    <row r="4769" spans="2:2" x14ac:dyDescent="0.25">
      <c r="B4769" s="6"/>
    </row>
    <row r="4770" spans="2:2" x14ac:dyDescent="0.25">
      <c r="B4770" s="6"/>
    </row>
    <row r="4771" spans="2:2" x14ac:dyDescent="0.25">
      <c r="B4771" s="6"/>
    </row>
    <row r="4772" spans="2:2" x14ac:dyDescent="0.25">
      <c r="B4772" s="6"/>
    </row>
    <row r="4773" spans="2:2" x14ac:dyDescent="0.25">
      <c r="B4773" s="6"/>
    </row>
    <row r="4774" spans="2:2" x14ac:dyDescent="0.25">
      <c r="B4774" s="6"/>
    </row>
    <row r="4775" spans="2:2" x14ac:dyDescent="0.25">
      <c r="B4775" s="6"/>
    </row>
    <row r="4776" spans="2:2" x14ac:dyDescent="0.25">
      <c r="B4776" s="6"/>
    </row>
    <row r="4777" spans="2:2" x14ac:dyDescent="0.25">
      <c r="B4777" s="6"/>
    </row>
    <row r="4778" spans="2:2" x14ac:dyDescent="0.25">
      <c r="B4778" s="6"/>
    </row>
    <row r="4779" spans="2:2" x14ac:dyDescent="0.25">
      <c r="B4779" s="6"/>
    </row>
    <row r="4780" spans="2:2" x14ac:dyDescent="0.25">
      <c r="B4780" s="6"/>
    </row>
    <row r="4781" spans="2:2" x14ac:dyDescent="0.25">
      <c r="B4781" s="6"/>
    </row>
    <row r="4782" spans="2:2" x14ac:dyDescent="0.25">
      <c r="B4782" s="6"/>
    </row>
    <row r="4783" spans="2:2" x14ac:dyDescent="0.25">
      <c r="B4783" s="6"/>
    </row>
    <row r="4784" spans="2:2" x14ac:dyDescent="0.25">
      <c r="B4784" s="6"/>
    </row>
    <row r="4785" spans="2:2" x14ac:dyDescent="0.25">
      <c r="B4785" s="6"/>
    </row>
    <row r="4786" spans="2:2" x14ac:dyDescent="0.25">
      <c r="B4786" s="6"/>
    </row>
    <row r="4787" spans="2:2" x14ac:dyDescent="0.25">
      <c r="B4787" s="6"/>
    </row>
    <row r="4788" spans="2:2" x14ac:dyDescent="0.25">
      <c r="B4788" s="6"/>
    </row>
    <row r="4789" spans="2:2" x14ac:dyDescent="0.25">
      <c r="B4789" s="6"/>
    </row>
    <row r="4790" spans="2:2" x14ac:dyDescent="0.25">
      <c r="B4790" s="6"/>
    </row>
    <row r="4791" spans="2:2" x14ac:dyDescent="0.25">
      <c r="B4791" s="6"/>
    </row>
    <row r="4792" spans="2:2" x14ac:dyDescent="0.25">
      <c r="B4792" s="6"/>
    </row>
    <row r="4793" spans="2:2" x14ac:dyDescent="0.25">
      <c r="B4793" s="6"/>
    </row>
    <row r="4794" spans="2:2" x14ac:dyDescent="0.25">
      <c r="B4794" s="6"/>
    </row>
    <row r="4795" spans="2:2" x14ac:dyDescent="0.25">
      <c r="B4795" s="6"/>
    </row>
    <row r="4796" spans="2:2" x14ac:dyDescent="0.25">
      <c r="B4796" s="6"/>
    </row>
    <row r="4797" spans="2:2" x14ac:dyDescent="0.25">
      <c r="B4797" s="6"/>
    </row>
    <row r="4798" spans="2:2" x14ac:dyDescent="0.25">
      <c r="B4798" s="6"/>
    </row>
    <row r="4799" spans="2:2" x14ac:dyDescent="0.25">
      <c r="B4799" s="6"/>
    </row>
    <row r="4800" spans="2:2" x14ac:dyDescent="0.25">
      <c r="B4800" s="6"/>
    </row>
    <row r="4801" spans="2:2" x14ac:dyDescent="0.25">
      <c r="B4801" s="6"/>
    </row>
    <row r="4802" spans="2:2" x14ac:dyDescent="0.25">
      <c r="B4802" s="6"/>
    </row>
    <row r="4803" spans="2:2" x14ac:dyDescent="0.25">
      <c r="B4803" s="6"/>
    </row>
    <row r="4804" spans="2:2" x14ac:dyDescent="0.25">
      <c r="B4804" s="6"/>
    </row>
    <row r="4805" spans="2:2" x14ac:dyDescent="0.25">
      <c r="B4805" s="6"/>
    </row>
    <row r="4806" spans="2:2" x14ac:dyDescent="0.25">
      <c r="B4806" s="6"/>
    </row>
    <row r="4807" spans="2:2" x14ac:dyDescent="0.25">
      <c r="B4807" s="6"/>
    </row>
    <row r="4808" spans="2:2" x14ac:dyDescent="0.25">
      <c r="B4808" s="6"/>
    </row>
    <row r="4809" spans="2:2" x14ac:dyDescent="0.25">
      <c r="B4809" s="6"/>
    </row>
    <row r="4810" spans="2:2" x14ac:dyDescent="0.25">
      <c r="B4810" s="6"/>
    </row>
    <row r="4811" spans="2:2" x14ac:dyDescent="0.25">
      <c r="B4811" s="6"/>
    </row>
    <row r="4812" spans="2:2" x14ac:dyDescent="0.25">
      <c r="B4812" s="6"/>
    </row>
    <row r="4813" spans="2:2" x14ac:dyDescent="0.25">
      <c r="B4813" s="6"/>
    </row>
    <row r="4814" spans="2:2" x14ac:dyDescent="0.25">
      <c r="B4814" s="6"/>
    </row>
    <row r="4815" spans="2:2" x14ac:dyDescent="0.25">
      <c r="B4815" s="6"/>
    </row>
    <row r="4816" spans="2:2" x14ac:dyDescent="0.25">
      <c r="B4816" s="6"/>
    </row>
    <row r="4817" spans="2:2" x14ac:dyDescent="0.25">
      <c r="B4817" s="6"/>
    </row>
    <row r="4818" spans="2:2" x14ac:dyDescent="0.25">
      <c r="B4818" s="6"/>
    </row>
    <row r="4819" spans="2:2" x14ac:dyDescent="0.25">
      <c r="B4819" s="6"/>
    </row>
    <row r="4820" spans="2:2" x14ac:dyDescent="0.25">
      <c r="B4820" s="6"/>
    </row>
    <row r="4821" spans="2:2" x14ac:dyDescent="0.25">
      <c r="B4821" s="6"/>
    </row>
    <row r="4822" spans="2:2" x14ac:dyDescent="0.25">
      <c r="B4822" s="6"/>
    </row>
    <row r="4823" spans="2:2" x14ac:dyDescent="0.25">
      <c r="B4823" s="6"/>
    </row>
    <row r="4824" spans="2:2" x14ac:dyDescent="0.25">
      <c r="B4824" s="6"/>
    </row>
    <row r="4825" spans="2:2" x14ac:dyDescent="0.25">
      <c r="B4825" s="6"/>
    </row>
    <row r="4826" spans="2:2" x14ac:dyDescent="0.25">
      <c r="B4826" s="6"/>
    </row>
    <row r="4827" spans="2:2" x14ac:dyDescent="0.25">
      <c r="B4827" s="6"/>
    </row>
    <row r="4828" spans="2:2" x14ac:dyDescent="0.25">
      <c r="B4828" s="6"/>
    </row>
    <row r="4829" spans="2:2" x14ac:dyDescent="0.25">
      <c r="B4829" s="6"/>
    </row>
    <row r="4830" spans="2:2" x14ac:dyDescent="0.25">
      <c r="B4830" s="6"/>
    </row>
    <row r="4831" spans="2:2" x14ac:dyDescent="0.25">
      <c r="B4831" s="6"/>
    </row>
    <row r="4832" spans="2:2" x14ac:dyDescent="0.25">
      <c r="B4832" s="6"/>
    </row>
    <row r="4833" spans="2:2" x14ac:dyDescent="0.25">
      <c r="B4833" s="6"/>
    </row>
    <row r="4834" spans="2:2" x14ac:dyDescent="0.25">
      <c r="B4834" s="6"/>
    </row>
    <row r="4835" spans="2:2" x14ac:dyDescent="0.25">
      <c r="B4835" s="6"/>
    </row>
    <row r="4836" spans="2:2" x14ac:dyDescent="0.25">
      <c r="B4836" s="6"/>
    </row>
    <row r="4837" spans="2:2" x14ac:dyDescent="0.25">
      <c r="B4837" s="6"/>
    </row>
    <row r="4838" spans="2:2" x14ac:dyDescent="0.25">
      <c r="B4838" s="6"/>
    </row>
    <row r="4839" spans="2:2" x14ac:dyDescent="0.25">
      <c r="B4839" s="6"/>
    </row>
    <row r="4840" spans="2:2" x14ac:dyDescent="0.25">
      <c r="B4840" s="6"/>
    </row>
    <row r="4841" spans="2:2" x14ac:dyDescent="0.25">
      <c r="B4841" s="6"/>
    </row>
    <row r="4842" spans="2:2" x14ac:dyDescent="0.25">
      <c r="B4842" s="6"/>
    </row>
    <row r="4843" spans="2:2" x14ac:dyDescent="0.25">
      <c r="B4843" s="6"/>
    </row>
    <row r="4844" spans="2:2" x14ac:dyDescent="0.25">
      <c r="B4844" s="6"/>
    </row>
    <row r="4845" spans="2:2" x14ac:dyDescent="0.25">
      <c r="B4845" s="6"/>
    </row>
    <row r="4846" spans="2:2" x14ac:dyDescent="0.25">
      <c r="B4846" s="6"/>
    </row>
    <row r="4847" spans="2:2" x14ac:dyDescent="0.25">
      <c r="B4847" s="6"/>
    </row>
    <row r="4848" spans="2:2" x14ac:dyDescent="0.25">
      <c r="B4848" s="6"/>
    </row>
    <row r="4849" spans="2:2" x14ac:dyDescent="0.25">
      <c r="B4849" s="6"/>
    </row>
    <row r="4850" spans="2:2" x14ac:dyDescent="0.25">
      <c r="B4850" s="6"/>
    </row>
    <row r="4851" spans="2:2" x14ac:dyDescent="0.25">
      <c r="B4851" s="6"/>
    </row>
    <row r="4852" spans="2:2" x14ac:dyDescent="0.25">
      <c r="B4852" s="6"/>
    </row>
    <row r="4853" spans="2:2" x14ac:dyDescent="0.25">
      <c r="B4853" s="6"/>
    </row>
    <row r="4854" spans="2:2" x14ac:dyDescent="0.25">
      <c r="B4854" s="6"/>
    </row>
    <row r="4855" spans="2:2" x14ac:dyDescent="0.25">
      <c r="B4855" s="6"/>
    </row>
    <row r="4856" spans="2:2" x14ac:dyDescent="0.25">
      <c r="B4856" s="6"/>
    </row>
    <row r="4857" spans="2:2" x14ac:dyDescent="0.25">
      <c r="B4857" s="6"/>
    </row>
    <row r="4858" spans="2:2" x14ac:dyDescent="0.25">
      <c r="B4858" s="6"/>
    </row>
    <row r="4859" spans="2:2" x14ac:dyDescent="0.25">
      <c r="B4859" s="6"/>
    </row>
    <row r="4860" spans="2:2" x14ac:dyDescent="0.25">
      <c r="B4860" s="6"/>
    </row>
    <row r="4861" spans="2:2" x14ac:dyDescent="0.25">
      <c r="B4861" s="6"/>
    </row>
    <row r="4862" spans="2:2" x14ac:dyDescent="0.25">
      <c r="B4862" s="6"/>
    </row>
    <row r="4863" spans="2:2" x14ac:dyDescent="0.25">
      <c r="B4863" s="6"/>
    </row>
    <row r="4864" spans="2:2" x14ac:dyDescent="0.25">
      <c r="B4864" s="6"/>
    </row>
    <row r="4865" spans="2:2" x14ac:dyDescent="0.25">
      <c r="B4865" s="6"/>
    </row>
    <row r="4866" spans="2:2" x14ac:dyDescent="0.25">
      <c r="B4866" s="6"/>
    </row>
    <row r="4867" spans="2:2" x14ac:dyDescent="0.25">
      <c r="B4867" s="6"/>
    </row>
    <row r="4868" spans="2:2" x14ac:dyDescent="0.25">
      <c r="B4868" s="6"/>
    </row>
    <row r="4869" spans="2:2" x14ac:dyDescent="0.25">
      <c r="B4869" s="6"/>
    </row>
    <row r="4870" spans="2:2" x14ac:dyDescent="0.25">
      <c r="B4870" s="6"/>
    </row>
    <row r="4871" spans="2:2" x14ac:dyDescent="0.25">
      <c r="B4871" s="6"/>
    </row>
    <row r="4872" spans="2:2" x14ac:dyDescent="0.25">
      <c r="B4872" s="6"/>
    </row>
    <row r="4873" spans="2:2" x14ac:dyDescent="0.25">
      <c r="B4873" s="6"/>
    </row>
    <row r="4874" spans="2:2" x14ac:dyDescent="0.25">
      <c r="B4874" s="6"/>
    </row>
    <row r="4875" spans="2:2" x14ac:dyDescent="0.25">
      <c r="B4875" s="6"/>
    </row>
    <row r="4876" spans="2:2" x14ac:dyDescent="0.25">
      <c r="B4876" s="6"/>
    </row>
    <row r="4877" spans="2:2" x14ac:dyDescent="0.25">
      <c r="B4877" s="6"/>
    </row>
    <row r="4878" spans="2:2" x14ac:dyDescent="0.25">
      <c r="B4878" s="6"/>
    </row>
    <row r="4879" spans="2:2" x14ac:dyDescent="0.25">
      <c r="B4879" s="6"/>
    </row>
    <row r="4880" spans="2:2" x14ac:dyDescent="0.25">
      <c r="B4880" s="6"/>
    </row>
    <row r="4881" spans="2:2" x14ac:dyDescent="0.25">
      <c r="B4881" s="6"/>
    </row>
    <row r="4882" spans="2:2" x14ac:dyDescent="0.25">
      <c r="B4882" s="6"/>
    </row>
    <row r="4883" spans="2:2" x14ac:dyDescent="0.25">
      <c r="B4883" s="6"/>
    </row>
    <row r="4884" spans="2:2" x14ac:dyDescent="0.25">
      <c r="B4884" s="6"/>
    </row>
    <row r="4885" spans="2:2" x14ac:dyDescent="0.25">
      <c r="B4885" s="6"/>
    </row>
    <row r="4886" spans="2:2" x14ac:dyDescent="0.25">
      <c r="B4886" s="6"/>
    </row>
    <row r="4887" spans="2:2" x14ac:dyDescent="0.25">
      <c r="B4887" s="6"/>
    </row>
    <row r="4888" spans="2:2" x14ac:dyDescent="0.25">
      <c r="B4888" s="6"/>
    </row>
    <row r="4889" spans="2:2" x14ac:dyDescent="0.25">
      <c r="B4889" s="6"/>
    </row>
    <row r="4890" spans="2:2" x14ac:dyDescent="0.25">
      <c r="B4890" s="6"/>
    </row>
    <row r="4891" spans="2:2" x14ac:dyDescent="0.25">
      <c r="B4891" s="6"/>
    </row>
    <row r="4892" spans="2:2" x14ac:dyDescent="0.25">
      <c r="B4892" s="6"/>
    </row>
    <row r="4893" spans="2:2" x14ac:dyDescent="0.25">
      <c r="B4893" s="6"/>
    </row>
    <row r="4894" spans="2:2" x14ac:dyDescent="0.25">
      <c r="B4894" s="6"/>
    </row>
    <row r="4895" spans="2:2" x14ac:dyDescent="0.25">
      <c r="B4895" s="6"/>
    </row>
    <row r="4896" spans="2:2" x14ac:dyDescent="0.25">
      <c r="B4896" s="6"/>
    </row>
    <row r="4897" spans="2:2" x14ac:dyDescent="0.25">
      <c r="B4897" s="6"/>
    </row>
    <row r="4898" spans="2:2" x14ac:dyDescent="0.25">
      <c r="B4898" s="6"/>
    </row>
    <row r="4899" spans="2:2" x14ac:dyDescent="0.25">
      <c r="B4899" s="6"/>
    </row>
    <row r="4900" spans="2:2" x14ac:dyDescent="0.25">
      <c r="B4900" s="6"/>
    </row>
    <row r="4901" spans="2:2" x14ac:dyDescent="0.25">
      <c r="B4901" s="6"/>
    </row>
    <row r="4902" spans="2:2" x14ac:dyDescent="0.25">
      <c r="B4902" s="6"/>
    </row>
    <row r="4903" spans="2:2" x14ac:dyDescent="0.25">
      <c r="B4903" s="6"/>
    </row>
    <row r="4904" spans="2:2" x14ac:dyDescent="0.25">
      <c r="B4904" s="6"/>
    </row>
    <row r="4905" spans="2:2" x14ac:dyDescent="0.25">
      <c r="B4905" s="6"/>
    </row>
    <row r="4906" spans="2:2" x14ac:dyDescent="0.25">
      <c r="B4906" s="6"/>
    </row>
    <row r="4907" spans="2:2" x14ac:dyDescent="0.25">
      <c r="B4907" s="6"/>
    </row>
    <row r="4908" spans="2:2" x14ac:dyDescent="0.25">
      <c r="B4908" s="6"/>
    </row>
    <row r="4909" spans="2:2" x14ac:dyDescent="0.25">
      <c r="B4909" s="6"/>
    </row>
    <row r="4910" spans="2:2" x14ac:dyDescent="0.25">
      <c r="B4910" s="6"/>
    </row>
    <row r="4911" spans="2:2" x14ac:dyDescent="0.25">
      <c r="B4911" s="6"/>
    </row>
    <row r="4912" spans="2:2" x14ac:dyDescent="0.25">
      <c r="B4912" s="6"/>
    </row>
    <row r="4913" spans="2:2" x14ac:dyDescent="0.25">
      <c r="B4913" s="6"/>
    </row>
    <row r="4914" spans="2:2" x14ac:dyDescent="0.25">
      <c r="B4914" s="6"/>
    </row>
    <row r="4915" spans="2:2" x14ac:dyDescent="0.25">
      <c r="B4915" s="6"/>
    </row>
    <row r="4916" spans="2:2" x14ac:dyDescent="0.25">
      <c r="B4916" s="6"/>
    </row>
    <row r="4917" spans="2:2" x14ac:dyDescent="0.25">
      <c r="B4917" s="6"/>
    </row>
    <row r="4918" spans="2:2" x14ac:dyDescent="0.25">
      <c r="B4918" s="6"/>
    </row>
    <row r="4919" spans="2:2" x14ac:dyDescent="0.25">
      <c r="B4919" s="6"/>
    </row>
    <row r="4920" spans="2:2" x14ac:dyDescent="0.25">
      <c r="B4920" s="6"/>
    </row>
    <row r="4921" spans="2:2" x14ac:dyDescent="0.25">
      <c r="B4921" s="6"/>
    </row>
    <row r="4922" spans="2:2" x14ac:dyDescent="0.25">
      <c r="B4922" s="6"/>
    </row>
    <row r="4923" spans="2:2" x14ac:dyDescent="0.25">
      <c r="B4923" s="6"/>
    </row>
    <row r="4924" spans="2:2" x14ac:dyDescent="0.25">
      <c r="B4924" s="6"/>
    </row>
    <row r="4925" spans="2:2" x14ac:dyDescent="0.25">
      <c r="B4925" s="6"/>
    </row>
    <row r="4926" spans="2:2" x14ac:dyDescent="0.25">
      <c r="B4926" s="6"/>
    </row>
    <row r="4927" spans="2:2" x14ac:dyDescent="0.25">
      <c r="B4927" s="6"/>
    </row>
    <row r="4928" spans="2:2" x14ac:dyDescent="0.25">
      <c r="B4928" s="6"/>
    </row>
    <row r="4929" spans="2:2" x14ac:dyDescent="0.25">
      <c r="B4929" s="6"/>
    </row>
    <row r="4930" spans="2:2" x14ac:dyDescent="0.25">
      <c r="B4930" s="6"/>
    </row>
    <row r="4931" spans="2:2" x14ac:dyDescent="0.25">
      <c r="B4931" s="6"/>
    </row>
    <row r="4932" spans="2:2" x14ac:dyDescent="0.25">
      <c r="B4932" s="6"/>
    </row>
    <row r="4933" spans="2:2" x14ac:dyDescent="0.25">
      <c r="B4933" s="6"/>
    </row>
    <row r="4934" spans="2:2" x14ac:dyDescent="0.25">
      <c r="B4934" s="6"/>
    </row>
    <row r="4935" spans="2:2" x14ac:dyDescent="0.25">
      <c r="B4935" s="6"/>
    </row>
    <row r="4936" spans="2:2" x14ac:dyDescent="0.25">
      <c r="B4936" s="6"/>
    </row>
    <row r="4937" spans="2:2" x14ac:dyDescent="0.25">
      <c r="B4937" s="6"/>
    </row>
    <row r="4938" spans="2:2" x14ac:dyDescent="0.25">
      <c r="B4938" s="6"/>
    </row>
    <row r="4939" spans="2:2" x14ac:dyDescent="0.25">
      <c r="B4939" s="6"/>
    </row>
    <row r="4940" spans="2:2" x14ac:dyDescent="0.25">
      <c r="B4940" s="6"/>
    </row>
    <row r="4941" spans="2:2" x14ac:dyDescent="0.25">
      <c r="B4941" s="6"/>
    </row>
    <row r="4942" spans="2:2" x14ac:dyDescent="0.25">
      <c r="B4942" s="6"/>
    </row>
    <row r="4943" spans="2:2" x14ac:dyDescent="0.25">
      <c r="B4943" s="6"/>
    </row>
    <row r="4944" spans="2:2" x14ac:dyDescent="0.25">
      <c r="B4944" s="6"/>
    </row>
    <row r="4945" spans="2:2" x14ac:dyDescent="0.25">
      <c r="B4945" s="6"/>
    </row>
    <row r="4946" spans="2:2" x14ac:dyDescent="0.25">
      <c r="B4946" s="6"/>
    </row>
    <row r="4947" spans="2:2" x14ac:dyDescent="0.25">
      <c r="B4947" s="6"/>
    </row>
    <row r="4948" spans="2:2" x14ac:dyDescent="0.25">
      <c r="B4948" s="6"/>
    </row>
    <row r="4949" spans="2:2" x14ac:dyDescent="0.25">
      <c r="B4949" s="6"/>
    </row>
    <row r="4950" spans="2:2" x14ac:dyDescent="0.25">
      <c r="B4950" s="6"/>
    </row>
    <row r="4951" spans="2:2" x14ac:dyDescent="0.25">
      <c r="B4951" s="6"/>
    </row>
    <row r="4952" spans="2:2" x14ac:dyDescent="0.25">
      <c r="B4952" s="6"/>
    </row>
    <row r="4953" spans="2:2" x14ac:dyDescent="0.25">
      <c r="B4953" s="6"/>
    </row>
    <row r="4954" spans="2:2" x14ac:dyDescent="0.25">
      <c r="B4954" s="6"/>
    </row>
    <row r="4955" spans="2:2" x14ac:dyDescent="0.25">
      <c r="B4955" s="6"/>
    </row>
    <row r="4956" spans="2:2" x14ac:dyDescent="0.25">
      <c r="B4956" s="6"/>
    </row>
    <row r="4957" spans="2:2" x14ac:dyDescent="0.25">
      <c r="B4957" s="6"/>
    </row>
    <row r="4958" spans="2:2" x14ac:dyDescent="0.25">
      <c r="B4958" s="6"/>
    </row>
    <row r="4959" spans="2:2" x14ac:dyDescent="0.25">
      <c r="B4959" s="6"/>
    </row>
    <row r="4960" spans="2:2" x14ac:dyDescent="0.25">
      <c r="B4960" s="6"/>
    </row>
    <row r="4961" spans="2:2" x14ac:dyDescent="0.25">
      <c r="B4961" s="6"/>
    </row>
    <row r="4962" spans="2:2" x14ac:dyDescent="0.25">
      <c r="B4962" s="6"/>
    </row>
    <row r="4963" spans="2:2" x14ac:dyDescent="0.25">
      <c r="B4963" s="6"/>
    </row>
    <row r="4964" spans="2:2" x14ac:dyDescent="0.25">
      <c r="B4964" s="6"/>
    </row>
    <row r="4965" spans="2:2" x14ac:dyDescent="0.25">
      <c r="B4965" s="6"/>
    </row>
    <row r="4966" spans="2:2" x14ac:dyDescent="0.25">
      <c r="B4966" s="6"/>
    </row>
    <row r="4967" spans="2:2" x14ac:dyDescent="0.25">
      <c r="B4967" s="6"/>
    </row>
    <row r="4968" spans="2:2" x14ac:dyDescent="0.25">
      <c r="B4968" s="6"/>
    </row>
    <row r="4969" spans="2:2" x14ac:dyDescent="0.25">
      <c r="B4969" s="6"/>
    </row>
    <row r="4970" spans="2:2" x14ac:dyDescent="0.25">
      <c r="B4970" s="6"/>
    </row>
    <row r="4971" spans="2:2" x14ac:dyDescent="0.25">
      <c r="B4971" s="6"/>
    </row>
    <row r="4972" spans="2:2" x14ac:dyDescent="0.25">
      <c r="B4972" s="6"/>
    </row>
    <row r="4973" spans="2:2" x14ac:dyDescent="0.25">
      <c r="B4973" s="6"/>
    </row>
    <row r="4974" spans="2:2" x14ac:dyDescent="0.25">
      <c r="B4974" s="6"/>
    </row>
    <row r="4975" spans="2:2" x14ac:dyDescent="0.25">
      <c r="B4975" s="6"/>
    </row>
    <row r="4976" spans="2:2" x14ac:dyDescent="0.25">
      <c r="B4976" s="6"/>
    </row>
    <row r="4977" spans="2:2" x14ac:dyDescent="0.25">
      <c r="B4977" s="6"/>
    </row>
    <row r="4978" spans="2:2" x14ac:dyDescent="0.25">
      <c r="B4978" s="6"/>
    </row>
    <row r="4979" spans="2:2" x14ac:dyDescent="0.25">
      <c r="B4979" s="6"/>
    </row>
    <row r="4980" spans="2:2" x14ac:dyDescent="0.25">
      <c r="B4980" s="6"/>
    </row>
    <row r="4981" spans="2:2" x14ac:dyDescent="0.25">
      <c r="B4981" s="6"/>
    </row>
    <row r="4982" spans="2:2" x14ac:dyDescent="0.25">
      <c r="B4982" s="6"/>
    </row>
    <row r="4983" spans="2:2" x14ac:dyDescent="0.25">
      <c r="B4983" s="6"/>
    </row>
    <row r="4984" spans="2:2" x14ac:dyDescent="0.25">
      <c r="B4984" s="6"/>
    </row>
    <row r="4985" spans="2:2" x14ac:dyDescent="0.25">
      <c r="B4985" s="6"/>
    </row>
    <row r="4986" spans="2:2" x14ac:dyDescent="0.25">
      <c r="B4986" s="6"/>
    </row>
    <row r="4987" spans="2:2" x14ac:dyDescent="0.25">
      <c r="B4987" s="6"/>
    </row>
    <row r="4988" spans="2:2" x14ac:dyDescent="0.25">
      <c r="B4988" s="6"/>
    </row>
    <row r="4989" spans="2:2" x14ac:dyDescent="0.25">
      <c r="B4989" s="6"/>
    </row>
    <row r="4990" spans="2:2" x14ac:dyDescent="0.25">
      <c r="B4990" s="6"/>
    </row>
    <row r="4991" spans="2:2" x14ac:dyDescent="0.25">
      <c r="B4991" s="6"/>
    </row>
    <row r="4992" spans="2:2" x14ac:dyDescent="0.25">
      <c r="B4992" s="6"/>
    </row>
    <row r="4993" spans="2:2" x14ac:dyDescent="0.25">
      <c r="B4993" s="6"/>
    </row>
    <row r="4994" spans="2:2" x14ac:dyDescent="0.25">
      <c r="B4994" s="6"/>
    </row>
    <row r="4995" spans="2:2" x14ac:dyDescent="0.25">
      <c r="B4995" s="6"/>
    </row>
    <row r="4996" spans="2:2" x14ac:dyDescent="0.25">
      <c r="B4996" s="6"/>
    </row>
    <row r="4997" spans="2:2" x14ac:dyDescent="0.25">
      <c r="B4997" s="6"/>
    </row>
    <row r="4998" spans="2:2" x14ac:dyDescent="0.25">
      <c r="B4998" s="6"/>
    </row>
    <row r="4999" spans="2:2" x14ac:dyDescent="0.25">
      <c r="B4999" s="6"/>
    </row>
    <row r="5000" spans="2:2" x14ac:dyDescent="0.25">
      <c r="B5000" s="6"/>
    </row>
    <row r="5001" spans="2:2" x14ac:dyDescent="0.25">
      <c r="B5001"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CLIENT LIST</vt:lpstr>
      <vt:lpstr>loan distribution</vt:lpstr>
      <vt:lpstr>repaidvsDebt</vt:lpstr>
      <vt:lpstr>work sheet</vt:lpstr>
      <vt:lpstr>feedback</vt:lpstr>
      <vt:lpstr>Dashboard</vt:lpstr>
      <vt:lpstr>LogSheet</vt:lpstr>
      <vt:lpstr>CountSpecific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fakhrealamtkoi777@gmail.com</cp:lastModifiedBy>
  <dcterms:created xsi:type="dcterms:W3CDTF">2025-03-17T07:30:30Z</dcterms:created>
  <dcterms:modified xsi:type="dcterms:W3CDTF">2025-04-22T11:30:01Z</dcterms:modified>
</cp:coreProperties>
</file>